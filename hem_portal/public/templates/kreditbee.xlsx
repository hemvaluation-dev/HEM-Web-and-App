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90" yWindow="0" windowWidth="19310" windowHeight="10170"/>
  </bookViews>
  <sheets>
    <sheet name="Individual" sheetId="1" r:id="rId1"/>
  </sheets>
  <definedNames>
    <definedName name="_xlnm.Print_Area" localSheetId="0">Individual!$A$1:$K$265</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6" i="1" l="1"/>
  <c r="F86" i="1"/>
  <c r="J99" i="1" l="1"/>
  <c r="J98" i="1"/>
  <c r="H105" i="1" l="1"/>
  <c r="H112" i="1" s="1"/>
</calcChain>
</file>

<file path=xl/sharedStrings.xml><?xml version="1.0" encoding="utf-8"?>
<sst xmlns="http://schemas.openxmlformats.org/spreadsheetml/2006/main" count="285" uniqueCount="231">
  <si>
    <t>Photographs</t>
  </si>
  <si>
    <t>Location Map</t>
  </si>
  <si>
    <t>Low/ Med/ High</t>
  </si>
  <si>
    <t>Risk of Demolition based on Techno-legal aspect/ Building Quality</t>
  </si>
  <si>
    <t>Approx. Rentals in case of 100% complete property</t>
  </si>
  <si>
    <t>Re-construction cost</t>
  </si>
  <si>
    <t>Forced Sale Value / Distressed rate</t>
  </si>
  <si>
    <t>Guideline Value of The Property</t>
  </si>
  <si>
    <t>Other value references</t>
  </si>
  <si>
    <t>Present Market Value based on completion</t>
  </si>
  <si>
    <t>Slow/ Stalled/ Satisfactory</t>
  </si>
  <si>
    <t>Construction Progress</t>
  </si>
  <si>
    <t>%
Recommended</t>
  </si>
  <si>
    <t>%
Progress</t>
  </si>
  <si>
    <t>Stage of construction (Descriptive)</t>
  </si>
  <si>
    <t>No. of floors
Proposed in actual</t>
  </si>
  <si>
    <t>No. Of Floors Sanctioned</t>
  </si>
  <si>
    <t>Stage of construction</t>
  </si>
  <si>
    <t>Total Market Value / Resale value of Property (A+B) (in Amt.)</t>
  </si>
  <si>
    <t>Total Amenities Charges (Amenities + Fixed Interiors)</t>
  </si>
  <si>
    <t>Value of Car Parking</t>
  </si>
  <si>
    <t>Rate per Parking</t>
  </si>
  <si>
    <t>No of Car Parking</t>
  </si>
  <si>
    <t>B.Value of Extra Amenities if applicable</t>
  </si>
  <si>
    <t>Saleable Value</t>
  </si>
  <si>
    <t>Flat /
Office /
Shops</t>
  </si>
  <si>
    <t>Building Value after depreciation</t>
  </si>
  <si>
    <t>Land Value</t>
  </si>
  <si>
    <t>Individual Property</t>
  </si>
  <si>
    <t>Amount (in Rs. )</t>
  </si>
  <si>
    <t>Rate (sqft/sqmt)</t>
  </si>
  <si>
    <t>Area (sqft/sqmt)</t>
  </si>
  <si>
    <t>Description</t>
  </si>
  <si>
    <t>A</t>
  </si>
  <si>
    <t>VALUATION</t>
  </si>
  <si>
    <t>CRZ I/ CRZ II/ CRZ III/ CRZ IV</t>
  </si>
  <si>
    <t>Coastal Regulatory Zone</t>
  </si>
  <si>
    <t>Wind/Cyclones</t>
  </si>
  <si>
    <t>Y/N</t>
  </si>
  <si>
    <t>Tsunami</t>
  </si>
  <si>
    <t>Mild/ Moderate/ Severe/ Very severe/ Extreme</t>
  </si>
  <si>
    <t>Environment Exposure Condition</t>
  </si>
  <si>
    <t>Upstream/ Downstream</t>
  </si>
  <si>
    <t>urban floods</t>
  </si>
  <si>
    <t>Flood prone Area</t>
  </si>
  <si>
    <t>Very High Hazard zone/ High Hazard Zone/ Moderately High Hazard Zone/ Low Hazard Zone/ Very low Hazard zone</t>
  </si>
  <si>
    <t>Soil Slope vunerable to landslide</t>
  </si>
  <si>
    <t>Zone II/ III/ IV/V</t>
  </si>
  <si>
    <t>Seismic Zone</t>
  </si>
  <si>
    <t>Type of structure</t>
  </si>
  <si>
    <t>Nature of Building/Wing/ Tower</t>
  </si>
  <si>
    <t>NDMA PARAMETERS</t>
  </si>
  <si>
    <t>Total BUA</t>
  </si>
  <si>
    <t>Fifith Floor</t>
  </si>
  <si>
    <t>Fourth Floor</t>
  </si>
  <si>
    <t>Third Floor</t>
  </si>
  <si>
    <t>Second Floor</t>
  </si>
  <si>
    <t>Ground Floor</t>
  </si>
  <si>
    <t>Stilt Floor</t>
  </si>
  <si>
    <t>Basement Floor</t>
  </si>
  <si>
    <t>Overall BUA Deviation wrt Permissible area</t>
  </si>
  <si>
    <t>Final Area Considered</t>
  </si>
  <si>
    <t>Actual Area</t>
  </si>
  <si>
    <t>Sanctioned Area / Permissible Area</t>
  </si>
  <si>
    <t>Floor</t>
  </si>
  <si>
    <t>Built-up area (in case of individual properties)</t>
  </si>
  <si>
    <t>Whether property under
demolition list as per authority
(Y/N)</t>
  </si>
  <si>
    <t>Any developments like road widening / Govt takeover as per master plan/ local enquiry.</t>
  </si>
  <si>
    <t>property Coming under which limits</t>
  </si>
  <si>
    <t>Number and Date</t>
  </si>
  <si>
    <t>Plan approved by</t>
  </si>
  <si>
    <t>Building</t>
  </si>
  <si>
    <t>Layout/ Land</t>
  </si>
  <si>
    <t>Interiors</t>
  </si>
  <si>
    <t>Exteriors</t>
  </si>
  <si>
    <t>Quality of Construction</t>
  </si>
  <si>
    <t>Final Area considered for valuation</t>
  </si>
  <si>
    <t>Approved Area as per plan</t>
  </si>
  <si>
    <t>Document Area as per title deed</t>
  </si>
  <si>
    <t>Measured Area</t>
  </si>
  <si>
    <t>No. of rooms</t>
  </si>
  <si>
    <t>No. of Units in present floor</t>
  </si>
  <si>
    <t>Located on Floor No.</t>
  </si>
  <si>
    <t>Details on interiors</t>
  </si>
  <si>
    <t>Amenities Available (e.g.
Swimming Pool, Club House, Borewell, Jacuzzi
etc.)</t>
  </si>
  <si>
    <t>Amenities &amp; Fixed Interiors in the Building</t>
  </si>
  <si>
    <t>No. Of lifts</t>
  </si>
  <si>
    <t>Residual life of Building</t>
  </si>
  <si>
    <t>Age of Building</t>
  </si>
  <si>
    <t>Unit configuration</t>
  </si>
  <si>
    <t>Total No. of units floorwise</t>
  </si>
  <si>
    <t>No of Blocks/Wings</t>
  </si>
  <si>
    <t>Building Details</t>
  </si>
  <si>
    <t>Final Land area / UDS considered for valuation</t>
  </si>
  <si>
    <t>Type of plot</t>
  </si>
  <si>
    <t>Land/Plot Area as per plan</t>
  </si>
  <si>
    <t>Land/Plot Area as per title documents</t>
  </si>
  <si>
    <t>Land/Plot Area as site</t>
  </si>
  <si>
    <t>Land Details</t>
  </si>
  <si>
    <t>Reason for being vacant as per local enquiry</t>
  </si>
  <si>
    <t>If Vacant, Since how long</t>
  </si>
  <si>
    <t>Vacant/Occupied</t>
  </si>
  <si>
    <t>Occupant</t>
  </si>
  <si>
    <t>PROPERTY DETAILS</t>
  </si>
  <si>
    <t>Negative / adverse issues in Property and/or locality (if any)</t>
  </si>
  <si>
    <t>Distance from drain/ waterbody/ railway land/ high-tension wire/ Center of road (in case of NH/SH)</t>
  </si>
  <si>
    <t xml:space="preserve">Legal approach to the property as per documents </t>
  </si>
  <si>
    <t xml:space="preserve">Physical approach to the property as per site visit </t>
  </si>
  <si>
    <t>Width  of road</t>
  </si>
  <si>
    <t>Type of road</t>
  </si>
  <si>
    <t>Bus Stop (kms)</t>
  </si>
  <si>
    <t>Railway Station (kms)</t>
  </si>
  <si>
    <t>Proximity to civic
amenities/public
transport (kms)</t>
  </si>
  <si>
    <t xml:space="preserve">Site is </t>
  </si>
  <si>
    <t>Class of Locality</t>
  </si>
  <si>
    <t>Type</t>
  </si>
  <si>
    <t>Location</t>
  </si>
  <si>
    <t>SURROUNDING &amp; LOCALITY DETAILS</t>
  </si>
  <si>
    <t xml:space="preserve">If demarcated, type </t>
  </si>
  <si>
    <t>Property Demarcated</t>
  </si>
  <si>
    <t>Property Identified through</t>
  </si>
  <si>
    <t>Property Identified</t>
  </si>
  <si>
    <t>Boundaries Matching</t>
  </si>
  <si>
    <t>At site</t>
  </si>
  <si>
    <t>As per plan</t>
  </si>
  <si>
    <t>South</t>
  </si>
  <si>
    <t>North</t>
  </si>
  <si>
    <t>West</t>
  </si>
  <si>
    <t>East</t>
  </si>
  <si>
    <t>Boundaries</t>
  </si>
  <si>
    <t>BOUNDARIES</t>
  </si>
  <si>
    <t>Address Matching</t>
  </si>
  <si>
    <t>Pincode</t>
  </si>
  <si>
    <t>State</t>
  </si>
  <si>
    <t>City</t>
  </si>
  <si>
    <t>Main Locality of the
Property:</t>
  </si>
  <si>
    <t>Landmark</t>
  </si>
  <si>
    <t>Address as per Site</t>
  </si>
  <si>
    <t>Address as per Plan</t>
  </si>
  <si>
    <t>Address as per Title document</t>
  </si>
  <si>
    <t>Usage as per CDP/Master plan</t>
  </si>
  <si>
    <t>Current Usage</t>
  </si>
  <si>
    <t>Type of property</t>
  </si>
  <si>
    <t>Applicant/s Name/s / Owner Name</t>
  </si>
  <si>
    <t>BASIC DETAILS</t>
  </si>
  <si>
    <t>Relationship with applicant</t>
  </si>
  <si>
    <t>Contact person name &amp; Nmber</t>
  </si>
  <si>
    <t>Scope of valuation</t>
  </si>
  <si>
    <t>Valuation Report status-</t>
  </si>
  <si>
    <t>House Delivery Agency</t>
  </si>
  <si>
    <t>Type of Case/ Transaction</t>
  </si>
  <si>
    <t>Visit Date</t>
  </si>
  <si>
    <t xml:space="preserve">Report Date : </t>
  </si>
  <si>
    <t>Branch Name</t>
  </si>
  <si>
    <t>Remarks If any</t>
  </si>
  <si>
    <t>No. of floors (if plan available) / Height / FSI Norm (in absence of plan)</t>
  </si>
  <si>
    <t>Remark on Extra Coverage and impact on structure (if any)</t>
  </si>
  <si>
    <t>Function of Use</t>
  </si>
  <si>
    <t>Height of Building above ground level</t>
  </si>
  <si>
    <t>Type of foundation</t>
  </si>
  <si>
    <t>Horizontal floor type</t>
  </si>
  <si>
    <t>Concrete Grade</t>
  </si>
  <si>
    <t>Steel Grade</t>
  </si>
  <si>
    <t>DECLARATION (We hereby declare that) : To the best of our knowledge, the information furnished herein is true and correct.</t>
  </si>
  <si>
    <t xml:space="preserve">Name of Valuer visited &amp; contact  no. </t>
  </si>
  <si>
    <t>Signature and Stamp</t>
  </si>
  <si>
    <t xml:space="preserve"> Agency Name</t>
  </si>
  <si>
    <t>NA</t>
  </si>
  <si>
    <t>H.E.M. ASSOCIATES</t>
  </si>
  <si>
    <t>Distance from the Branch</t>
  </si>
  <si>
    <t>Latitude &amp; Longitude</t>
  </si>
  <si>
    <t>Yes</t>
  </si>
  <si>
    <t>Intermediate Plot</t>
  </si>
  <si>
    <t>FE 450</t>
  </si>
  <si>
    <t xml:space="preserve">Beams and slabs </t>
  </si>
  <si>
    <t xml:space="preserve">M25 </t>
  </si>
  <si>
    <t>Stand alone Structure</t>
  </si>
  <si>
    <t xml:space="preserve"> Low Damage Risk Zone</t>
  </si>
  <si>
    <t>Usage approved as per
 Plan</t>
  </si>
  <si>
    <t>Unit details (in case 
of flat)</t>
  </si>
  <si>
    <t>1) The final valuation has been concluded basis comparative market valuation approach and rates are cross-verified with the rates prevalent in the nearby localities.
2) We have no direct/indirect interest in the property valued.
3) The information furnished in the report is true and correct to the best of my knowledge.
4) Valuation is carried out based on the copies of documents/plan provided to us. We disclaim our responsibility towards the authentication of the documents/plan provided. An inspection of the property was performed and assistance was not received in preparation of the appraisal.
5) Value indicated in this report is an opinion of the valuer, which has been worked out on prevailing market rates. Fair market value of such properties in the locality may increase or decrease, depending on the future market conditions. If this property is offered as collateral security, the concerned financial institution is requested to verify the extent of land along with ownership details shown in this valuation.
6) report with respect to the latest legal report</t>
  </si>
  <si>
    <t>AP</t>
  </si>
  <si>
    <t>No</t>
  </si>
  <si>
    <r>
      <t>LAP</t>
    </r>
    <r>
      <rPr>
        <sz val="14"/>
        <color theme="1"/>
        <rFont val="Book Antiqua"/>
        <family val="1"/>
      </rPr>
      <t>/ BT / BT+Top-up</t>
    </r>
  </si>
  <si>
    <r>
      <t>Positive</t>
    </r>
    <r>
      <rPr>
        <sz val="14"/>
        <color theme="1"/>
        <rFont val="Book Antiqua"/>
        <family val="1"/>
      </rPr>
      <t xml:space="preserve"> / Negative</t>
    </r>
  </si>
  <si>
    <r>
      <t>Y/</t>
    </r>
    <r>
      <rPr>
        <sz val="14"/>
        <color theme="1"/>
        <rFont val="Book Antiqua"/>
        <family val="1"/>
      </rPr>
      <t>N</t>
    </r>
  </si>
  <si>
    <r>
      <t xml:space="preserve">Clear/ </t>
    </r>
    <r>
      <rPr>
        <sz val="14"/>
        <color theme="1"/>
        <rFont val="Book Antiqua"/>
        <family val="1"/>
      </rPr>
      <t>Not clear</t>
    </r>
  </si>
  <si>
    <r>
      <t>Clear</t>
    </r>
    <r>
      <rPr>
        <sz val="14"/>
        <color theme="1"/>
        <rFont val="Book Antiqua"/>
        <family val="1"/>
      </rPr>
      <t xml:space="preserve"> / Not Clear</t>
    </r>
  </si>
  <si>
    <r>
      <t xml:space="preserve">Independent </t>
    </r>
    <r>
      <rPr>
        <sz val="14"/>
        <color rgb="FF000000"/>
        <rFont val="Book Antiqua"/>
        <family val="1"/>
      </rPr>
      <t>/ Interconnected / Raft / Pile / Not able to assess since completed property</t>
    </r>
  </si>
  <si>
    <t xml:space="preserve">As per deed 
</t>
  </si>
  <si>
    <t>H.E.M ASSOCIATES D.No: 36-31-7, Shop No:03
Karthik Plaza, Innespeta
Rajamahendravaram, - 533101
9912611777
hem.valuation@gmail.com</t>
  </si>
  <si>
    <t>KRAZYBEE SERVICES LIMITED TECHNICAL SCRUTINY REPORT</t>
  </si>
  <si>
    <r>
      <t>Y</t>
    </r>
    <r>
      <rPr>
        <sz val="14"/>
        <color theme="1"/>
        <rFont val="Book Antiqua"/>
        <family val="1"/>
      </rPr>
      <t>/N</t>
    </r>
  </si>
  <si>
    <t>within 1 KM</t>
  </si>
  <si>
    <t>Commissioner</t>
  </si>
  <si>
    <t>First Floor</t>
  </si>
  <si>
    <r>
      <t>Residential /</t>
    </r>
    <r>
      <rPr>
        <sz val="14"/>
        <color theme="1"/>
        <rFont val="Book Antiqua"/>
        <family val="1"/>
      </rPr>
      <t xml:space="preserve"> Commercial / Industrial/ Mixed</t>
    </r>
  </si>
  <si>
    <r>
      <rPr>
        <sz val="14"/>
        <color theme="1"/>
        <rFont val="Book Antiqua"/>
        <family val="1"/>
      </rPr>
      <t xml:space="preserve">Prime / </t>
    </r>
    <r>
      <rPr>
        <b/>
        <sz val="14"/>
        <color theme="1"/>
        <rFont val="Book Antiqua"/>
        <family val="1"/>
      </rPr>
      <t>Residential</t>
    </r>
    <r>
      <rPr>
        <sz val="14"/>
        <color theme="1"/>
        <rFont val="Book Antiqua"/>
        <family val="1"/>
      </rPr>
      <t xml:space="preserve">/ Commercial / retail </t>
    </r>
  </si>
  <si>
    <r>
      <t>Residential/</t>
    </r>
    <r>
      <rPr>
        <sz val="14"/>
        <color theme="1"/>
        <rFont val="Book Antiqua"/>
        <family val="1"/>
      </rPr>
      <t>Commercial</t>
    </r>
  </si>
  <si>
    <t>Grama Panchayati</t>
  </si>
  <si>
    <r>
      <t>Residential /</t>
    </r>
    <r>
      <rPr>
        <sz val="14"/>
        <color rgb="FF000000"/>
        <rFont val="Book Antiqua"/>
        <family val="1"/>
      </rPr>
      <t>Commercial</t>
    </r>
    <r>
      <rPr>
        <b/>
        <sz val="14"/>
        <color rgb="FF000000"/>
        <rFont val="Book Antiqua"/>
        <family val="1"/>
      </rPr>
      <t>/</t>
    </r>
    <r>
      <rPr>
        <sz val="14"/>
        <color rgb="FF000000"/>
        <rFont val="Book Antiqua"/>
        <family val="1"/>
      </rPr>
      <t xml:space="preserve"> Non- Residential / Critical Lifeline (Infrastructural development)</t>
    </r>
  </si>
  <si>
    <r>
      <rPr>
        <sz val="14"/>
        <color theme="1"/>
        <rFont val="Book Antiqua"/>
        <family val="1"/>
      </rPr>
      <t>Graval</t>
    </r>
    <r>
      <rPr>
        <b/>
        <sz val="14"/>
        <color theme="1"/>
        <rFont val="Book Antiqua"/>
        <family val="1"/>
      </rPr>
      <t xml:space="preserve"> /CC</t>
    </r>
    <r>
      <rPr>
        <sz val="14"/>
        <color theme="1"/>
        <rFont val="Book Antiqua"/>
        <family val="1"/>
      </rPr>
      <t xml:space="preserve"> / Bitumen</t>
    </r>
    <r>
      <rPr>
        <b/>
        <sz val="14"/>
        <color theme="1"/>
        <rFont val="Book Antiqua"/>
        <family val="1"/>
      </rPr>
      <t>/</t>
    </r>
    <r>
      <rPr>
        <sz val="14"/>
        <color theme="1"/>
        <rFont val="Book Antiqua"/>
        <family val="1"/>
      </rPr>
      <t xml:space="preserve"> Mud road</t>
    </r>
  </si>
  <si>
    <t xml:space="preserve">Built Up area (GF/RCC) Residential </t>
  </si>
  <si>
    <t>In Completed</t>
  </si>
  <si>
    <t xml:space="preserve">Vacant Land </t>
  </si>
  <si>
    <t>40ft CC Road</t>
  </si>
  <si>
    <t xml:space="preserve">40' </t>
  </si>
  <si>
    <t xml:space="preserve">Vijayawada     </t>
  </si>
  <si>
    <t xml:space="preserve"> SUNIL KUMAR YALANGI</t>
  </si>
  <si>
    <t xml:space="preserve"> SUNIL KUMAR YALANGI/ 9848140092 </t>
  </si>
  <si>
    <t>RAVINDRA</t>
  </si>
  <si>
    <t>67.1 Km</t>
  </si>
  <si>
    <t>Nearest Door no 1-61, Currently Nearest Door no 11-146, Srvy No: 87/12, Gavaravaram Village, Srinivasarao Peta Gram Panchayat, Vatluru Sub -District, Eluru Urban Mandal, West Godavari District, Currently Eluru District, ANDHRA PRADESH- 534003.</t>
  </si>
  <si>
    <t>Near Bandhan Bank</t>
  </si>
  <si>
    <t>Gavaravaram</t>
  </si>
  <si>
    <t>16.715240, 81.087150</t>
  </si>
  <si>
    <t>Grama Panchayati Road</t>
  </si>
  <si>
    <t>Wall of Rayudu Georges</t>
  </si>
  <si>
    <t>Wall of Pakalapati mary lalitha kumar</t>
  </si>
  <si>
    <t>Property Tax</t>
  </si>
  <si>
    <t>3.2 Kms</t>
  </si>
  <si>
    <t xml:space="preserve">1.6 Kms </t>
  </si>
  <si>
    <t xml:space="preserve"> 1. Copy of Gift Deed With Doct No. 2327/2025, Dated on 11-06-2025, In Favour of Yalangi Priyanka W/O Yalangi Sunil Kumar  .
 2. Copy of Property Tax With Asses no 1075061326, Dated 04-05-2026, in favour of Yalangi Padma Sukumar.
</t>
  </si>
  <si>
    <t>West Godavari district present eluru district Vatluru Sub district Eluru Municipal corporation Eluru Urban mandal Sanivarapu Peta Gram Panchayat Gavaravaram village R.S.No. 87/12 West Godavari ANDHRA PRADESH 534003</t>
  </si>
  <si>
    <t>Building of Yalangi Padma Kumari</t>
  </si>
  <si>
    <t>G+1 Rcc House Belongs to Applicant</t>
  </si>
  <si>
    <t>Rcc House Rayudu Georges</t>
  </si>
  <si>
    <t>Rcc House Pakalapati mary lalitha kumar</t>
  </si>
  <si>
    <t xml:space="preserve">Vacant </t>
  </si>
  <si>
    <r>
      <rPr>
        <b/>
        <sz val="14"/>
        <color theme="1"/>
        <rFont val="Book Antiqua"/>
        <family val="1"/>
      </rPr>
      <t>Compound wall</t>
    </r>
    <r>
      <rPr>
        <sz val="14"/>
        <color theme="1"/>
        <rFont val="Book Antiqua"/>
        <family val="1"/>
      </rPr>
      <t xml:space="preserve">/ Barbed wire fencing / </t>
    </r>
    <r>
      <rPr>
        <b/>
        <sz val="14"/>
        <color theme="1"/>
        <rFont val="Book Antiqua"/>
        <family val="1"/>
      </rPr>
      <t>Four side stone boundary</t>
    </r>
  </si>
  <si>
    <r>
      <t xml:space="preserve">Remark:- 
</t>
    </r>
    <r>
      <rPr>
        <sz val="14"/>
        <color theme="1"/>
        <rFont val="Book Antiqua"/>
        <family val="1"/>
      </rPr>
      <t>1. Subject Property is an Vacant Land, located with in Srinivasarao Peta Gram Panchayat limits.
2. Property is Identified Thought, West Side House Property Tax Belongs to Applicant.
3. Property is Surrounded by Residential .
4.  Land area mentioned as per Document is 442 Sq yds and as per Physical is 442 Sq yds. Hence same considered valuation.  
4. Legal aspects are beyond scope of valuation
5. Sy no is property identified in Bhuvan 2d maps, as per doc is 87/12, but as per bhuvan 2d map is 87, Attached the same for your reference.
6. Sy no of property is not found in Prohibited Properties, this is for your information.
7. GPS Coordinates: 16.715240, 81.087150.
8. West boundary property tax has been provided in Favor of Yalangi Sunil Kumar.</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</si>
</sst>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 &quot;Sq.yds&quot;"/>
    <numFmt numFmtId="165" formatCode="#\ &quot;Years&quot;"/>
    <numFmt numFmtId="166" formatCode="#\ &quot;Sft&quot;"/>
    <numFmt numFmtId="167" formatCode="#,###\ &quot;Sft&quot;"/>
    <numFmt numFmtId="168" formatCode="#,###\ &quot;Sq.yds&quot;"/>
  </numFmts>
  <fonts count="5" x14ac:knownFonts="1">
    <font>
      <sz val="11"/>
      <color theme="1"/>
      <name val="Calibri"/>
      <family val="2"/>
      <scheme val="minor"/>
    </font>
    <font>
      <b/>
      <sz val="14"/>
      <color theme="1"/>
      <name val="Book Antiqua"/>
      <family val="1"/>
    </font>
    <font>
      <sz val="14"/>
      <color theme="1"/>
      <name val="Book Antiqua"/>
      <family val="1"/>
    </font>
    <font>
      <b/>
      <sz val="14"/>
      <color rgb="FF000000"/>
      <name val="Book Antiqua"/>
      <family val="1"/>
    </font>
    <font>
      <sz val="14"/>
      <color rgb="FF000000"/>
      <name val="Book Antiqua"/>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0">
    <xf numFmtId="0" fontId="0" fillId="0" borderId="0" xfId="0"/>
    <xf numFmtId="14" fontId="1" fillId="2" borderId="1" xfId="0" applyNumberFormat="1" applyFont="1" applyFill="1" applyBorder="1" applyAlignment="1">
      <alignment horizontal="left" vertical="top"/>
    </xf>
    <xf numFmtId="0" fontId="2" fillId="2" borderId="4" xfId="0" applyFont="1" applyFill="1" applyBorder="1" applyAlignment="1">
      <alignment horizontal="left" vertical="top"/>
    </xf>
    <xf numFmtId="0" fontId="2" fillId="0" borderId="2" xfId="0" applyFont="1" applyBorder="1" applyAlignment="1">
      <alignment horizontal="left" vertical="top"/>
    </xf>
    <xf numFmtId="0" fontId="2" fillId="0" borderId="0" xfId="0" applyFont="1" applyAlignment="1">
      <alignment horizontal="left" vertical="top"/>
    </xf>
    <xf numFmtId="0" fontId="2" fillId="2" borderId="0" xfId="0" applyFont="1" applyFill="1" applyAlignment="1">
      <alignment horizontal="left" vertical="top"/>
    </xf>
    <xf numFmtId="0" fontId="2" fillId="2" borderId="2" xfId="0" applyFont="1" applyFill="1" applyBorder="1" applyAlignment="1">
      <alignment horizontal="left" vertical="top"/>
    </xf>
    <xf numFmtId="0" fontId="2" fillId="0" borderId="3" xfId="0" applyFont="1"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xf>
    <xf numFmtId="9" fontId="1" fillId="2" borderId="1" xfId="0" applyNumberFormat="1" applyFont="1" applyFill="1" applyBorder="1" applyAlignment="1">
      <alignment horizontal="left" vertical="top" wrapText="1"/>
    </xf>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1" fillId="2" borderId="7" xfId="0" applyFont="1" applyFill="1" applyBorder="1" applyAlignment="1">
      <alignment horizontal="center" vertical="top"/>
    </xf>
    <xf numFmtId="0" fontId="1" fillId="2" borderId="8" xfId="0" applyFont="1" applyFill="1" applyBorder="1" applyAlignment="1">
      <alignment horizontal="center" vertical="top"/>
    </xf>
    <xf numFmtId="0" fontId="1" fillId="2" borderId="0" xfId="0" applyFont="1" applyFill="1" applyAlignment="1">
      <alignment horizontal="center" vertical="top"/>
    </xf>
    <xf numFmtId="0" fontId="1" fillId="2" borderId="9" xfId="0" applyFont="1" applyFill="1" applyBorder="1" applyAlignment="1">
      <alignment horizontal="center" vertical="top"/>
    </xf>
    <xf numFmtId="0" fontId="1" fillId="2" borderId="10" xfId="0" applyFont="1" applyFill="1" applyBorder="1" applyAlignment="1">
      <alignment horizontal="center" vertical="top"/>
    </xf>
    <xf numFmtId="0" fontId="1" fillId="2" borderId="11" xfId="0" applyFont="1" applyFill="1" applyBorder="1" applyAlignment="1">
      <alignment horizontal="center" vertical="top"/>
    </xf>
    <xf numFmtId="0" fontId="1" fillId="2" borderId="12" xfId="0" applyFont="1" applyFill="1" applyBorder="1" applyAlignment="1">
      <alignment horizontal="center" vertical="top"/>
    </xf>
    <xf numFmtId="0" fontId="1" fillId="2" borderId="1" xfId="0" applyFont="1" applyFill="1" applyBorder="1" applyAlignment="1">
      <alignment horizontal="center" vertical="top"/>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3" fontId="1" fillId="2" borderId="1" xfId="0" applyNumberFormat="1" applyFont="1" applyFill="1" applyBorder="1" applyAlignment="1">
      <alignment horizontal="left" vertical="top"/>
    </xf>
    <xf numFmtId="165" fontId="1" fillId="2" borderId="1" xfId="0" applyNumberFormat="1" applyFont="1" applyFill="1" applyBorder="1" applyAlignment="1">
      <alignment horizontal="left" vertical="top" wrapText="1"/>
    </xf>
    <xf numFmtId="0" fontId="2" fillId="2" borderId="1" xfId="0" applyFont="1" applyFill="1" applyBorder="1" applyAlignment="1">
      <alignment horizontal="left" vertical="top"/>
    </xf>
    <xf numFmtId="0" fontId="2"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164" fontId="1" fillId="2" borderId="1" xfId="0" applyNumberFormat="1" applyFont="1" applyFill="1" applyBorder="1" applyAlignment="1">
      <alignment horizontal="left" vertical="top"/>
    </xf>
    <xf numFmtId="0" fontId="2" fillId="0" borderId="1" xfId="0" applyFont="1" applyBorder="1" applyAlignment="1">
      <alignment horizontal="right" vertical="top" wrapText="1"/>
    </xf>
    <xf numFmtId="0" fontId="2" fillId="0" borderId="1" xfId="0" applyFont="1" applyBorder="1" applyAlignment="1">
      <alignment horizontal="right" vertical="top"/>
    </xf>
    <xf numFmtId="166" fontId="2" fillId="2" borderId="1" xfId="0" applyNumberFormat="1" applyFont="1" applyFill="1" applyBorder="1" applyAlignment="1">
      <alignment horizontal="left" vertical="top"/>
    </xf>
    <xf numFmtId="168" fontId="1" fillId="2" borderId="1" xfId="0" applyNumberFormat="1" applyFont="1" applyFill="1" applyBorder="1" applyAlignment="1">
      <alignment horizontal="left" vertical="top"/>
    </xf>
    <xf numFmtId="167" fontId="1" fillId="2" borderId="1" xfId="0" applyNumberFormat="1" applyFont="1" applyFill="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1" fillId="0" borderId="1" xfId="0" applyFont="1" applyBorder="1" applyAlignment="1">
      <alignment horizontal="left" vertical="top"/>
    </xf>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8.jpeg"/><Relationship Id="rId21" Type="http://schemas.openxmlformats.org/officeDocument/2006/relationships/image" Target="../media/image3.jpeg"/><Relationship Id="rId25" Type="http://schemas.openxmlformats.org/officeDocument/2006/relationships/image" Target="../media/image7.png"/><Relationship Id="rId2" Type="http://schemas.openxmlformats.org/officeDocument/2006/relationships/customXml" Target="../ink/ink1.xml"/><Relationship Id="rId20" Type="http://schemas.openxmlformats.org/officeDocument/2006/relationships/image" Target="../media/image2.jpeg"/><Relationship Id="rId29" Type="http://schemas.openxmlformats.org/officeDocument/2006/relationships/image" Target="../media/image11.png"/><Relationship Id="rId1" Type="http://schemas.openxmlformats.org/officeDocument/2006/relationships/image" Target="../media/image1.png"/><Relationship Id="rId24" Type="http://schemas.openxmlformats.org/officeDocument/2006/relationships/image" Target="../media/image6.jpeg"/><Relationship Id="rId32" Type="http://schemas.openxmlformats.org/officeDocument/2006/relationships/image" Target="../media/image14.png"/><Relationship Id="rId23" Type="http://schemas.openxmlformats.org/officeDocument/2006/relationships/image" Target="../media/image5.jpeg"/><Relationship Id="rId28" Type="http://schemas.openxmlformats.org/officeDocument/2006/relationships/image" Target="../media/image10.jpeg"/><Relationship Id="rId19" Type="http://schemas.openxmlformats.org/officeDocument/2006/relationships/image" Target="../media/image17.png"/><Relationship Id="rId31" Type="http://schemas.openxmlformats.org/officeDocument/2006/relationships/image" Target="../media/image13.png"/><Relationship Id="rId22" Type="http://schemas.openxmlformats.org/officeDocument/2006/relationships/image" Target="../media/image4.jpeg"/><Relationship Id="rId27" Type="http://schemas.openxmlformats.org/officeDocument/2006/relationships/image" Target="../media/image9.jpeg"/><Relationship Id="rId30"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395941</xdr:colOff>
      <xdr:row>0</xdr:row>
      <xdr:rowOff>134471</xdr:rowOff>
    </xdr:from>
    <xdr:to>
      <xdr:col>7</xdr:col>
      <xdr:colOff>971176</xdr:colOff>
      <xdr:row>0</xdr:row>
      <xdr:rowOff>1718235</xdr:rowOff>
    </xdr:to>
    <xdr:pic>
      <xdr:nvPicPr>
        <xdr:cNvPr id="19" name="Picture 18">
          <a:extLst>
            <a:ext uri="{FF2B5EF4-FFF2-40B4-BE49-F238E27FC236}">
              <a16:creationId xmlns:a16="http://schemas.microsoft.com/office/drawing/2014/main" xmlns="" id="{00000000-0008-0000-0000-000013000000}"/>
            </a:ext>
          </a:extLst>
        </xdr:cNvPr>
        <xdr:cNvPicPr>
          <a:picLocks noChangeAspect="1"/>
        </xdr:cNvPicPr>
      </xdr:nvPicPr>
      <xdr:blipFill>
        <a:blip xmlns:r="http://schemas.openxmlformats.org/officeDocument/2006/relationships" r:embed="rId1"/>
        <a:stretch>
          <a:fillRect/>
        </a:stretch>
      </xdr:blipFill>
      <xdr:spPr>
        <a:xfrm>
          <a:off x="395941" y="134471"/>
          <a:ext cx="7933765" cy="1583764"/>
        </a:xfrm>
        <a:prstGeom prst="rect">
          <a:avLst/>
        </a:prstGeom>
      </xdr:spPr>
    </xdr:pic>
    <xdr:clientData/>
  </xdr:twoCellAnchor>
  <xdr:twoCellAnchor editAs="oneCell">
    <xdr:from>
      <xdr:col>12</xdr:col>
      <xdr:colOff>143202</xdr:colOff>
      <xdr:row>265</xdr:row>
      <xdr:rowOff>0</xdr:rowOff>
    </xdr:from>
    <xdr:to>
      <xdr:col>12</xdr:col>
      <xdr:colOff>143562</xdr:colOff>
      <xdr:row>265</xdr:row>
      <xdr:rowOff>86</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22" name="Ink 21">
              <a:extLst>
                <a:ext uri="{FF2B5EF4-FFF2-40B4-BE49-F238E27FC236}">
                  <a16:creationId xmlns:a16="http://schemas.microsoft.com/office/drawing/2014/main" xmlns="" id="{00000000-0008-0000-0000-000016000000}"/>
                </a:ext>
              </a:extLst>
            </xdr14:cNvPr>
            <xdr14:cNvContentPartPr/>
          </xdr14:nvContentPartPr>
          <xdr14:nvPr macro=""/>
          <xdr14:xfrm>
            <a:off x="13106273" y="93000423"/>
            <a:ext cx="360" cy="86"/>
          </xdr14:xfrm>
        </xdr:contentPart>
      </mc:Choice>
      <mc:Fallback xmlns="">
        <xdr:pic>
          <xdr:nvPicPr>
            <xdr:cNvPr id="22" name="Ink 21">
              <a:extLst>
                <a:ext uri="{FF2B5EF4-FFF2-40B4-BE49-F238E27FC236}">
                  <a16:creationId xmlns:a16="http://schemas.microsoft.com/office/drawing/2014/main" id="{E2CEC74E-E18E-0669-5A2F-5C74A3AB3B24}"/>
                </a:ext>
              </a:extLst>
            </xdr:cNvPr>
            <xdr:cNvPicPr/>
          </xdr:nvPicPr>
          <xdr:blipFill>
            <a:blip xmlns:r="http://schemas.openxmlformats.org/officeDocument/2006/relationships" r:embed="rId19"/>
            <a:stretch>
              <a:fillRect/>
            </a:stretch>
          </xdr:blipFill>
          <xdr:spPr>
            <a:xfrm>
              <a:off x="11638800" y="81160179"/>
              <a:ext cx="12600" cy="12600"/>
            </a:xfrm>
            <a:prstGeom prst="rect">
              <a:avLst/>
            </a:prstGeom>
          </xdr:spPr>
        </xdr:pic>
      </mc:Fallback>
    </mc:AlternateContent>
    <xdr:clientData/>
  </xdr:twoCellAnchor>
  <xdr:twoCellAnchor>
    <xdr:from>
      <xdr:col>0</xdr:col>
      <xdr:colOff>0</xdr:colOff>
      <xdr:row>129</xdr:row>
      <xdr:rowOff>0</xdr:rowOff>
    </xdr:from>
    <xdr:to>
      <xdr:col>5</xdr:col>
      <xdr:colOff>647700</xdr:colOff>
      <xdr:row>129</xdr:row>
      <xdr:rowOff>3438812</xdr:rowOff>
    </xdr:to>
    <xdr:pic>
      <xdr:nvPicPr>
        <xdr:cNvPr id="2" name="Picture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0" y="63541894"/>
          <a:ext cx="5810250" cy="3438812"/>
        </a:xfrm>
        <a:prstGeom prst="rect">
          <a:avLst/>
        </a:prstGeom>
      </xdr:spPr>
    </xdr:pic>
    <xdr:clientData/>
  </xdr:twoCellAnchor>
  <xdr:twoCellAnchor>
    <xdr:from>
      <xdr:col>0</xdr:col>
      <xdr:colOff>0</xdr:colOff>
      <xdr:row>131</xdr:row>
      <xdr:rowOff>0</xdr:rowOff>
    </xdr:from>
    <xdr:to>
      <xdr:col>5</xdr:col>
      <xdr:colOff>647700</xdr:colOff>
      <xdr:row>131</xdr:row>
      <xdr:rowOff>4029341</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4188414" y="63581920"/>
          <a:ext cx="5810250" cy="4029341"/>
        </a:xfrm>
        <a:prstGeom prst="rect">
          <a:avLst/>
        </a:prstGeom>
      </xdr:spPr>
    </xdr:pic>
    <xdr:clientData/>
  </xdr:twoCellAnchor>
  <xdr:twoCellAnchor>
    <xdr:from>
      <xdr:col>5</xdr:col>
      <xdr:colOff>657225</xdr:colOff>
      <xdr:row>129</xdr:row>
      <xdr:rowOff>0</xdr:rowOff>
    </xdr:from>
    <xdr:to>
      <xdr:col>10</xdr:col>
      <xdr:colOff>1866900</xdr:colOff>
      <xdr:row>129</xdr:row>
      <xdr:rowOff>3438812</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8617807" y="63572500"/>
          <a:ext cx="6743700" cy="3438812"/>
        </a:xfrm>
        <a:prstGeom prst="rect">
          <a:avLst/>
        </a:prstGeom>
      </xdr:spPr>
    </xdr:pic>
    <xdr:clientData/>
  </xdr:twoCellAnchor>
  <xdr:twoCellAnchor>
    <xdr:from>
      <xdr:col>5</xdr:col>
      <xdr:colOff>657225</xdr:colOff>
      <xdr:row>133</xdr:row>
      <xdr:rowOff>0</xdr:rowOff>
    </xdr:from>
    <xdr:to>
      <xdr:col>10</xdr:col>
      <xdr:colOff>1866900</xdr:colOff>
      <xdr:row>133</xdr:row>
      <xdr:rowOff>3981355</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0" y="66978079"/>
          <a:ext cx="6743700" cy="3981355"/>
        </a:xfrm>
        <a:prstGeom prst="rect">
          <a:avLst/>
        </a:prstGeom>
      </xdr:spPr>
    </xdr:pic>
    <xdr:clientData/>
  </xdr:twoCellAnchor>
  <xdr:twoCellAnchor>
    <xdr:from>
      <xdr:col>0</xdr:col>
      <xdr:colOff>0</xdr:colOff>
      <xdr:row>133</xdr:row>
      <xdr:rowOff>0</xdr:rowOff>
    </xdr:from>
    <xdr:to>
      <xdr:col>5</xdr:col>
      <xdr:colOff>647700</xdr:colOff>
      <xdr:row>133</xdr:row>
      <xdr:rowOff>3981355</xdr:rowOff>
    </xdr:to>
    <xdr:pic>
      <xdr:nvPicPr>
        <xdr:cNvPr id="10" name="Picture 9">
          <a:extLst>
            <a:ext uri="{FF2B5EF4-FFF2-40B4-BE49-F238E27FC236}">
              <a16:creationId xmlns:a16="http://schemas.microsoft.com/office/drawing/2014/main" xmlns="" id="{00000000-0008-0000-0000-00000A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200347" y="66962702"/>
          <a:ext cx="5810250" cy="3981355"/>
        </a:xfrm>
        <a:prstGeom prst="rect">
          <a:avLst/>
        </a:prstGeom>
      </xdr:spPr>
    </xdr:pic>
    <xdr:clientData/>
  </xdr:twoCellAnchor>
  <xdr:twoCellAnchor>
    <xdr:from>
      <xdr:col>5</xdr:col>
      <xdr:colOff>657225</xdr:colOff>
      <xdr:row>131</xdr:row>
      <xdr:rowOff>0</xdr:rowOff>
    </xdr:from>
    <xdr:to>
      <xdr:col>10</xdr:col>
      <xdr:colOff>1866900</xdr:colOff>
      <xdr:row>131</xdr:row>
      <xdr:rowOff>4029341</xdr:rowOff>
    </xdr:to>
    <xdr:pic>
      <xdr:nvPicPr>
        <xdr:cNvPr id="12" name="Picture 11">
          <a:extLst>
            <a:ext uri="{FF2B5EF4-FFF2-40B4-BE49-F238E27FC236}">
              <a16:creationId xmlns:a16="http://schemas.microsoft.com/office/drawing/2014/main" xmlns="" id="{00000000-0008-0000-0000-00000C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8602923" y="66957307"/>
          <a:ext cx="6743700" cy="4029341"/>
        </a:xfrm>
        <a:prstGeom prst="rect">
          <a:avLst/>
        </a:prstGeom>
      </xdr:spPr>
    </xdr:pic>
    <xdr:clientData/>
  </xdr:twoCellAnchor>
  <xdr:twoCellAnchor>
    <xdr:from>
      <xdr:col>0</xdr:col>
      <xdr:colOff>0</xdr:colOff>
      <xdr:row>137</xdr:row>
      <xdr:rowOff>0</xdr:rowOff>
    </xdr:from>
    <xdr:to>
      <xdr:col>10</xdr:col>
      <xdr:colOff>1866900</xdr:colOff>
      <xdr:row>137</xdr:row>
      <xdr:rowOff>3996755</xdr:rowOff>
    </xdr:to>
    <xdr:pic>
      <xdr:nvPicPr>
        <xdr:cNvPr id="13" name="Picture 12">
          <a:extLst>
            <a:ext uri="{FF2B5EF4-FFF2-40B4-BE49-F238E27FC236}">
              <a16:creationId xmlns:a16="http://schemas.microsoft.com/office/drawing/2014/main" xmlns="" id="{00000000-0008-0000-0000-00000D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0" y="70963180"/>
          <a:ext cx="12563475" cy="3996755"/>
        </a:xfrm>
        <a:prstGeom prst="rect">
          <a:avLst/>
        </a:prstGeom>
      </xdr:spPr>
    </xdr:pic>
    <xdr:clientData/>
  </xdr:twoCellAnchor>
  <xdr:twoCellAnchor>
    <xdr:from>
      <xdr:col>0</xdr:col>
      <xdr:colOff>0</xdr:colOff>
      <xdr:row>135</xdr:row>
      <xdr:rowOff>0</xdr:rowOff>
    </xdr:from>
    <xdr:to>
      <xdr:col>5</xdr:col>
      <xdr:colOff>647700</xdr:colOff>
      <xdr:row>135</xdr:row>
      <xdr:rowOff>3997041</xdr:rowOff>
    </xdr:to>
    <xdr:pic>
      <xdr:nvPicPr>
        <xdr:cNvPr id="14" name="Picture 13">
          <a:extLst>
            <a:ext uri="{FF2B5EF4-FFF2-40B4-BE49-F238E27FC236}">
              <a16:creationId xmlns:a16="http://schemas.microsoft.com/office/drawing/2014/main" xmlns="" id="{00000000-0008-0000-0000-00000E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209869" y="70962894"/>
          <a:ext cx="5810250" cy="3997041"/>
        </a:xfrm>
        <a:prstGeom prst="rect">
          <a:avLst/>
        </a:prstGeom>
      </xdr:spPr>
    </xdr:pic>
    <xdr:clientData/>
  </xdr:twoCellAnchor>
  <xdr:twoCellAnchor>
    <xdr:from>
      <xdr:col>0</xdr:col>
      <xdr:colOff>0</xdr:colOff>
      <xdr:row>139</xdr:row>
      <xdr:rowOff>0</xdr:rowOff>
    </xdr:from>
    <xdr:to>
      <xdr:col>5</xdr:col>
      <xdr:colOff>647700</xdr:colOff>
      <xdr:row>139</xdr:row>
      <xdr:rowOff>3946241</xdr:rowOff>
    </xdr:to>
    <xdr:pic>
      <xdr:nvPicPr>
        <xdr:cNvPr id="15" name="Picture 14">
          <a:extLst>
            <a:ext uri="{FF2B5EF4-FFF2-40B4-BE49-F238E27FC236}">
              <a16:creationId xmlns:a16="http://schemas.microsoft.com/office/drawing/2014/main" xmlns="" id="{00000000-0008-0000-0000-00000F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8615600" y="71014601"/>
          <a:ext cx="5810250" cy="3946241"/>
        </a:xfrm>
        <a:prstGeom prst="rect">
          <a:avLst/>
        </a:prstGeom>
      </xdr:spPr>
    </xdr:pic>
    <xdr:clientData/>
  </xdr:twoCellAnchor>
  <xdr:twoCellAnchor>
    <xdr:from>
      <xdr:col>0</xdr:col>
      <xdr:colOff>0</xdr:colOff>
      <xdr:row>127</xdr:row>
      <xdr:rowOff>0</xdr:rowOff>
    </xdr:from>
    <xdr:to>
      <xdr:col>10</xdr:col>
      <xdr:colOff>1866900</xdr:colOff>
      <xdr:row>127</xdr:row>
      <xdr:rowOff>4572000</xdr:rowOff>
    </xdr:to>
    <xdr:pic>
      <xdr:nvPicPr>
        <xdr:cNvPr id="16" name="Picture 15">
          <a:extLst>
            <a:ext uri="{FF2B5EF4-FFF2-40B4-BE49-F238E27FC236}">
              <a16:creationId xmlns:a16="http://schemas.microsoft.com/office/drawing/2014/main" xmlns="" id="{00000000-0008-0000-0000-000010000000}"/>
            </a:ext>
          </a:extLst>
        </xdr:cNvPr>
        <xdr:cNvPicPr>
          <a:picLocks noChangeAspect="1"/>
        </xdr:cNvPicPr>
      </xdr:nvPicPr>
      <xdr:blipFill>
        <a:blip xmlns:r="http://schemas.openxmlformats.org/officeDocument/2006/relationships" r:embed="rId29"/>
        <a:stretch>
          <a:fillRect/>
        </a:stretch>
      </xdr:blipFill>
      <xdr:spPr>
        <a:xfrm>
          <a:off x="0" y="58590873"/>
          <a:ext cx="12563475" cy="4572000"/>
        </a:xfrm>
        <a:prstGeom prst="rect">
          <a:avLst/>
        </a:prstGeom>
      </xdr:spPr>
    </xdr:pic>
    <xdr:clientData/>
  </xdr:twoCellAnchor>
  <xdr:twoCellAnchor>
    <xdr:from>
      <xdr:col>0</xdr:col>
      <xdr:colOff>0</xdr:colOff>
      <xdr:row>141</xdr:row>
      <xdr:rowOff>0</xdr:rowOff>
    </xdr:from>
    <xdr:to>
      <xdr:col>10</xdr:col>
      <xdr:colOff>1866900</xdr:colOff>
      <xdr:row>141</xdr:row>
      <xdr:rowOff>4221805</xdr:rowOff>
    </xdr:to>
    <xdr:pic>
      <xdr:nvPicPr>
        <xdr:cNvPr id="17" name="Picture 16">
          <a:extLst>
            <a:ext uri="{FF2B5EF4-FFF2-40B4-BE49-F238E27FC236}">
              <a16:creationId xmlns:a16="http://schemas.microsoft.com/office/drawing/2014/main" xmlns="" id="{00000000-0008-0000-0000-000011000000}"/>
            </a:ext>
          </a:extLst>
        </xdr:cNvPr>
        <xdr:cNvPicPr>
          <a:picLocks noChangeAspect="1"/>
        </xdr:cNvPicPr>
      </xdr:nvPicPr>
      <xdr:blipFill>
        <a:blip xmlns:r="http://schemas.openxmlformats.org/officeDocument/2006/relationships" r:embed="rId30"/>
        <a:stretch>
          <a:fillRect/>
        </a:stretch>
      </xdr:blipFill>
      <xdr:spPr>
        <a:xfrm>
          <a:off x="0" y="75010320"/>
          <a:ext cx="12563475" cy="4221805"/>
        </a:xfrm>
        <a:prstGeom prst="rect">
          <a:avLst/>
        </a:prstGeom>
      </xdr:spPr>
    </xdr:pic>
    <xdr:clientData/>
  </xdr:twoCellAnchor>
  <xdr:twoCellAnchor>
    <xdr:from>
      <xdr:col>0</xdr:col>
      <xdr:colOff>0</xdr:colOff>
      <xdr:row>143</xdr:row>
      <xdr:rowOff>0</xdr:rowOff>
    </xdr:from>
    <xdr:to>
      <xdr:col>10</xdr:col>
      <xdr:colOff>1866900</xdr:colOff>
      <xdr:row>143</xdr:row>
      <xdr:rowOff>4303538</xdr:rowOff>
    </xdr:to>
    <xdr:pic>
      <xdr:nvPicPr>
        <xdr:cNvPr id="21" name="Picture 20">
          <a:extLst>
            <a:ext uri="{FF2B5EF4-FFF2-40B4-BE49-F238E27FC236}">
              <a16:creationId xmlns:a16="http://schemas.microsoft.com/office/drawing/2014/main" xmlns="" id="{00000000-0008-0000-0000-000015000000}"/>
            </a:ext>
          </a:extLst>
        </xdr:cNvPr>
        <xdr:cNvPicPr>
          <a:picLocks noChangeAspect="1"/>
        </xdr:cNvPicPr>
      </xdr:nvPicPr>
      <xdr:blipFill>
        <a:blip xmlns:r="http://schemas.openxmlformats.org/officeDocument/2006/relationships" r:embed="rId31"/>
        <a:stretch>
          <a:fillRect/>
        </a:stretch>
      </xdr:blipFill>
      <xdr:spPr>
        <a:xfrm>
          <a:off x="0" y="79239784"/>
          <a:ext cx="12563475" cy="4303538"/>
        </a:xfrm>
        <a:prstGeom prst="rect">
          <a:avLst/>
        </a:prstGeom>
      </xdr:spPr>
    </xdr:pic>
    <xdr:clientData/>
  </xdr:twoCellAnchor>
  <xdr:twoCellAnchor>
    <xdr:from>
      <xdr:col>0</xdr:col>
      <xdr:colOff>0</xdr:colOff>
      <xdr:row>145</xdr:row>
      <xdr:rowOff>0</xdr:rowOff>
    </xdr:from>
    <xdr:to>
      <xdr:col>10</xdr:col>
      <xdr:colOff>1866900</xdr:colOff>
      <xdr:row>145</xdr:row>
      <xdr:rowOff>3734324</xdr:rowOff>
    </xdr:to>
    <xdr:pic>
      <xdr:nvPicPr>
        <xdr:cNvPr id="23" name="Picture 22">
          <a:extLst>
            <a:ext uri="{FF2B5EF4-FFF2-40B4-BE49-F238E27FC236}">
              <a16:creationId xmlns:a16="http://schemas.microsoft.com/office/drawing/2014/main" xmlns="" id="{00000000-0008-0000-0000-000017000000}"/>
            </a:ext>
          </a:extLst>
        </xdr:cNvPr>
        <xdr:cNvPicPr>
          <a:picLocks noChangeAspect="1"/>
        </xdr:cNvPicPr>
      </xdr:nvPicPr>
      <xdr:blipFill>
        <a:blip xmlns:r="http://schemas.openxmlformats.org/officeDocument/2006/relationships" r:embed="rId32"/>
        <a:stretch>
          <a:fillRect/>
        </a:stretch>
      </xdr:blipFill>
      <xdr:spPr>
        <a:xfrm>
          <a:off x="0" y="83512408"/>
          <a:ext cx="12563475" cy="3734324"/>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10:18:41.658"/>
    </inkml:context>
    <inkml:brush xml:id="br0">
      <inkml:brushProperty name="width" value="0.035" units="cm"/>
      <inkml:brushProperty name="height" value="0.035" units="cm"/>
      <inkml:brushProperty name="color" value="#E71224"/>
    </inkml:brush>
  </inkml:definitions>
  <inkml:trace contextRef="#ctx0" brushRef="#br0">0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65"/>
  <sheetViews>
    <sheetView tabSelected="1" view="pageBreakPreview" topLeftCell="A91" zoomScale="70" zoomScaleNormal="70" zoomScaleSheetLayoutView="70" workbookViewId="0">
      <selection activeCell="E19" sqref="E19:K19"/>
    </sheetView>
  </sheetViews>
  <sheetFormatPr defaultColWidth="9.1796875" defaultRowHeight="18.5" x14ac:dyDescent="0.35"/>
  <cols>
    <col min="1" max="1" width="12.81640625" style="7" customWidth="1"/>
    <col min="2" max="2" width="9.1796875" style="4"/>
    <col min="3" max="3" width="12.26953125" style="4" customWidth="1"/>
    <col min="4" max="4" width="25.7265625" style="4" customWidth="1"/>
    <col min="5" max="5" width="14.1796875" style="4" customWidth="1"/>
    <col min="6" max="6" width="9.1796875" style="4" customWidth="1"/>
    <col min="7" max="7" width="21.26953125" style="4" customWidth="1"/>
    <col min="8" max="8" width="18.453125" style="4" customWidth="1"/>
    <col min="9" max="9" width="14.81640625" style="4" customWidth="1"/>
    <col min="10" max="10" width="16" style="4" customWidth="1"/>
    <col min="11" max="11" width="27.54296875" style="4" customWidth="1"/>
    <col min="12" max="16384" width="9.1796875" style="4"/>
  </cols>
  <sheetData>
    <row r="1" spans="1:11" s="3" customFormat="1" ht="157.5" customHeight="1" thickBot="1" x14ac:dyDescent="0.3">
      <c r="A1" s="30" t="s">
        <v>190</v>
      </c>
      <c r="B1" s="31"/>
      <c r="C1" s="31"/>
      <c r="D1" s="31"/>
      <c r="E1" s="31"/>
      <c r="F1" s="31"/>
      <c r="G1" s="31"/>
      <c r="H1" s="31"/>
      <c r="I1" s="31"/>
      <c r="J1" s="31"/>
      <c r="K1" s="31"/>
    </row>
    <row r="2" spans="1:11" s="3" customFormat="1" ht="33" customHeight="1" x14ac:dyDescent="0.25">
      <c r="A2" s="21" t="s">
        <v>191</v>
      </c>
      <c r="B2" s="21"/>
      <c r="C2" s="21"/>
      <c r="D2" s="21"/>
      <c r="E2" s="21"/>
      <c r="F2" s="21"/>
      <c r="G2" s="21"/>
      <c r="H2" s="21"/>
      <c r="I2" s="21"/>
      <c r="J2" s="21"/>
      <c r="K2" s="21"/>
    </row>
    <row r="3" spans="1:11" ht="36.75" customHeight="1" x14ac:dyDescent="0.35">
      <c r="A3" s="22" t="s">
        <v>153</v>
      </c>
      <c r="B3" s="22"/>
      <c r="C3" s="22"/>
      <c r="D3" s="23" t="s">
        <v>207</v>
      </c>
      <c r="E3" s="23"/>
      <c r="F3" s="23"/>
      <c r="G3" s="23"/>
      <c r="H3" s="8" t="s">
        <v>152</v>
      </c>
      <c r="I3" s="1">
        <v>46251</v>
      </c>
      <c r="J3" s="8" t="s">
        <v>151</v>
      </c>
      <c r="K3" s="1">
        <v>46249</v>
      </c>
    </row>
    <row r="4" spans="1:11" ht="41.25" customHeight="1" x14ac:dyDescent="0.35">
      <c r="A4" s="22" t="s">
        <v>166</v>
      </c>
      <c r="B4" s="22"/>
      <c r="C4" s="22"/>
      <c r="D4" s="22" t="s">
        <v>168</v>
      </c>
      <c r="E4" s="22"/>
      <c r="F4" s="22"/>
      <c r="G4" s="9" t="s">
        <v>150</v>
      </c>
      <c r="H4" s="23" t="s">
        <v>183</v>
      </c>
      <c r="I4" s="23"/>
      <c r="J4" s="23">
        <v>1449964</v>
      </c>
      <c r="K4" s="23"/>
    </row>
    <row r="5" spans="1:11" ht="27" customHeight="1" x14ac:dyDescent="0.25">
      <c r="A5" s="22" t="s">
        <v>149</v>
      </c>
      <c r="B5" s="22"/>
      <c r="C5" s="22"/>
      <c r="D5" s="22" t="s">
        <v>167</v>
      </c>
      <c r="E5" s="22"/>
      <c r="F5" s="22"/>
      <c r="G5" s="22"/>
      <c r="H5" s="22"/>
      <c r="I5" s="22"/>
      <c r="J5" s="22"/>
      <c r="K5" s="22"/>
    </row>
    <row r="6" spans="1:11" ht="37.4" customHeight="1" x14ac:dyDescent="0.35">
      <c r="A6" s="23" t="s">
        <v>164</v>
      </c>
      <c r="B6" s="23"/>
      <c r="C6" s="23"/>
      <c r="D6" s="23" t="s">
        <v>210</v>
      </c>
      <c r="E6" s="23"/>
      <c r="F6" s="23"/>
      <c r="G6" s="23" t="s">
        <v>148</v>
      </c>
      <c r="H6" s="22"/>
      <c r="I6" s="22"/>
      <c r="J6" s="22" t="s">
        <v>184</v>
      </c>
      <c r="K6" s="22"/>
    </row>
    <row r="7" spans="1:11" ht="39" customHeight="1" x14ac:dyDescent="0.25">
      <c r="A7" s="22" t="s">
        <v>147</v>
      </c>
      <c r="B7" s="22"/>
      <c r="C7" s="22"/>
      <c r="D7" s="22" t="s">
        <v>167</v>
      </c>
      <c r="E7" s="22"/>
      <c r="F7" s="22"/>
      <c r="G7" s="22" t="s">
        <v>169</v>
      </c>
      <c r="H7" s="22"/>
      <c r="I7" s="22"/>
      <c r="J7" s="22" t="s">
        <v>211</v>
      </c>
      <c r="K7" s="22"/>
    </row>
    <row r="8" spans="1:11" ht="46.5" customHeight="1" x14ac:dyDescent="0.35">
      <c r="A8" s="23" t="s">
        <v>146</v>
      </c>
      <c r="B8" s="23"/>
      <c r="C8" s="23"/>
      <c r="D8" s="23" t="s">
        <v>209</v>
      </c>
      <c r="E8" s="22"/>
      <c r="F8" s="22"/>
      <c r="G8" s="23" t="s">
        <v>145</v>
      </c>
      <c r="H8" s="23"/>
      <c r="I8" s="22" t="s">
        <v>167</v>
      </c>
      <c r="J8" s="22"/>
      <c r="K8" s="22"/>
    </row>
    <row r="9" spans="1:11" ht="23.15" customHeight="1" x14ac:dyDescent="0.35">
      <c r="A9" s="22" t="s">
        <v>144</v>
      </c>
      <c r="B9" s="22"/>
      <c r="C9" s="22"/>
      <c r="D9" s="22"/>
      <c r="E9" s="22"/>
      <c r="F9" s="22"/>
      <c r="G9" s="22"/>
      <c r="H9" s="22"/>
      <c r="I9" s="22"/>
      <c r="J9" s="22"/>
      <c r="K9" s="22"/>
    </row>
    <row r="10" spans="1:11" ht="51" customHeight="1" x14ac:dyDescent="0.35">
      <c r="A10" s="8">
        <v>1</v>
      </c>
      <c r="B10" s="22" t="s">
        <v>143</v>
      </c>
      <c r="C10" s="22"/>
      <c r="D10" s="22"/>
      <c r="E10" s="22"/>
      <c r="F10" s="26" t="s">
        <v>208</v>
      </c>
      <c r="G10" s="22"/>
      <c r="H10" s="22"/>
      <c r="I10" s="22"/>
      <c r="J10" s="22"/>
      <c r="K10" s="22"/>
    </row>
    <row r="11" spans="1:11" ht="54" customHeight="1" x14ac:dyDescent="0.35">
      <c r="A11" s="22">
        <v>2</v>
      </c>
      <c r="B11" s="22" t="s">
        <v>142</v>
      </c>
      <c r="C11" s="22"/>
      <c r="D11" s="22"/>
      <c r="E11" s="27" t="s">
        <v>204</v>
      </c>
      <c r="F11" s="23"/>
      <c r="G11" s="23"/>
      <c r="H11" s="22" t="s">
        <v>141</v>
      </c>
      <c r="I11" s="22"/>
      <c r="J11" s="23" t="s">
        <v>196</v>
      </c>
      <c r="K11" s="23"/>
    </row>
    <row r="12" spans="1:11" ht="50.25" customHeight="1" x14ac:dyDescent="0.35">
      <c r="A12" s="22"/>
      <c r="B12" s="23" t="s">
        <v>178</v>
      </c>
      <c r="C12" s="22"/>
      <c r="D12" s="22"/>
      <c r="E12" s="22" t="s">
        <v>167</v>
      </c>
      <c r="F12" s="22"/>
      <c r="G12" s="22"/>
      <c r="H12" s="23" t="s">
        <v>140</v>
      </c>
      <c r="I12" s="23"/>
      <c r="J12" s="22" t="s">
        <v>167</v>
      </c>
      <c r="K12" s="22"/>
    </row>
    <row r="13" spans="1:11" ht="84" customHeight="1" x14ac:dyDescent="0.35">
      <c r="A13" s="22">
        <v>3</v>
      </c>
      <c r="B13" s="23" t="s">
        <v>139</v>
      </c>
      <c r="C13" s="22"/>
      <c r="D13" s="22"/>
      <c r="E13" s="27" t="s">
        <v>223</v>
      </c>
      <c r="F13" s="23"/>
      <c r="G13" s="23"/>
      <c r="H13" s="23"/>
      <c r="I13" s="23"/>
      <c r="J13" s="23"/>
      <c r="K13" s="23"/>
    </row>
    <row r="14" spans="1:11" ht="25.75" customHeight="1" x14ac:dyDescent="0.35">
      <c r="A14" s="22"/>
      <c r="B14" s="23" t="s">
        <v>138</v>
      </c>
      <c r="C14" s="23"/>
      <c r="D14" s="23"/>
      <c r="E14" s="23" t="s">
        <v>167</v>
      </c>
      <c r="F14" s="23"/>
      <c r="G14" s="23"/>
      <c r="H14" s="23"/>
      <c r="I14" s="23"/>
      <c r="J14" s="23"/>
      <c r="K14" s="23"/>
    </row>
    <row r="15" spans="1:11" s="5" customFormat="1" ht="78" customHeight="1" x14ac:dyDescent="0.35">
      <c r="A15" s="22"/>
      <c r="B15" s="23" t="s">
        <v>137</v>
      </c>
      <c r="C15" s="23"/>
      <c r="D15" s="23"/>
      <c r="E15" s="27" t="s">
        <v>212</v>
      </c>
      <c r="F15" s="23"/>
      <c r="G15" s="23"/>
      <c r="H15" s="23"/>
      <c r="I15" s="23"/>
      <c r="J15" s="23"/>
      <c r="K15" s="23"/>
    </row>
    <row r="16" spans="1:11" s="5" customFormat="1" x14ac:dyDescent="0.35">
      <c r="A16" s="22"/>
      <c r="B16" s="23" t="s">
        <v>136</v>
      </c>
      <c r="C16" s="23"/>
      <c r="D16" s="23"/>
      <c r="E16" s="23" t="s">
        <v>213</v>
      </c>
      <c r="F16" s="23"/>
      <c r="G16" s="23"/>
      <c r="H16" s="23"/>
      <c r="I16" s="23"/>
      <c r="J16" s="23"/>
      <c r="K16" s="23"/>
    </row>
    <row r="17" spans="1:11" s="5" customFormat="1" x14ac:dyDescent="0.35">
      <c r="A17" s="22"/>
      <c r="B17" s="23" t="s">
        <v>135</v>
      </c>
      <c r="C17" s="22"/>
      <c r="D17" s="22"/>
      <c r="E17" s="22" t="s">
        <v>214</v>
      </c>
      <c r="F17" s="22"/>
      <c r="G17" s="22"/>
      <c r="H17" s="22"/>
      <c r="I17" s="22"/>
      <c r="J17" s="22"/>
      <c r="K17" s="22"/>
    </row>
    <row r="18" spans="1:11" ht="28.5" customHeight="1" x14ac:dyDescent="0.35">
      <c r="A18" s="22"/>
      <c r="B18" s="23" t="s">
        <v>134</v>
      </c>
      <c r="C18" s="22"/>
      <c r="D18" s="22"/>
      <c r="E18" s="23" t="s">
        <v>214</v>
      </c>
      <c r="F18" s="23"/>
      <c r="G18" s="9" t="s">
        <v>133</v>
      </c>
      <c r="H18" s="23" t="s">
        <v>181</v>
      </c>
      <c r="I18" s="23"/>
      <c r="J18" s="9" t="s">
        <v>132</v>
      </c>
      <c r="K18" s="9">
        <v>534003</v>
      </c>
    </row>
    <row r="19" spans="1:11" ht="27" customHeight="1" x14ac:dyDescent="0.35">
      <c r="A19" s="22"/>
      <c r="B19" s="22" t="s">
        <v>170</v>
      </c>
      <c r="C19" s="22"/>
      <c r="D19" s="22"/>
      <c r="E19" s="23" t="s">
        <v>215</v>
      </c>
      <c r="F19" s="23"/>
      <c r="G19" s="23"/>
      <c r="H19" s="23"/>
      <c r="I19" s="23"/>
      <c r="J19" s="23"/>
      <c r="K19" s="23"/>
    </row>
    <row r="20" spans="1:11" ht="38.25" customHeight="1" x14ac:dyDescent="0.35">
      <c r="A20" s="22"/>
      <c r="B20" s="22" t="s">
        <v>131</v>
      </c>
      <c r="C20" s="22"/>
      <c r="D20" s="22"/>
      <c r="E20" s="22" t="s">
        <v>171</v>
      </c>
      <c r="F20" s="22"/>
      <c r="G20" s="22"/>
      <c r="H20" s="22"/>
      <c r="I20" s="22"/>
      <c r="J20" s="22"/>
      <c r="K20" s="22"/>
    </row>
    <row r="21" spans="1:11" s="5" customFormat="1" x14ac:dyDescent="0.35">
      <c r="A21" s="22" t="s">
        <v>130</v>
      </c>
      <c r="B21" s="22"/>
      <c r="C21" s="22"/>
      <c r="D21" s="22"/>
      <c r="E21" s="22"/>
      <c r="F21" s="22"/>
      <c r="G21" s="22"/>
      <c r="H21" s="22"/>
      <c r="I21" s="22"/>
      <c r="J21" s="22"/>
      <c r="K21" s="22"/>
    </row>
    <row r="22" spans="1:11" s="5" customFormat="1" x14ac:dyDescent="0.35">
      <c r="A22" s="22">
        <v>4</v>
      </c>
      <c r="B22" s="22" t="s">
        <v>129</v>
      </c>
      <c r="C22" s="22"/>
      <c r="D22" s="22" t="s">
        <v>128</v>
      </c>
      <c r="E22" s="22"/>
      <c r="F22" s="22" t="s">
        <v>127</v>
      </c>
      <c r="G22" s="22"/>
      <c r="H22" s="22" t="s">
        <v>126</v>
      </c>
      <c r="I22" s="22"/>
      <c r="J22" s="22" t="s">
        <v>125</v>
      </c>
      <c r="K22" s="22"/>
    </row>
    <row r="23" spans="1:11" s="5" customFormat="1" ht="62" customHeight="1" x14ac:dyDescent="0.35">
      <c r="A23" s="22"/>
      <c r="B23" s="23" t="s">
        <v>189</v>
      </c>
      <c r="C23" s="22"/>
      <c r="D23" s="27" t="s">
        <v>218</v>
      </c>
      <c r="E23" s="27"/>
      <c r="F23" s="27" t="s">
        <v>224</v>
      </c>
      <c r="G23" s="27"/>
      <c r="H23" s="27" t="s">
        <v>216</v>
      </c>
      <c r="I23" s="27"/>
      <c r="J23" s="27" t="s">
        <v>217</v>
      </c>
      <c r="K23" s="27"/>
    </row>
    <row r="24" spans="1:11" s="5" customFormat="1" ht="29.25" customHeight="1" x14ac:dyDescent="0.35">
      <c r="A24" s="22"/>
      <c r="B24" s="22" t="s">
        <v>124</v>
      </c>
      <c r="C24" s="22"/>
      <c r="D24" s="26" t="s">
        <v>167</v>
      </c>
      <c r="E24" s="26"/>
      <c r="F24" s="26" t="s">
        <v>167</v>
      </c>
      <c r="G24" s="26"/>
      <c r="H24" s="26" t="s">
        <v>167</v>
      </c>
      <c r="I24" s="26"/>
      <c r="J24" s="26" t="s">
        <v>167</v>
      </c>
      <c r="K24" s="26"/>
    </row>
    <row r="25" spans="1:11" s="5" customFormat="1" ht="48" customHeight="1" x14ac:dyDescent="0.35">
      <c r="A25" s="22"/>
      <c r="B25" s="22" t="s">
        <v>123</v>
      </c>
      <c r="C25" s="22"/>
      <c r="D25" s="27" t="s">
        <v>227</v>
      </c>
      <c r="E25" s="27"/>
      <c r="F25" s="27" t="s">
        <v>225</v>
      </c>
      <c r="G25" s="27"/>
      <c r="H25" s="27" t="s">
        <v>205</v>
      </c>
      <c r="I25" s="27"/>
      <c r="J25" s="27" t="s">
        <v>226</v>
      </c>
      <c r="K25" s="27"/>
    </row>
    <row r="26" spans="1:11" s="5" customFormat="1" ht="42.65" customHeight="1" x14ac:dyDescent="0.35">
      <c r="A26" s="22"/>
      <c r="B26" s="23" t="s">
        <v>122</v>
      </c>
      <c r="C26" s="23"/>
      <c r="D26" s="8" t="s">
        <v>192</v>
      </c>
      <c r="E26" s="9" t="s">
        <v>154</v>
      </c>
      <c r="F26" s="22" t="s">
        <v>167</v>
      </c>
      <c r="G26" s="22"/>
      <c r="H26" s="22"/>
      <c r="I26" s="22"/>
      <c r="J26" s="22"/>
      <c r="K26" s="22"/>
    </row>
    <row r="27" spans="1:11" s="5" customFormat="1" ht="33" customHeight="1" x14ac:dyDescent="0.35">
      <c r="A27" s="22"/>
      <c r="B27" s="22" t="s">
        <v>121</v>
      </c>
      <c r="C27" s="22"/>
      <c r="D27" s="22" t="s">
        <v>182</v>
      </c>
      <c r="E27" s="22"/>
      <c r="F27" s="22"/>
      <c r="G27" s="22"/>
      <c r="H27" s="22"/>
      <c r="I27" s="22"/>
      <c r="J27" s="22"/>
      <c r="K27" s="22"/>
    </row>
    <row r="28" spans="1:11" s="5" customFormat="1" ht="55.5" customHeight="1" thickBot="1" x14ac:dyDescent="0.4">
      <c r="A28" s="22"/>
      <c r="B28" s="23" t="s">
        <v>120</v>
      </c>
      <c r="C28" s="23"/>
      <c r="D28" s="22" t="s">
        <v>219</v>
      </c>
      <c r="E28" s="22"/>
      <c r="F28" s="22"/>
      <c r="G28" s="22"/>
      <c r="H28" s="22"/>
      <c r="I28" s="22"/>
      <c r="J28" s="22"/>
      <c r="K28" s="22"/>
    </row>
    <row r="29" spans="1:11" s="6" customFormat="1" ht="44.25" customHeight="1" thickBot="1" x14ac:dyDescent="0.4">
      <c r="A29" s="22"/>
      <c r="B29" s="23" t="s">
        <v>119</v>
      </c>
      <c r="C29" s="23"/>
      <c r="D29" s="22" t="s">
        <v>185</v>
      </c>
      <c r="E29" s="22"/>
      <c r="F29" s="22"/>
      <c r="G29" s="22"/>
      <c r="H29" s="22"/>
      <c r="I29" s="22"/>
      <c r="J29" s="22"/>
      <c r="K29" s="22"/>
    </row>
    <row r="30" spans="1:11" s="2" customFormat="1" ht="61.4" customHeight="1" x14ac:dyDescent="0.35">
      <c r="A30" s="22"/>
      <c r="B30" s="23" t="s">
        <v>118</v>
      </c>
      <c r="C30" s="23"/>
      <c r="D30" s="26" t="s">
        <v>229</v>
      </c>
      <c r="E30" s="26"/>
      <c r="F30" s="26"/>
      <c r="G30" s="26"/>
      <c r="H30" s="26"/>
      <c r="I30" s="26"/>
      <c r="J30" s="26"/>
      <c r="K30" s="26"/>
    </row>
    <row r="31" spans="1:11" x14ac:dyDescent="0.35">
      <c r="A31" s="22" t="s">
        <v>117</v>
      </c>
      <c r="B31" s="22"/>
      <c r="C31" s="22"/>
      <c r="D31" s="22"/>
      <c r="E31" s="22"/>
      <c r="F31" s="22"/>
      <c r="G31" s="22"/>
      <c r="H31" s="22"/>
      <c r="I31" s="22"/>
      <c r="J31" s="22"/>
      <c r="K31" s="22"/>
    </row>
    <row r="32" spans="1:11" ht="39.75" customHeight="1" x14ac:dyDescent="0.35">
      <c r="A32" s="22">
        <v>5</v>
      </c>
      <c r="B32" s="22" t="s">
        <v>116</v>
      </c>
      <c r="C32" s="22"/>
      <c r="D32" s="22"/>
      <c r="E32" s="22" t="s">
        <v>115</v>
      </c>
      <c r="F32" s="22"/>
      <c r="G32" s="22"/>
      <c r="H32" s="22"/>
      <c r="I32" s="23" t="s">
        <v>197</v>
      </c>
      <c r="J32" s="23"/>
      <c r="K32" s="23"/>
    </row>
    <row r="33" spans="1:11" ht="34.5" customHeight="1" x14ac:dyDescent="0.35">
      <c r="A33" s="22"/>
      <c r="B33" s="22"/>
      <c r="C33" s="22"/>
      <c r="D33" s="22"/>
      <c r="E33" s="22" t="s">
        <v>114</v>
      </c>
      <c r="F33" s="22"/>
      <c r="G33" s="22"/>
      <c r="H33" s="22"/>
      <c r="I33" s="22" t="s">
        <v>167</v>
      </c>
      <c r="J33" s="22"/>
      <c r="K33" s="22"/>
    </row>
    <row r="34" spans="1:11" ht="42" customHeight="1" x14ac:dyDescent="0.35">
      <c r="A34" s="22"/>
      <c r="B34" s="22"/>
      <c r="C34" s="22"/>
      <c r="D34" s="22"/>
      <c r="E34" s="22" t="s">
        <v>113</v>
      </c>
      <c r="F34" s="22"/>
      <c r="G34" s="22"/>
      <c r="H34" s="22"/>
      <c r="I34" s="22" t="s">
        <v>198</v>
      </c>
      <c r="J34" s="22"/>
      <c r="K34" s="22"/>
    </row>
    <row r="35" spans="1:11" ht="34.5" customHeight="1" x14ac:dyDescent="0.35">
      <c r="A35" s="22"/>
      <c r="B35" s="22"/>
      <c r="C35" s="22"/>
      <c r="D35" s="22"/>
      <c r="E35" s="22" t="s">
        <v>112</v>
      </c>
      <c r="F35" s="22"/>
      <c r="G35" s="22"/>
      <c r="H35" s="22"/>
      <c r="I35" s="22" t="s">
        <v>193</v>
      </c>
      <c r="J35" s="22"/>
      <c r="K35" s="22"/>
    </row>
    <row r="36" spans="1:11" ht="25.5" customHeight="1" x14ac:dyDescent="0.35">
      <c r="A36" s="22"/>
      <c r="B36" s="22"/>
      <c r="C36" s="22"/>
      <c r="D36" s="22"/>
      <c r="E36" s="22" t="s">
        <v>111</v>
      </c>
      <c r="F36" s="22"/>
      <c r="G36" s="22"/>
      <c r="H36" s="22"/>
      <c r="I36" s="23" t="s">
        <v>220</v>
      </c>
      <c r="J36" s="22"/>
      <c r="K36" s="22"/>
    </row>
    <row r="37" spans="1:11" ht="33.75" customHeight="1" x14ac:dyDescent="0.35">
      <c r="A37" s="22"/>
      <c r="B37" s="22"/>
      <c r="C37" s="22"/>
      <c r="D37" s="22"/>
      <c r="E37" s="22" t="s">
        <v>110</v>
      </c>
      <c r="F37" s="22"/>
      <c r="G37" s="22"/>
      <c r="H37" s="22"/>
      <c r="I37" s="23" t="s">
        <v>221</v>
      </c>
      <c r="J37" s="22"/>
      <c r="K37" s="22"/>
    </row>
    <row r="38" spans="1:11" s="5" customFormat="1" ht="46.5" customHeight="1" x14ac:dyDescent="0.35">
      <c r="A38" s="22"/>
      <c r="B38" s="23" t="s">
        <v>109</v>
      </c>
      <c r="C38" s="23"/>
      <c r="D38" s="23"/>
      <c r="E38" s="23" t="s">
        <v>201</v>
      </c>
      <c r="F38" s="23"/>
      <c r="G38" s="23"/>
      <c r="H38" s="9" t="s">
        <v>108</v>
      </c>
      <c r="I38" s="23" t="s">
        <v>206</v>
      </c>
      <c r="J38" s="23"/>
      <c r="K38" s="23"/>
    </row>
    <row r="39" spans="1:11" ht="46.5" customHeight="1" x14ac:dyDescent="0.35">
      <c r="A39" s="22"/>
      <c r="B39" s="23" t="s">
        <v>107</v>
      </c>
      <c r="C39" s="22"/>
      <c r="D39" s="22"/>
      <c r="E39" s="22" t="s">
        <v>186</v>
      </c>
      <c r="F39" s="22"/>
      <c r="G39" s="22"/>
      <c r="H39" s="22"/>
      <c r="I39" s="22"/>
      <c r="J39" s="22"/>
      <c r="K39" s="22"/>
    </row>
    <row r="40" spans="1:11" ht="36.75" customHeight="1" x14ac:dyDescent="0.35">
      <c r="A40" s="22"/>
      <c r="B40" s="23" t="s">
        <v>106</v>
      </c>
      <c r="C40" s="22"/>
      <c r="D40" s="22"/>
      <c r="E40" s="22" t="s">
        <v>187</v>
      </c>
      <c r="F40" s="22"/>
      <c r="G40" s="22"/>
      <c r="H40" s="22"/>
      <c r="I40" s="22"/>
      <c r="J40" s="22"/>
      <c r="K40" s="22"/>
    </row>
    <row r="41" spans="1:11" ht="66.75" customHeight="1" x14ac:dyDescent="0.35">
      <c r="A41" s="22"/>
      <c r="B41" s="23" t="s">
        <v>105</v>
      </c>
      <c r="C41" s="23"/>
      <c r="D41" s="23"/>
      <c r="E41" s="22" t="s">
        <v>167</v>
      </c>
      <c r="F41" s="22"/>
      <c r="G41" s="22"/>
      <c r="H41" s="22"/>
      <c r="I41" s="22"/>
      <c r="J41" s="22"/>
      <c r="K41" s="22"/>
    </row>
    <row r="42" spans="1:11" ht="57" customHeight="1" x14ac:dyDescent="0.35">
      <c r="A42" s="22"/>
      <c r="B42" s="23" t="s">
        <v>104</v>
      </c>
      <c r="C42" s="23"/>
      <c r="D42" s="23"/>
      <c r="E42" s="22" t="s">
        <v>167</v>
      </c>
      <c r="F42" s="22"/>
      <c r="G42" s="22"/>
      <c r="H42" s="22"/>
      <c r="I42" s="22"/>
      <c r="J42" s="22"/>
      <c r="K42" s="22"/>
    </row>
    <row r="43" spans="1:11" ht="27" customHeight="1" x14ac:dyDescent="0.35">
      <c r="A43" s="22" t="s">
        <v>103</v>
      </c>
      <c r="B43" s="22"/>
      <c r="C43" s="22"/>
      <c r="D43" s="22"/>
      <c r="E43" s="22"/>
      <c r="F43" s="22"/>
      <c r="G43" s="22"/>
      <c r="H43" s="22"/>
      <c r="I43" s="22"/>
      <c r="J43" s="22"/>
      <c r="K43" s="22"/>
    </row>
    <row r="44" spans="1:11" s="5" customFormat="1" ht="33" customHeight="1" x14ac:dyDescent="0.35">
      <c r="A44" s="22">
        <v>6</v>
      </c>
      <c r="B44" s="22" t="s">
        <v>102</v>
      </c>
      <c r="C44" s="22"/>
      <c r="D44" s="22"/>
      <c r="E44" s="22" t="s">
        <v>101</v>
      </c>
      <c r="F44" s="22"/>
      <c r="G44" s="22"/>
      <c r="H44" s="22"/>
      <c r="I44" s="26" t="s">
        <v>228</v>
      </c>
      <c r="J44" s="22"/>
      <c r="K44" s="22"/>
    </row>
    <row r="45" spans="1:11" s="5" customFormat="1" ht="33.65" customHeight="1" x14ac:dyDescent="0.35">
      <c r="A45" s="22"/>
      <c r="B45" s="22"/>
      <c r="C45" s="22"/>
      <c r="D45" s="22"/>
      <c r="E45" s="22" t="s">
        <v>100</v>
      </c>
      <c r="F45" s="22"/>
      <c r="G45" s="22"/>
      <c r="H45" s="22"/>
      <c r="I45" s="22" t="s">
        <v>167</v>
      </c>
      <c r="J45" s="22"/>
      <c r="K45" s="22"/>
    </row>
    <row r="46" spans="1:11" s="5" customFormat="1" ht="34.75" customHeight="1" x14ac:dyDescent="0.35">
      <c r="A46" s="22"/>
      <c r="B46" s="22"/>
      <c r="C46" s="22"/>
      <c r="D46" s="22"/>
      <c r="E46" s="22" t="s">
        <v>99</v>
      </c>
      <c r="F46" s="22"/>
      <c r="G46" s="22"/>
      <c r="H46" s="22"/>
      <c r="I46" s="22" t="s">
        <v>167</v>
      </c>
      <c r="J46" s="22"/>
      <c r="K46" s="22"/>
    </row>
    <row r="47" spans="1:11" s="5" customFormat="1" ht="24.65" customHeight="1" x14ac:dyDescent="0.35">
      <c r="A47" s="22">
        <v>7</v>
      </c>
      <c r="B47" s="22" t="s">
        <v>98</v>
      </c>
      <c r="C47" s="22"/>
      <c r="D47" s="22"/>
      <c r="E47" s="22" t="s">
        <v>97</v>
      </c>
      <c r="F47" s="22"/>
      <c r="G47" s="22"/>
      <c r="H47" s="22"/>
      <c r="I47" s="22">
        <v>442</v>
      </c>
      <c r="J47" s="22"/>
      <c r="K47" s="22"/>
    </row>
    <row r="48" spans="1:11" s="5" customFormat="1" ht="27" customHeight="1" x14ac:dyDescent="0.35">
      <c r="A48" s="22"/>
      <c r="B48" s="22"/>
      <c r="C48" s="22"/>
      <c r="D48" s="22"/>
      <c r="E48" s="22" t="s">
        <v>96</v>
      </c>
      <c r="F48" s="22"/>
      <c r="G48" s="22"/>
      <c r="H48" s="22"/>
      <c r="I48" s="22">
        <v>442</v>
      </c>
      <c r="J48" s="22"/>
      <c r="K48" s="22"/>
    </row>
    <row r="49" spans="1:11" s="5" customFormat="1" ht="25.75" customHeight="1" x14ac:dyDescent="0.35">
      <c r="A49" s="22"/>
      <c r="B49" s="22"/>
      <c r="C49" s="22"/>
      <c r="D49" s="22"/>
      <c r="E49" s="22" t="s">
        <v>95</v>
      </c>
      <c r="F49" s="22"/>
      <c r="G49" s="22"/>
      <c r="H49" s="22"/>
      <c r="I49" s="29" t="s">
        <v>167</v>
      </c>
      <c r="J49" s="29"/>
      <c r="K49" s="29"/>
    </row>
    <row r="50" spans="1:11" s="5" customFormat="1" ht="24" customHeight="1" x14ac:dyDescent="0.35">
      <c r="A50" s="22"/>
      <c r="B50" s="22"/>
      <c r="C50" s="22"/>
      <c r="D50" s="22"/>
      <c r="E50" s="22" t="s">
        <v>94</v>
      </c>
      <c r="F50" s="22"/>
      <c r="G50" s="22"/>
      <c r="H50" s="22"/>
      <c r="I50" s="22" t="s">
        <v>172</v>
      </c>
      <c r="J50" s="22"/>
      <c r="K50" s="22"/>
    </row>
    <row r="51" spans="1:11" s="5" customFormat="1" ht="32.5" customHeight="1" x14ac:dyDescent="0.35">
      <c r="A51" s="22"/>
      <c r="B51" s="22"/>
      <c r="C51" s="22"/>
      <c r="D51" s="22"/>
      <c r="E51" s="22" t="s">
        <v>93</v>
      </c>
      <c r="F51" s="22"/>
      <c r="G51" s="22"/>
      <c r="H51" s="22"/>
      <c r="I51" s="29" t="s">
        <v>167</v>
      </c>
      <c r="J51" s="29"/>
      <c r="K51" s="29"/>
    </row>
    <row r="52" spans="1:11" s="5" customFormat="1" ht="30" customHeight="1" x14ac:dyDescent="0.35">
      <c r="A52" s="22">
        <v>8</v>
      </c>
      <c r="B52" s="22" t="s">
        <v>92</v>
      </c>
      <c r="C52" s="22"/>
      <c r="D52" s="22"/>
      <c r="E52" s="22" t="s">
        <v>91</v>
      </c>
      <c r="F52" s="22"/>
      <c r="G52" s="22"/>
      <c r="H52" s="22"/>
      <c r="I52" s="22" t="s">
        <v>167</v>
      </c>
      <c r="J52" s="22"/>
      <c r="K52" s="22"/>
    </row>
    <row r="53" spans="1:11" s="5" customFormat="1" ht="43.4" customHeight="1" x14ac:dyDescent="0.35">
      <c r="A53" s="22"/>
      <c r="B53" s="22"/>
      <c r="C53" s="22"/>
      <c r="D53" s="22"/>
      <c r="E53" s="23" t="s">
        <v>155</v>
      </c>
      <c r="F53" s="23"/>
      <c r="G53" s="23"/>
      <c r="H53" s="23"/>
      <c r="I53" s="22" t="s">
        <v>167</v>
      </c>
      <c r="J53" s="22"/>
      <c r="K53" s="22"/>
    </row>
    <row r="54" spans="1:11" s="5" customFormat="1" ht="42.65" customHeight="1" x14ac:dyDescent="0.35">
      <c r="A54" s="22"/>
      <c r="B54" s="22"/>
      <c r="C54" s="22"/>
      <c r="D54" s="22"/>
      <c r="E54" s="22" t="s">
        <v>90</v>
      </c>
      <c r="F54" s="22"/>
      <c r="G54" s="22"/>
      <c r="H54" s="22"/>
      <c r="I54" s="23" t="s">
        <v>167</v>
      </c>
      <c r="J54" s="23"/>
      <c r="K54" s="23"/>
    </row>
    <row r="55" spans="1:11" s="5" customFormat="1" ht="35.5" customHeight="1" x14ac:dyDescent="0.35">
      <c r="A55" s="22"/>
      <c r="B55" s="22"/>
      <c r="C55" s="22"/>
      <c r="D55" s="22"/>
      <c r="E55" s="22" t="s">
        <v>89</v>
      </c>
      <c r="F55" s="22"/>
      <c r="G55" s="22"/>
      <c r="H55" s="22"/>
      <c r="I55" s="10" t="s">
        <v>204</v>
      </c>
      <c r="J55" s="10"/>
      <c r="K55" s="10"/>
    </row>
    <row r="56" spans="1:11" s="5" customFormat="1" ht="21" customHeight="1" x14ac:dyDescent="0.35">
      <c r="A56" s="22"/>
      <c r="B56" s="22"/>
      <c r="C56" s="22"/>
      <c r="D56" s="22"/>
      <c r="E56" s="22" t="s">
        <v>88</v>
      </c>
      <c r="F56" s="22"/>
      <c r="G56" s="22"/>
      <c r="H56" s="22"/>
      <c r="I56" s="25">
        <v>0</v>
      </c>
      <c r="J56" s="25"/>
      <c r="K56" s="25"/>
    </row>
    <row r="57" spans="1:11" s="5" customFormat="1" ht="21.65" customHeight="1" x14ac:dyDescent="0.35">
      <c r="A57" s="22"/>
      <c r="B57" s="22"/>
      <c r="C57" s="22"/>
      <c r="D57" s="22"/>
      <c r="E57" s="22" t="s">
        <v>87</v>
      </c>
      <c r="F57" s="22"/>
      <c r="G57" s="22"/>
      <c r="H57" s="22"/>
      <c r="I57" s="25">
        <v>60</v>
      </c>
      <c r="J57" s="25"/>
      <c r="K57" s="25"/>
    </row>
    <row r="58" spans="1:11" s="5" customFormat="1" ht="19.75" customHeight="1" x14ac:dyDescent="0.35">
      <c r="A58" s="22"/>
      <c r="B58" s="22"/>
      <c r="C58" s="22"/>
      <c r="D58" s="22"/>
      <c r="E58" s="22" t="s">
        <v>86</v>
      </c>
      <c r="F58" s="22"/>
      <c r="G58" s="22"/>
      <c r="H58" s="22"/>
      <c r="I58" s="22" t="s">
        <v>167</v>
      </c>
      <c r="J58" s="22"/>
      <c r="K58" s="22"/>
    </row>
    <row r="59" spans="1:11" ht="57" customHeight="1" x14ac:dyDescent="0.35">
      <c r="A59" s="23">
        <v>9</v>
      </c>
      <c r="B59" s="23" t="s">
        <v>85</v>
      </c>
      <c r="C59" s="23"/>
      <c r="D59" s="23"/>
      <c r="E59" s="23" t="s">
        <v>84</v>
      </c>
      <c r="F59" s="22"/>
      <c r="G59" s="22"/>
      <c r="H59" s="22"/>
      <c r="I59" s="22" t="s">
        <v>167</v>
      </c>
      <c r="J59" s="22"/>
      <c r="K59" s="22"/>
    </row>
    <row r="60" spans="1:11" ht="25.4" customHeight="1" x14ac:dyDescent="0.35">
      <c r="A60" s="23"/>
      <c r="B60" s="23"/>
      <c r="C60" s="23"/>
      <c r="D60" s="23"/>
      <c r="E60" s="23" t="s">
        <v>83</v>
      </c>
      <c r="F60" s="23"/>
      <c r="G60" s="23"/>
      <c r="H60" s="23"/>
      <c r="I60" s="22" t="s">
        <v>167</v>
      </c>
      <c r="J60" s="22"/>
      <c r="K60" s="22"/>
    </row>
    <row r="61" spans="1:11" ht="24" customHeight="1" x14ac:dyDescent="0.35">
      <c r="A61" s="22">
        <v>10</v>
      </c>
      <c r="B61" s="23" t="s">
        <v>179</v>
      </c>
      <c r="C61" s="22"/>
      <c r="D61" s="22"/>
      <c r="E61" s="22" t="s">
        <v>82</v>
      </c>
      <c r="F61" s="22"/>
      <c r="G61" s="22"/>
      <c r="H61" s="22"/>
      <c r="I61" s="22" t="s">
        <v>204</v>
      </c>
      <c r="J61" s="22"/>
      <c r="K61" s="22"/>
    </row>
    <row r="62" spans="1:11" ht="22.75" customHeight="1" x14ac:dyDescent="0.35">
      <c r="A62" s="22"/>
      <c r="B62" s="22"/>
      <c r="C62" s="22"/>
      <c r="D62" s="22"/>
      <c r="E62" s="22" t="s">
        <v>81</v>
      </c>
      <c r="F62" s="22"/>
      <c r="G62" s="22"/>
      <c r="H62" s="22"/>
      <c r="I62" s="23" t="s">
        <v>204</v>
      </c>
      <c r="J62" s="23"/>
      <c r="K62" s="23"/>
    </row>
    <row r="63" spans="1:11" s="5" customFormat="1" ht="29.25" customHeight="1" x14ac:dyDescent="0.35">
      <c r="A63" s="22"/>
      <c r="B63" s="22"/>
      <c r="C63" s="22"/>
      <c r="D63" s="22"/>
      <c r="E63" s="22" t="s">
        <v>80</v>
      </c>
      <c r="F63" s="22"/>
      <c r="G63" s="22"/>
      <c r="H63" s="22"/>
      <c r="I63" s="23" t="s">
        <v>167</v>
      </c>
      <c r="J63" s="22"/>
      <c r="K63" s="22"/>
    </row>
    <row r="64" spans="1:11" s="5" customFormat="1" ht="24" customHeight="1" x14ac:dyDescent="0.35">
      <c r="A64" s="22"/>
      <c r="B64" s="22"/>
      <c r="C64" s="22"/>
      <c r="D64" s="22"/>
      <c r="E64" s="22" t="s">
        <v>79</v>
      </c>
      <c r="F64" s="22"/>
      <c r="G64" s="22"/>
      <c r="H64" s="22"/>
      <c r="I64" s="22" t="s">
        <v>167</v>
      </c>
      <c r="J64" s="22"/>
      <c r="K64" s="8"/>
    </row>
    <row r="65" spans="1:11" s="5" customFormat="1" ht="29.25" customHeight="1" x14ac:dyDescent="0.35">
      <c r="A65" s="22"/>
      <c r="B65" s="22"/>
      <c r="C65" s="22"/>
      <c r="D65" s="22"/>
      <c r="E65" s="22" t="s">
        <v>78</v>
      </c>
      <c r="F65" s="22"/>
      <c r="G65" s="22"/>
      <c r="H65" s="22"/>
      <c r="I65" s="22" t="s">
        <v>167</v>
      </c>
      <c r="J65" s="22"/>
      <c r="K65" s="8"/>
    </row>
    <row r="66" spans="1:11" s="5" customFormat="1" ht="22.4" customHeight="1" x14ac:dyDescent="0.35">
      <c r="A66" s="22"/>
      <c r="B66" s="22"/>
      <c r="C66" s="22"/>
      <c r="D66" s="22"/>
      <c r="E66" s="22" t="s">
        <v>77</v>
      </c>
      <c r="F66" s="22"/>
      <c r="G66" s="22"/>
      <c r="H66" s="22"/>
      <c r="I66" s="22" t="s">
        <v>167</v>
      </c>
      <c r="J66" s="22"/>
      <c r="K66" s="8"/>
    </row>
    <row r="67" spans="1:11" s="5" customFormat="1" ht="28.4" customHeight="1" x14ac:dyDescent="0.35">
      <c r="A67" s="22"/>
      <c r="B67" s="22"/>
      <c r="C67" s="22"/>
      <c r="D67" s="22"/>
      <c r="E67" s="22" t="s">
        <v>76</v>
      </c>
      <c r="F67" s="22"/>
      <c r="G67" s="22"/>
      <c r="H67" s="22"/>
      <c r="I67" s="22" t="s">
        <v>167</v>
      </c>
      <c r="J67" s="22"/>
      <c r="K67" s="22"/>
    </row>
    <row r="68" spans="1:11" ht="27" customHeight="1" x14ac:dyDescent="0.35">
      <c r="A68" s="8">
        <v>11</v>
      </c>
      <c r="B68" s="22" t="s">
        <v>75</v>
      </c>
      <c r="C68" s="22"/>
      <c r="D68" s="22"/>
      <c r="E68" s="22" t="s">
        <v>74</v>
      </c>
      <c r="F68" s="22"/>
      <c r="G68" s="22" t="s">
        <v>167</v>
      </c>
      <c r="H68" s="22"/>
      <c r="I68" s="22" t="s">
        <v>73</v>
      </c>
      <c r="J68" s="22"/>
      <c r="K68" s="8" t="s">
        <v>167</v>
      </c>
    </row>
    <row r="69" spans="1:11" ht="49.5" customHeight="1" x14ac:dyDescent="0.35">
      <c r="A69" s="27" t="s">
        <v>222</v>
      </c>
      <c r="B69" s="26"/>
      <c r="C69" s="26"/>
      <c r="D69" s="26"/>
      <c r="E69" s="26"/>
      <c r="F69" s="26"/>
      <c r="G69" s="26"/>
      <c r="H69" s="26"/>
      <c r="I69" s="26"/>
      <c r="J69" s="26"/>
      <c r="K69" s="26"/>
    </row>
    <row r="70" spans="1:11" x14ac:dyDescent="0.35">
      <c r="A70" s="22">
        <v>12</v>
      </c>
      <c r="B70" s="22"/>
      <c r="C70" s="22"/>
      <c r="D70" s="22"/>
      <c r="E70" s="22"/>
      <c r="F70" s="22" t="s">
        <v>72</v>
      </c>
      <c r="G70" s="22"/>
      <c r="H70" s="22"/>
      <c r="I70" s="22" t="s">
        <v>71</v>
      </c>
      <c r="J70" s="22"/>
      <c r="K70" s="22"/>
    </row>
    <row r="71" spans="1:11" ht="18" customHeight="1" x14ac:dyDescent="0.35">
      <c r="A71" s="22"/>
      <c r="B71" s="23" t="s">
        <v>70</v>
      </c>
      <c r="C71" s="22"/>
      <c r="D71" s="22"/>
      <c r="E71" s="22"/>
      <c r="F71" s="22" t="s">
        <v>167</v>
      </c>
      <c r="G71" s="22"/>
      <c r="H71" s="22"/>
      <c r="I71" s="22" t="s">
        <v>167</v>
      </c>
      <c r="J71" s="22"/>
      <c r="K71" s="22"/>
    </row>
    <row r="72" spans="1:11" ht="16.399999999999999" customHeight="1" x14ac:dyDescent="0.35">
      <c r="A72" s="22"/>
      <c r="B72" s="22" t="s">
        <v>69</v>
      </c>
      <c r="C72" s="22"/>
      <c r="D72" s="22"/>
      <c r="E72" s="22"/>
      <c r="F72" s="22" t="s">
        <v>167</v>
      </c>
      <c r="G72" s="22"/>
      <c r="H72" s="22"/>
      <c r="I72" s="22" t="s">
        <v>167</v>
      </c>
      <c r="J72" s="22"/>
      <c r="K72" s="22"/>
    </row>
    <row r="73" spans="1:11" ht="22.4" customHeight="1" x14ac:dyDescent="0.35">
      <c r="A73" s="22"/>
      <c r="B73" s="23" t="s">
        <v>68</v>
      </c>
      <c r="C73" s="22"/>
      <c r="D73" s="22"/>
      <c r="E73" s="22"/>
      <c r="F73" s="22" t="s">
        <v>199</v>
      </c>
      <c r="G73" s="22"/>
      <c r="H73" s="22"/>
      <c r="I73" s="22"/>
      <c r="J73" s="22"/>
      <c r="K73" s="22"/>
    </row>
    <row r="74" spans="1:11" s="5" customFormat="1" ht="52.5" customHeight="1" x14ac:dyDescent="0.35">
      <c r="A74" s="22"/>
      <c r="B74" s="23" t="s">
        <v>67</v>
      </c>
      <c r="C74" s="22"/>
      <c r="D74" s="22"/>
      <c r="E74" s="22"/>
      <c r="F74" s="22" t="s">
        <v>167</v>
      </c>
      <c r="G74" s="22"/>
      <c r="H74" s="22"/>
      <c r="I74" s="22"/>
      <c r="J74" s="22"/>
      <c r="K74" s="22"/>
    </row>
    <row r="75" spans="1:11" ht="54" customHeight="1" x14ac:dyDescent="0.35">
      <c r="A75" s="22"/>
      <c r="B75" s="23" t="s">
        <v>66</v>
      </c>
      <c r="C75" s="22"/>
      <c r="D75" s="22"/>
      <c r="E75" s="22"/>
      <c r="F75" s="22" t="s">
        <v>194</v>
      </c>
      <c r="G75" s="22"/>
      <c r="H75" s="22"/>
      <c r="I75" s="22"/>
      <c r="J75" s="22"/>
      <c r="K75" s="22"/>
    </row>
    <row r="76" spans="1:11" x14ac:dyDescent="0.35">
      <c r="A76" s="22" t="s">
        <v>65</v>
      </c>
      <c r="B76" s="22"/>
      <c r="C76" s="22"/>
      <c r="D76" s="22"/>
      <c r="E76" s="22"/>
      <c r="F76" s="22"/>
      <c r="G76" s="22"/>
      <c r="H76" s="22"/>
      <c r="I76" s="22"/>
      <c r="J76" s="22"/>
      <c r="K76" s="22"/>
    </row>
    <row r="77" spans="1:11" s="5" customFormat="1" ht="51" customHeight="1" x14ac:dyDescent="0.35">
      <c r="A77" s="22">
        <v>13</v>
      </c>
      <c r="B77" s="22" t="s">
        <v>64</v>
      </c>
      <c r="C77" s="22"/>
      <c r="D77" s="23" t="s">
        <v>63</v>
      </c>
      <c r="E77" s="23"/>
      <c r="F77" s="23" t="s">
        <v>62</v>
      </c>
      <c r="G77" s="23"/>
      <c r="H77" s="23" t="s">
        <v>61</v>
      </c>
      <c r="I77" s="23"/>
      <c r="J77" s="23" t="s">
        <v>60</v>
      </c>
      <c r="K77" s="23"/>
    </row>
    <row r="78" spans="1:11" s="5" customFormat="1" x14ac:dyDescent="0.35">
      <c r="A78" s="22"/>
      <c r="B78" s="22" t="s">
        <v>59</v>
      </c>
      <c r="C78" s="22"/>
      <c r="D78" s="26"/>
      <c r="E78" s="26"/>
      <c r="F78" s="32"/>
      <c r="G78" s="32"/>
      <c r="H78" s="32"/>
      <c r="I78" s="32"/>
      <c r="J78" s="22"/>
      <c r="K78" s="22"/>
    </row>
    <row r="79" spans="1:11" s="5" customFormat="1" x14ac:dyDescent="0.35">
      <c r="A79" s="22"/>
      <c r="B79" s="22" t="s">
        <v>58</v>
      </c>
      <c r="C79" s="22"/>
      <c r="D79" s="26"/>
      <c r="E79" s="26"/>
      <c r="F79" s="32"/>
      <c r="G79" s="32"/>
      <c r="H79" s="32"/>
      <c r="I79" s="32"/>
      <c r="J79" s="22"/>
      <c r="K79" s="22"/>
    </row>
    <row r="80" spans="1:11" s="5" customFormat="1" x14ac:dyDescent="0.35">
      <c r="A80" s="22"/>
      <c r="B80" s="22" t="s">
        <v>57</v>
      </c>
      <c r="C80" s="22"/>
      <c r="D80" s="26"/>
      <c r="E80" s="26"/>
      <c r="F80" s="32"/>
      <c r="G80" s="32"/>
      <c r="H80" s="32"/>
      <c r="I80" s="32"/>
      <c r="J80" s="22"/>
      <c r="K80" s="22"/>
    </row>
    <row r="81" spans="1:11" s="5" customFormat="1" x14ac:dyDescent="0.35">
      <c r="A81" s="22"/>
      <c r="B81" s="22" t="s">
        <v>195</v>
      </c>
      <c r="C81" s="22"/>
      <c r="D81" s="26"/>
      <c r="E81" s="26"/>
      <c r="F81" s="32"/>
      <c r="G81" s="32"/>
      <c r="H81" s="32"/>
      <c r="I81" s="32"/>
      <c r="J81" s="22"/>
      <c r="K81" s="22"/>
    </row>
    <row r="82" spans="1:11" s="5" customFormat="1" x14ac:dyDescent="0.35">
      <c r="A82" s="22"/>
      <c r="B82" s="22" t="s">
        <v>56</v>
      </c>
      <c r="C82" s="22"/>
      <c r="D82" s="26"/>
      <c r="E82" s="26"/>
      <c r="F82" s="32"/>
      <c r="G82" s="32"/>
      <c r="H82" s="32"/>
      <c r="I82" s="32"/>
      <c r="J82" s="22"/>
      <c r="K82" s="22"/>
    </row>
    <row r="83" spans="1:11" s="5" customFormat="1" x14ac:dyDescent="0.35">
      <c r="A83" s="22"/>
      <c r="B83" s="22" t="s">
        <v>55</v>
      </c>
      <c r="C83" s="22"/>
      <c r="D83" s="26"/>
      <c r="E83" s="26"/>
      <c r="F83" s="32"/>
      <c r="G83" s="32"/>
      <c r="H83" s="32"/>
      <c r="I83" s="32"/>
      <c r="J83" s="22"/>
      <c r="K83" s="22"/>
    </row>
    <row r="84" spans="1:11" s="5" customFormat="1" x14ac:dyDescent="0.35">
      <c r="A84" s="22"/>
      <c r="B84" s="22" t="s">
        <v>54</v>
      </c>
      <c r="C84" s="22"/>
      <c r="D84" s="26"/>
      <c r="E84" s="26"/>
      <c r="F84" s="32"/>
      <c r="G84" s="32"/>
      <c r="H84" s="32"/>
      <c r="I84" s="32"/>
      <c r="J84" s="22"/>
      <c r="K84" s="22"/>
    </row>
    <row r="85" spans="1:11" s="5" customFormat="1" x14ac:dyDescent="0.35">
      <c r="A85" s="22"/>
      <c r="B85" s="22" t="s">
        <v>53</v>
      </c>
      <c r="C85" s="22"/>
      <c r="D85" s="26"/>
      <c r="E85" s="26"/>
      <c r="F85" s="32"/>
      <c r="G85" s="32"/>
      <c r="H85" s="32"/>
      <c r="I85" s="32"/>
      <c r="J85" s="22"/>
      <c r="K85" s="22"/>
    </row>
    <row r="86" spans="1:11" s="5" customFormat="1" x14ac:dyDescent="0.35">
      <c r="A86" s="22"/>
      <c r="B86" s="22" t="s">
        <v>52</v>
      </c>
      <c r="C86" s="22"/>
      <c r="D86" s="26"/>
      <c r="E86" s="26"/>
      <c r="F86" s="32">
        <f>F78+F79+F80+F81+F82+F83+F84+F85</f>
        <v>0</v>
      </c>
      <c r="G86" s="26"/>
      <c r="H86" s="32">
        <f>H78+H79+H80+H81+H82+H83+H84+H85</f>
        <v>0</v>
      </c>
      <c r="I86" s="26"/>
      <c r="J86" s="22"/>
      <c r="K86" s="22"/>
    </row>
    <row r="87" spans="1:11" x14ac:dyDescent="0.35">
      <c r="A87" s="22" t="s">
        <v>51</v>
      </c>
      <c r="B87" s="22"/>
      <c r="C87" s="22"/>
      <c r="D87" s="22"/>
      <c r="E87" s="22"/>
      <c r="F87" s="22"/>
      <c r="G87" s="22"/>
      <c r="H87" s="22"/>
      <c r="I87" s="22"/>
      <c r="J87" s="22"/>
      <c r="K87" s="22"/>
    </row>
    <row r="88" spans="1:11" ht="48" customHeight="1" x14ac:dyDescent="0.35">
      <c r="A88" s="22">
        <v>14</v>
      </c>
      <c r="B88" s="28" t="s">
        <v>50</v>
      </c>
      <c r="C88" s="28"/>
      <c r="D88" s="28"/>
      <c r="E88" s="28" t="s">
        <v>176</v>
      </c>
      <c r="F88" s="28"/>
      <c r="G88" s="28"/>
      <c r="H88" s="23" t="s">
        <v>49</v>
      </c>
      <c r="I88" s="23"/>
      <c r="J88" s="28" t="s">
        <v>204</v>
      </c>
      <c r="K88" s="28"/>
    </row>
    <row r="89" spans="1:11" ht="70.5" customHeight="1" x14ac:dyDescent="0.35">
      <c r="A89" s="22"/>
      <c r="B89" s="28" t="s">
        <v>157</v>
      </c>
      <c r="C89" s="28"/>
      <c r="D89" s="28"/>
      <c r="E89" s="28" t="s">
        <v>200</v>
      </c>
      <c r="F89" s="28"/>
      <c r="G89" s="28"/>
      <c r="H89" s="28" t="s">
        <v>158</v>
      </c>
      <c r="I89" s="28"/>
      <c r="J89" s="28" t="s">
        <v>167</v>
      </c>
      <c r="K89" s="28"/>
    </row>
    <row r="90" spans="1:11" ht="61.5" customHeight="1" x14ac:dyDescent="0.35">
      <c r="A90" s="22"/>
      <c r="B90" s="28" t="s">
        <v>159</v>
      </c>
      <c r="C90" s="28"/>
      <c r="D90" s="28"/>
      <c r="E90" s="28" t="s">
        <v>188</v>
      </c>
      <c r="F90" s="28"/>
      <c r="G90" s="28"/>
      <c r="H90" s="28" t="s">
        <v>160</v>
      </c>
      <c r="I90" s="28"/>
      <c r="J90" s="28" t="s">
        <v>174</v>
      </c>
      <c r="K90" s="28"/>
    </row>
    <row r="91" spans="1:11" ht="32.5" customHeight="1" x14ac:dyDescent="0.35">
      <c r="A91" s="22"/>
      <c r="B91" s="28" t="s">
        <v>161</v>
      </c>
      <c r="C91" s="28"/>
      <c r="D91" s="28"/>
      <c r="E91" s="28" t="s">
        <v>175</v>
      </c>
      <c r="F91" s="28"/>
      <c r="G91" s="28"/>
      <c r="H91" s="28" t="s">
        <v>162</v>
      </c>
      <c r="I91" s="28"/>
      <c r="J91" s="28" t="s">
        <v>173</v>
      </c>
      <c r="K91" s="28"/>
    </row>
    <row r="92" spans="1:11" ht="91.4" customHeight="1" x14ac:dyDescent="0.35">
      <c r="A92" s="22"/>
      <c r="B92" s="28" t="s">
        <v>48</v>
      </c>
      <c r="C92" s="28"/>
      <c r="D92" s="28"/>
      <c r="E92" s="28" t="s">
        <v>47</v>
      </c>
      <c r="F92" s="28"/>
      <c r="G92" s="28"/>
      <c r="H92" s="28" t="s">
        <v>46</v>
      </c>
      <c r="I92" s="28"/>
      <c r="J92" s="28" t="s">
        <v>45</v>
      </c>
      <c r="K92" s="28"/>
    </row>
    <row r="93" spans="1:11" x14ac:dyDescent="0.35">
      <c r="A93" s="22"/>
      <c r="B93" s="28" t="s">
        <v>44</v>
      </c>
      <c r="C93" s="28"/>
      <c r="D93" s="28"/>
      <c r="E93" s="28" t="s">
        <v>38</v>
      </c>
      <c r="F93" s="28"/>
      <c r="G93" s="28"/>
      <c r="H93" s="28" t="s">
        <v>43</v>
      </c>
      <c r="I93" s="28"/>
      <c r="J93" s="28" t="s">
        <v>42</v>
      </c>
      <c r="K93" s="28"/>
    </row>
    <row r="94" spans="1:11" ht="42.75" customHeight="1" x14ac:dyDescent="0.35">
      <c r="A94" s="22"/>
      <c r="B94" s="28" t="s">
        <v>41</v>
      </c>
      <c r="C94" s="28"/>
      <c r="D94" s="28"/>
      <c r="E94" s="28" t="s">
        <v>40</v>
      </c>
      <c r="F94" s="28"/>
      <c r="G94" s="28"/>
      <c r="H94" s="28" t="s">
        <v>39</v>
      </c>
      <c r="I94" s="28"/>
      <c r="J94" s="28" t="s">
        <v>38</v>
      </c>
      <c r="K94" s="28"/>
    </row>
    <row r="95" spans="1:11" ht="34.4" customHeight="1" x14ac:dyDescent="0.35">
      <c r="A95" s="22"/>
      <c r="B95" s="28" t="s">
        <v>37</v>
      </c>
      <c r="C95" s="28"/>
      <c r="D95" s="28"/>
      <c r="E95" s="28" t="s">
        <v>177</v>
      </c>
      <c r="F95" s="28"/>
      <c r="G95" s="28"/>
      <c r="H95" s="28" t="s">
        <v>36</v>
      </c>
      <c r="I95" s="28"/>
      <c r="J95" s="28" t="s">
        <v>35</v>
      </c>
      <c r="K95" s="28"/>
    </row>
    <row r="96" spans="1:11" x14ac:dyDescent="0.35">
      <c r="A96" s="22" t="s">
        <v>34</v>
      </c>
      <c r="B96" s="22"/>
      <c r="C96" s="22"/>
      <c r="D96" s="22"/>
      <c r="E96" s="22"/>
      <c r="F96" s="22"/>
      <c r="G96" s="22"/>
      <c r="H96" s="22"/>
      <c r="I96" s="22"/>
      <c r="J96" s="22"/>
      <c r="K96" s="22"/>
    </row>
    <row r="97" spans="1:11" x14ac:dyDescent="0.35">
      <c r="A97" s="22">
        <v>15</v>
      </c>
      <c r="B97" s="22" t="s">
        <v>33</v>
      </c>
      <c r="C97" s="22"/>
      <c r="D97" s="22" t="s">
        <v>32</v>
      </c>
      <c r="E97" s="22"/>
      <c r="F97" s="22" t="s">
        <v>31</v>
      </c>
      <c r="G97" s="22"/>
      <c r="H97" s="22" t="s">
        <v>30</v>
      </c>
      <c r="I97" s="22"/>
      <c r="J97" s="22" t="s">
        <v>29</v>
      </c>
      <c r="K97" s="22"/>
    </row>
    <row r="98" spans="1:11" ht="26.25" customHeight="1" x14ac:dyDescent="0.35">
      <c r="A98" s="22"/>
      <c r="B98" s="23" t="s">
        <v>28</v>
      </c>
      <c r="C98" s="23"/>
      <c r="D98" s="22" t="s">
        <v>27</v>
      </c>
      <c r="E98" s="22"/>
      <c r="F98" s="34">
        <v>3978</v>
      </c>
      <c r="G98" s="34"/>
      <c r="H98" s="24">
        <v>3888</v>
      </c>
      <c r="I98" s="24"/>
      <c r="J98" s="24">
        <f>F98*H98</f>
        <v>15466464</v>
      </c>
      <c r="K98" s="24"/>
    </row>
    <row r="99" spans="1:11" ht="43.5" customHeight="1" x14ac:dyDescent="0.35">
      <c r="A99" s="22"/>
      <c r="B99" s="23"/>
      <c r="C99" s="23"/>
      <c r="D99" s="23" t="s">
        <v>202</v>
      </c>
      <c r="E99" s="22"/>
      <c r="F99" s="34"/>
      <c r="G99" s="34"/>
      <c r="H99" s="24"/>
      <c r="I99" s="24"/>
      <c r="J99" s="24">
        <f>F99*H99</f>
        <v>0</v>
      </c>
      <c r="K99" s="24"/>
    </row>
    <row r="100" spans="1:11" ht="37.4" customHeight="1" x14ac:dyDescent="0.35">
      <c r="A100" s="22"/>
      <c r="B100" s="23"/>
      <c r="C100" s="23"/>
      <c r="D100" s="23" t="s">
        <v>26</v>
      </c>
      <c r="E100" s="23"/>
      <c r="F100" s="22" t="s">
        <v>167</v>
      </c>
      <c r="G100" s="22"/>
      <c r="H100" s="22" t="s">
        <v>167</v>
      </c>
      <c r="I100" s="22"/>
      <c r="J100" s="22" t="s">
        <v>167</v>
      </c>
      <c r="K100" s="22"/>
    </row>
    <row r="101" spans="1:11" ht="55.75" customHeight="1" x14ac:dyDescent="0.35">
      <c r="A101" s="22"/>
      <c r="B101" s="23" t="s">
        <v>25</v>
      </c>
      <c r="C101" s="22"/>
      <c r="D101" s="23" t="s">
        <v>24</v>
      </c>
      <c r="E101" s="22"/>
      <c r="F101" s="22" t="s">
        <v>167</v>
      </c>
      <c r="G101" s="22"/>
      <c r="H101" s="22" t="s">
        <v>167</v>
      </c>
      <c r="I101" s="22"/>
      <c r="J101" s="22" t="s">
        <v>167</v>
      </c>
      <c r="K101" s="22"/>
    </row>
    <row r="102" spans="1:11" x14ac:dyDescent="0.35">
      <c r="A102" s="22"/>
      <c r="B102" s="22" t="s">
        <v>23</v>
      </c>
      <c r="C102" s="22"/>
      <c r="D102" s="22"/>
      <c r="E102" s="22"/>
      <c r="F102" s="22"/>
      <c r="G102" s="22"/>
      <c r="H102" s="22"/>
      <c r="I102" s="22"/>
      <c r="J102" s="22"/>
      <c r="K102" s="22"/>
    </row>
    <row r="103" spans="1:11" ht="35.5" customHeight="1" x14ac:dyDescent="0.35">
      <c r="A103" s="22"/>
      <c r="B103" s="22" t="s">
        <v>22</v>
      </c>
      <c r="C103" s="22"/>
      <c r="D103" s="8" t="s">
        <v>167</v>
      </c>
      <c r="E103" s="22" t="s">
        <v>21</v>
      </c>
      <c r="F103" s="22"/>
      <c r="G103" s="8" t="s">
        <v>167</v>
      </c>
      <c r="H103" s="23" t="s">
        <v>20</v>
      </c>
      <c r="I103" s="23"/>
      <c r="J103" s="23" t="s">
        <v>167</v>
      </c>
      <c r="K103" s="23"/>
    </row>
    <row r="104" spans="1:11" s="5" customFormat="1" ht="24" customHeight="1" x14ac:dyDescent="0.35">
      <c r="A104" s="22"/>
      <c r="B104" s="23" t="s">
        <v>19</v>
      </c>
      <c r="C104" s="23"/>
      <c r="D104" s="23"/>
      <c r="E104" s="23"/>
      <c r="F104" s="23"/>
      <c r="G104" s="23"/>
      <c r="H104" s="22">
        <v>0</v>
      </c>
      <c r="I104" s="22"/>
      <c r="J104" s="22"/>
      <c r="K104" s="22"/>
    </row>
    <row r="105" spans="1:11" s="5" customFormat="1" x14ac:dyDescent="0.35">
      <c r="A105" s="22"/>
      <c r="B105" s="22" t="s">
        <v>18</v>
      </c>
      <c r="C105" s="22"/>
      <c r="D105" s="22"/>
      <c r="E105" s="22"/>
      <c r="F105" s="22"/>
      <c r="G105" s="22"/>
      <c r="H105" s="24">
        <f>J98+J99</f>
        <v>15466464</v>
      </c>
      <c r="I105" s="22"/>
      <c r="J105" s="22"/>
      <c r="K105" s="22"/>
    </row>
    <row r="106" spans="1:11" s="5" customFormat="1" x14ac:dyDescent="0.35">
      <c r="A106" s="22" t="s">
        <v>17</v>
      </c>
      <c r="B106" s="22"/>
      <c r="C106" s="22"/>
      <c r="D106" s="22"/>
      <c r="E106" s="22"/>
      <c r="F106" s="22"/>
      <c r="G106" s="22"/>
      <c r="H106" s="22"/>
      <c r="I106" s="22"/>
      <c r="J106" s="22"/>
      <c r="K106" s="22"/>
    </row>
    <row r="107" spans="1:11" s="5" customFormat="1" ht="61.5" customHeight="1" x14ac:dyDescent="0.35">
      <c r="A107" s="22">
        <v>16</v>
      </c>
      <c r="B107" s="23" t="s">
        <v>16</v>
      </c>
      <c r="C107" s="23"/>
      <c r="D107" s="23" t="s">
        <v>15</v>
      </c>
      <c r="E107" s="23"/>
      <c r="F107" s="23" t="s">
        <v>14</v>
      </c>
      <c r="G107" s="23"/>
      <c r="H107" s="23"/>
      <c r="I107" s="9" t="s">
        <v>13</v>
      </c>
      <c r="J107" s="9" t="s">
        <v>12</v>
      </c>
      <c r="K107" s="9" t="s">
        <v>11</v>
      </c>
    </row>
    <row r="108" spans="1:11" s="5" customFormat="1" ht="40.4" customHeight="1" x14ac:dyDescent="0.35">
      <c r="A108" s="22"/>
      <c r="B108" s="22" t="s">
        <v>167</v>
      </c>
      <c r="C108" s="22"/>
      <c r="D108" s="22" t="s">
        <v>204</v>
      </c>
      <c r="E108" s="22"/>
      <c r="F108" s="22" t="s">
        <v>203</v>
      </c>
      <c r="G108" s="22"/>
      <c r="H108" s="22"/>
      <c r="I108" s="11">
        <v>0</v>
      </c>
      <c r="J108" s="11">
        <v>0</v>
      </c>
      <c r="K108" s="9" t="s">
        <v>10</v>
      </c>
    </row>
    <row r="109" spans="1:11" s="5" customFormat="1" x14ac:dyDescent="0.35">
      <c r="A109" s="22"/>
      <c r="B109" s="22" t="s">
        <v>9</v>
      </c>
      <c r="C109" s="22"/>
      <c r="D109" s="22"/>
      <c r="E109" s="22"/>
      <c r="F109" s="22"/>
      <c r="G109" s="22"/>
      <c r="H109" s="22"/>
      <c r="I109" s="22"/>
      <c r="J109" s="22"/>
      <c r="K109" s="22"/>
    </row>
    <row r="110" spans="1:11" s="5" customFormat="1" x14ac:dyDescent="0.35">
      <c r="A110" s="22" t="s">
        <v>8</v>
      </c>
      <c r="B110" s="22"/>
      <c r="C110" s="22"/>
      <c r="D110" s="22"/>
      <c r="E110" s="22"/>
      <c r="F110" s="22"/>
      <c r="G110" s="22"/>
      <c r="H110" s="22"/>
      <c r="I110" s="22"/>
      <c r="J110" s="22"/>
      <c r="K110" s="22"/>
    </row>
    <row r="111" spans="1:11" s="5" customFormat="1" x14ac:dyDescent="0.35">
      <c r="A111" s="22">
        <v>17</v>
      </c>
      <c r="B111" s="22" t="s">
        <v>7</v>
      </c>
      <c r="C111" s="22"/>
      <c r="D111" s="22"/>
      <c r="E111" s="22"/>
      <c r="F111" s="22"/>
      <c r="G111" s="22"/>
      <c r="H111" s="33">
        <v>0</v>
      </c>
      <c r="I111" s="33"/>
      <c r="J111" s="33"/>
      <c r="K111" s="33"/>
    </row>
    <row r="112" spans="1:11" x14ac:dyDescent="0.35">
      <c r="A112" s="22"/>
      <c r="B112" s="22" t="s">
        <v>6</v>
      </c>
      <c r="C112" s="22"/>
      <c r="D112" s="22"/>
      <c r="E112" s="22"/>
      <c r="F112" s="22"/>
      <c r="G112" s="22"/>
      <c r="H112" s="22">
        <f>H105*80%</f>
        <v>12373171.200000001</v>
      </c>
      <c r="I112" s="22"/>
      <c r="J112" s="22"/>
      <c r="K112" s="22"/>
    </row>
    <row r="113" spans="1:11" x14ac:dyDescent="0.35">
      <c r="A113" s="22"/>
      <c r="B113" s="22" t="s">
        <v>5</v>
      </c>
      <c r="C113" s="22"/>
      <c r="D113" s="22"/>
      <c r="E113" s="22"/>
      <c r="F113" s="22"/>
      <c r="G113" s="22"/>
      <c r="H113" s="22"/>
      <c r="I113" s="22"/>
      <c r="J113" s="22"/>
      <c r="K113" s="22"/>
    </row>
    <row r="114" spans="1:11" ht="24.65" customHeight="1" x14ac:dyDescent="0.35">
      <c r="A114" s="22"/>
      <c r="B114" s="22" t="s">
        <v>4</v>
      </c>
      <c r="C114" s="22"/>
      <c r="D114" s="22"/>
      <c r="E114" s="22"/>
      <c r="F114" s="22"/>
      <c r="G114" s="22"/>
      <c r="H114" s="22" t="s">
        <v>167</v>
      </c>
      <c r="I114" s="22"/>
      <c r="J114" s="22"/>
      <c r="K114" s="22"/>
    </row>
    <row r="115" spans="1:11" ht="24" customHeight="1" x14ac:dyDescent="0.35">
      <c r="A115" s="28">
        <v>18</v>
      </c>
      <c r="B115" s="28" t="s">
        <v>3</v>
      </c>
      <c r="C115" s="28"/>
      <c r="D115" s="28"/>
      <c r="E115" s="28"/>
      <c r="F115" s="28"/>
      <c r="G115" s="28"/>
      <c r="H115" s="28" t="s">
        <v>2</v>
      </c>
      <c r="I115" s="28"/>
      <c r="J115" s="28"/>
      <c r="K115" s="28"/>
    </row>
    <row r="116" spans="1:11" ht="30.65" customHeight="1" x14ac:dyDescent="0.35">
      <c r="A116" s="28"/>
      <c r="B116" s="28" t="s">
        <v>156</v>
      </c>
      <c r="C116" s="28"/>
      <c r="D116" s="28"/>
      <c r="E116" s="28"/>
      <c r="F116" s="28"/>
      <c r="G116" s="28"/>
      <c r="H116" s="28"/>
      <c r="I116" s="28"/>
      <c r="J116" s="28"/>
      <c r="K116" s="28"/>
    </row>
    <row r="117" spans="1:11" x14ac:dyDescent="0.35">
      <c r="A117" s="23" t="s">
        <v>230</v>
      </c>
      <c r="B117" s="22"/>
      <c r="C117" s="22"/>
      <c r="D117" s="22"/>
      <c r="E117" s="22"/>
      <c r="F117" s="22"/>
      <c r="G117" s="22"/>
      <c r="H117" s="22"/>
      <c r="I117" s="22"/>
      <c r="J117" s="22"/>
      <c r="K117" s="22"/>
    </row>
    <row r="118" spans="1:11" x14ac:dyDescent="0.35">
      <c r="A118" s="22"/>
      <c r="B118" s="22"/>
      <c r="C118" s="22"/>
      <c r="D118" s="22"/>
      <c r="E118" s="22"/>
      <c r="F118" s="22"/>
      <c r="G118" s="22"/>
      <c r="H118" s="22"/>
      <c r="I118" s="22"/>
      <c r="J118" s="22"/>
      <c r="K118" s="22"/>
    </row>
    <row r="119" spans="1:11" x14ac:dyDescent="0.35">
      <c r="A119" s="22"/>
      <c r="B119" s="22"/>
      <c r="C119" s="22"/>
      <c r="D119" s="22"/>
      <c r="E119" s="22"/>
      <c r="F119" s="22"/>
      <c r="G119" s="22"/>
      <c r="H119" s="22"/>
      <c r="I119" s="22"/>
      <c r="J119" s="22"/>
      <c r="K119" s="22"/>
    </row>
    <row r="120" spans="1:11" ht="154" customHeight="1" x14ac:dyDescent="0.35">
      <c r="A120" s="22"/>
      <c r="B120" s="22"/>
      <c r="C120" s="22"/>
      <c r="D120" s="22"/>
      <c r="E120" s="22"/>
      <c r="F120" s="22"/>
      <c r="G120" s="22"/>
      <c r="H120" s="22"/>
      <c r="I120" s="22"/>
      <c r="J120" s="22"/>
      <c r="K120" s="22"/>
    </row>
    <row r="121" spans="1:11" ht="31.5" customHeight="1" x14ac:dyDescent="0.35">
      <c r="A121" s="23" t="s">
        <v>163</v>
      </c>
      <c r="B121" s="23"/>
      <c r="C121" s="23"/>
      <c r="D121" s="23"/>
      <c r="E121" s="23"/>
      <c r="F121" s="23"/>
      <c r="G121" s="23"/>
      <c r="H121" s="23"/>
      <c r="I121" s="23"/>
      <c r="J121" s="23"/>
      <c r="K121" s="23"/>
    </row>
    <row r="122" spans="1:11" ht="14.5" customHeight="1" x14ac:dyDescent="0.35">
      <c r="A122" s="35" t="s">
        <v>180</v>
      </c>
      <c r="B122" s="36"/>
      <c r="C122" s="36"/>
      <c r="D122" s="36"/>
      <c r="E122" s="36"/>
      <c r="F122" s="36"/>
      <c r="G122" s="36"/>
      <c r="H122" s="36"/>
      <c r="I122" s="36"/>
      <c r="J122" s="36"/>
      <c r="K122" s="36"/>
    </row>
    <row r="123" spans="1:11" ht="14.5" customHeight="1" x14ac:dyDescent="0.35">
      <c r="A123" s="36"/>
      <c r="B123" s="36"/>
      <c r="C123" s="36"/>
      <c r="D123" s="36"/>
      <c r="E123" s="36"/>
      <c r="F123" s="36"/>
      <c r="G123" s="36"/>
      <c r="H123" s="36"/>
      <c r="I123" s="36"/>
      <c r="J123" s="36"/>
      <c r="K123" s="36"/>
    </row>
    <row r="124" spans="1:11" ht="14.5" customHeight="1" x14ac:dyDescent="0.35">
      <c r="A124" s="36"/>
      <c r="B124" s="36"/>
      <c r="C124" s="36"/>
      <c r="D124" s="36"/>
      <c r="E124" s="36"/>
      <c r="F124" s="36"/>
      <c r="G124" s="36"/>
      <c r="H124" s="36"/>
      <c r="I124" s="36"/>
      <c r="J124" s="36"/>
      <c r="K124" s="36"/>
    </row>
    <row r="125" spans="1:11" ht="195" customHeight="1" x14ac:dyDescent="0.35">
      <c r="A125" s="36"/>
      <c r="B125" s="36"/>
      <c r="C125" s="36"/>
      <c r="D125" s="36"/>
      <c r="E125" s="36"/>
      <c r="F125" s="36"/>
      <c r="G125" s="36"/>
      <c r="H125" s="36"/>
      <c r="I125" s="36"/>
      <c r="J125" s="36"/>
      <c r="K125" s="36"/>
    </row>
    <row r="126" spans="1:11" ht="73.400000000000006" customHeight="1" x14ac:dyDescent="0.35">
      <c r="A126" s="37" t="s">
        <v>165</v>
      </c>
      <c r="B126" s="37"/>
      <c r="C126" s="37"/>
      <c r="D126" s="37"/>
      <c r="E126" s="37"/>
      <c r="F126" s="37"/>
      <c r="G126" s="37"/>
      <c r="H126" s="37"/>
      <c r="I126" s="37"/>
      <c r="J126" s="37"/>
      <c r="K126" s="37"/>
    </row>
    <row r="127" spans="1:11" ht="18" customHeight="1" x14ac:dyDescent="0.35">
      <c r="A127" t="inlineStr">
        <is>
          <t>Satellite View</t>
        </is>
      </c>
    </row>
    <row r="128" spans="1:11" x14ac:dyDescent="0.35" ht="363" customHeight="1"/>
    <row r="129" spans="1:11" x14ac:dyDescent="0.35" ht="18" customHeight="1">
      <c r="A129" t="inlineStr">
        <is>
          <t>Plot / property view</t>
        </is>
      </c>
      <c r="G129" t="inlineStr">
        <is>
          <t>Applicant / surveyor selfie</t>
        </is>
      </c>
    </row>
    <row r="130" spans="1:11" x14ac:dyDescent="0.35" ht="273.77259842519743" customHeight="1"/>
    <row r="131" spans="1:11" x14ac:dyDescent="0.35" ht="18" customHeight="1">
      <c r="A131" t="inlineStr">
        <is>
          <t>Approach road</t>
        </is>
      </c>
      <c r="G131" t="inlineStr">
        <is>
          <t>Neighbouring property / exterior</t>
        </is>
      </c>
    </row>
    <row r="132" spans="1:11" x14ac:dyDescent="0.35" ht="320.27094488188976" customHeight="1"/>
    <row r="133" spans="1:11" x14ac:dyDescent="0.35" ht="18" customHeight="1">
      <c r="A133" t="inlineStr">
        <is>
          <t>Applicant at property</t>
        </is>
      </c>
      <c r="G133" t="inlineStr">
        <is>
          <t>Plot / property — second view</t>
        </is>
      </c>
    </row>
    <row r="134" spans="1:11" x14ac:dyDescent="0.35" ht="316.4925196850394" customHeight="1"/>
    <row r="135" spans="1:11" x14ac:dyDescent="0.35" ht="18" customHeight="1">
      <c r="A135" t="inlineStr">
        <is>
          <t>Electricity meter</t>
        </is>
      </c>
    </row>
    <row r="136" spans="1:11" x14ac:dyDescent="0.35" ht="317.7276377952756" customHeight="1"/>
    <row r="137" spans="1:11" x14ac:dyDescent="0.35" ht="18" customHeight="1">
      <c r="A137" t="inlineStr">
        <is>
          <t>Property Tax Screenshot</t>
        </is>
      </c>
    </row>
    <row r="138" spans="1:11" x14ac:dyDescent="0.35" ht="317.70511811023624" customHeight="1"/>
    <row r="139" spans="1:11" x14ac:dyDescent="0.35" ht="18" customHeight="1">
      <c r="A139" t="inlineStr">
        <is>
          <t>Plot / property — third view</t>
        </is>
      </c>
    </row>
    <row r="140" spans="1:11" x14ac:dyDescent="0.35" ht="313.7276377952756" customHeight="1"/>
    <row r="141" spans="1:11" x14ac:dyDescent="0.35" ht="18" customHeight="1">
      <c r="A141" t="inlineStr">
        <is>
          <t>Cadastral / BhuNaksha Map</t>
        </is>
      </c>
    </row>
    <row r="142" spans="1:11" x14ac:dyDescent="0.35" ht="335.42559055118113" customHeight="1"/>
    <row r="143" spans="1:11" x14ac:dyDescent="0.35" ht="18" customHeight="1">
      <c r="A143" t="inlineStr">
        <is>
          <t>Government Rate Screenshot</t>
        </is>
      </c>
    </row>
    <row r="144" spans="1:11" x14ac:dyDescent="0.35" ht="341.8612598425197" customHeight="1"/>
    <row r="145" spans="1:11" x14ac:dyDescent="0.35" ht="18" customHeight="1">
      <c r="A145" t="inlineStr">
        <is>
          <t>Prohibited Property Screenshot</t>
        </is>
      </c>
    </row>
    <row r="146" spans="1:11" x14ac:dyDescent="0.35" ht="297.0412598425197" customHeight="1"/>
    <row r="147" spans="1:11" x14ac:dyDescent="0.35" ht="1" customHeight="1"/>
    <row r="148" spans="1:11" x14ac:dyDescent="0.35" ht="1" customHeight="1"/>
    <row r="149" spans="1:11" ht="1" customHeight="1" x14ac:dyDescent="0.35"/>
    <row r="150" spans="1:11" ht="1" customHeight="1" x14ac:dyDescent="0.35"/>
    <row r="151" spans="1:11" ht="1" customHeight="1" x14ac:dyDescent="0.35"/>
    <row r="152" spans="1:11" ht="1" customHeight="1" x14ac:dyDescent="0.35"/>
    <row r="153" spans="1:11" ht="1" customHeight="1" x14ac:dyDescent="0.35"/>
    <row r="154" spans="1:11" ht="1" customHeight="1" x14ac:dyDescent="0.35"/>
    <row r="155" spans="1:11" ht="1" customHeight="1" x14ac:dyDescent="0.35"/>
    <row r="156" spans="1:11" ht="1" customHeight="1" x14ac:dyDescent="0.35"/>
    <row r="157" spans="1:11" ht="1" customHeight="1" x14ac:dyDescent="0.35"/>
    <row r="158" spans="1:11" ht="1" customHeight="1" x14ac:dyDescent="0.35"/>
    <row r="159" spans="1:11" ht="1" customHeight="1" x14ac:dyDescent="0.35"/>
    <row r="160" spans="1:11" ht="1" customHeight="1" x14ac:dyDescent="0.35"/>
    <row r="161" spans="1:11" ht="1" customHeight="1" x14ac:dyDescent="0.35"/>
    <row r="162" spans="1:11" ht="1" customHeight="1" x14ac:dyDescent="0.35"/>
    <row r="163" spans="1:11" ht="1" customHeight="1" x14ac:dyDescent="0.35"/>
    <row r="164" spans="1:11" x14ac:dyDescent="0.35" ht="1" customHeight="1"/>
    <row r="165" spans="1:11" x14ac:dyDescent="0.35" ht="1" customHeight="1"/>
    <row r="166" spans="1:11" x14ac:dyDescent="0.35" ht="1" customHeight="1"/>
    <row r="167" spans="1:11" x14ac:dyDescent="0.35" ht="1" customHeight="1"/>
    <row r="168" spans="1:11" x14ac:dyDescent="0.35" ht="1" customHeight="1"/>
    <row r="169" spans="1:11" x14ac:dyDescent="0.35" ht="1" customHeight="1"/>
    <row r="170" spans="1:11" x14ac:dyDescent="0.35" ht="1" customHeight="1"/>
    <row r="171" spans="1:11" x14ac:dyDescent="0.35" ht="1" customHeight="1"/>
    <row r="172" spans="1:11" x14ac:dyDescent="0.35" ht="1" customHeight="1"/>
    <row r="173" spans="1:11" x14ac:dyDescent="0.35" ht="1" customHeight="1"/>
    <row r="174" spans="1:11" x14ac:dyDescent="0.35" ht="1" customHeight="1"/>
    <row r="175" spans="1:11" x14ac:dyDescent="0.35" ht="1" customHeight="1"/>
    <row r="176" spans="1:11" x14ac:dyDescent="0.35" ht="1" customHeight="1"/>
    <row r="177" spans="1:11" x14ac:dyDescent="0.35" ht="1" customHeight="1"/>
    <row r="178" spans="1:11" x14ac:dyDescent="0.35" ht="1" customHeight="1"/>
    <row r="179" spans="1:11" x14ac:dyDescent="0.35" ht="1" customHeight="1"/>
    <row r="180" spans="1:11" x14ac:dyDescent="0.35" ht="1" customHeight="1"/>
    <row r="181" spans="1:11" x14ac:dyDescent="0.35" ht="1" customHeight="1"/>
    <row r="182" spans="1:11" x14ac:dyDescent="0.35" ht="1" customHeight="1"/>
    <row r="183" spans="1:11" x14ac:dyDescent="0.35" ht="1" customHeight="1"/>
    <row r="184" spans="1:11" x14ac:dyDescent="0.35" ht="1" customHeight="1"/>
    <row r="185" spans="1:11" x14ac:dyDescent="0.35" ht="1" customHeight="1"/>
    <row r="186" spans="1:11" x14ac:dyDescent="0.35" ht="1" customHeight="1"/>
    <row r="187" spans="1:11" x14ac:dyDescent="0.35" ht="1" customHeight="1"/>
    <row r="188" spans="1:11" x14ac:dyDescent="0.35" ht="1" customHeight="1"/>
    <row r="189" spans="1:11" x14ac:dyDescent="0.35" ht="1" customHeight="1"/>
    <row r="190" spans="1:11" x14ac:dyDescent="0.35" ht="1" customHeight="1"/>
    <row r="191" spans="1:11" x14ac:dyDescent="0.35" ht="1" customHeight="1"/>
    <row r="192" spans="1:11" x14ac:dyDescent="0.35" ht="1" customHeight="1"/>
    <row r="193" spans="1:11" x14ac:dyDescent="0.35" ht="1" customHeight="1"/>
    <row r="194" spans="1:11" x14ac:dyDescent="0.35" ht="1" customHeight="1"/>
    <row r="195" spans="1:11" x14ac:dyDescent="0.35" ht="1" customHeight="1"/>
    <row r="196" spans="1:11" x14ac:dyDescent="0.35" ht="1" customHeight="1"/>
    <row r="197" spans="1:11" x14ac:dyDescent="0.35" ht="1" customHeight="1"/>
    <row r="198" spans="1:11" ht="1" customHeight="1" x14ac:dyDescent="0.35"/>
    <row r="199" spans="1:11" ht="1" customHeight="1" x14ac:dyDescent="0.35"/>
    <row r="200" spans="1:11" ht="1" customHeight="1" x14ac:dyDescent="0.35"/>
    <row r="201" spans="1:11" ht="1" customHeight="1" x14ac:dyDescent="0.35"/>
    <row r="202" spans="1:11" ht="1" customHeight="1" x14ac:dyDescent="0.35"/>
    <row r="203" spans="1:11" ht="1" customHeight="1" x14ac:dyDescent="0.35"/>
    <row r="204" spans="1:11" ht="1" customHeight="1" x14ac:dyDescent="0.35"/>
    <row r="205" spans="1:11" ht="1" customHeight="1" x14ac:dyDescent="0.35"/>
    <row r="206" spans="1:11" ht="1" customHeight="1" x14ac:dyDescent="0.35"/>
    <row r="207" spans="1:11" ht="1" customHeight="1" x14ac:dyDescent="0.35"/>
    <row r="208" spans="1:11" ht="1" customHeight="1" x14ac:dyDescent="0.35"/>
    <row r="209" spans="1:11" ht="1" customHeight="1" x14ac:dyDescent="0.35"/>
    <row r="210" spans="1:11" ht="1" customHeight="1" x14ac:dyDescent="0.35"/>
    <row r="211" spans="1:11" ht="1" customHeight="1" x14ac:dyDescent="0.35"/>
    <row r="212" spans="1:11" ht="1" customHeight="1" x14ac:dyDescent="0.35"/>
    <row r="213" spans="1:11" ht="1" customHeight="1" x14ac:dyDescent="0.35"/>
    <row r="214" spans="1:11" ht="1" customHeight="1" x14ac:dyDescent="0.35"/>
    <row r="215" spans="1:11" ht="1" customHeight="1" x14ac:dyDescent="0.35"/>
    <row r="216" spans="1:11" ht="1" customHeight="1" x14ac:dyDescent="0.35"/>
    <row r="217" spans="1:11" ht="1" customHeight="1" x14ac:dyDescent="0.35"/>
    <row r="218" spans="1:11" ht="1" customHeight="1" x14ac:dyDescent="0.35"/>
    <row r="219" spans="1:11" ht="1" customHeight="1" x14ac:dyDescent="0.35"/>
    <row r="220" spans="1:11" ht="1" customHeight="1" x14ac:dyDescent="0.35"/>
    <row r="221" spans="1:11" ht="1" customHeight="1" x14ac:dyDescent="0.35"/>
    <row r="222" spans="1:11" ht="1" customHeight="1" x14ac:dyDescent="0.35"/>
    <row r="223" spans="1:11" ht="1" customHeight="1" x14ac:dyDescent="0.35"/>
    <row r="224" spans="1:11" ht="1" customHeight="1" x14ac:dyDescent="0.35"/>
    <row r="225" spans="1:11" ht="1" customHeight="1" x14ac:dyDescent="0.35"/>
    <row r="226" spans="1:11" ht="1" customHeight="1" x14ac:dyDescent="0.35"/>
    <row r="227" spans="1:11" ht="1" customHeight="1" x14ac:dyDescent="0.35"/>
    <row r="228" spans="1:11" ht="1" customHeight="1" x14ac:dyDescent="0.35"/>
    <row r="229" spans="1:11" ht="1" customHeight="1" x14ac:dyDescent="0.35"/>
    <row r="230" spans="1:11" ht="1" customHeight="1" x14ac:dyDescent="0.35"/>
    <row r="231" spans="1:11" ht="1" customHeight="1" x14ac:dyDescent="0.35"/>
    <row r="232" spans="1:11" ht="1" customHeight="1" x14ac:dyDescent="0.35"/>
    <row r="233" spans="1:11" ht="1" customHeight="1" x14ac:dyDescent="0.35"/>
    <row r="234" spans="1:11" ht="1" customHeight="1" x14ac:dyDescent="0.35"/>
    <row r="235" spans="1:11" ht="1" customHeight="1" x14ac:dyDescent="0.35"/>
    <row r="236" spans="1:11" ht="1" customHeight="1" x14ac:dyDescent="0.35"/>
    <row r="237" spans="1:11" ht="1" customHeight="1" x14ac:dyDescent="0.35"/>
    <row r="238" spans="1:11" ht="1" customHeight="1" x14ac:dyDescent="0.35"/>
    <row r="239" spans="1:11" ht="1" customHeight="1" x14ac:dyDescent="0.35"/>
    <row r="240" spans="1:11" ht="1" customHeight="1" x14ac:dyDescent="0.35"/>
    <row r="241" spans="1:11" ht="1" customHeight="1" x14ac:dyDescent="0.35"/>
    <row r="242" spans="1:11" ht="1" customHeight="1" x14ac:dyDescent="0.35"/>
    <row r="243" spans="1:11" ht="1" customHeight="1" x14ac:dyDescent="0.35"/>
    <row r="244" spans="1:11" ht="1" customHeight="1" x14ac:dyDescent="0.35"/>
    <row r="245" spans="1:11" ht="1" customHeight="1" x14ac:dyDescent="0.35"/>
    <row r="246" spans="1:11" ht="1" customHeight="1" x14ac:dyDescent="0.35"/>
    <row r="247" spans="1:11" ht="1" customHeight="1" x14ac:dyDescent="0.35"/>
    <row r="248" spans="1:11" ht="1" customHeight="1" x14ac:dyDescent="0.35"/>
    <row r="249" spans="1:11" ht="1" customHeight="1" x14ac:dyDescent="0.35"/>
    <row r="250" spans="1:11" ht="18.75" customHeight="1" x14ac:dyDescent="0.35">
      <c r="A250" s="12"/>
      <c r="B250" s="13"/>
      <c r="C250" s="13"/>
      <c r="D250" s="13"/>
      <c r="E250" s="13"/>
      <c r="F250" s="13"/>
      <c r="G250" s="13"/>
      <c r="H250" s="13"/>
      <c r="I250" s="13"/>
      <c r="J250" s="13"/>
      <c r="K250" s="14"/>
    </row>
    <row r="251" spans="1:11" ht="18.75" customHeight="1" x14ac:dyDescent="0.35">
      <c r="A251" s="15"/>
      <c r="B251" s="16"/>
      <c r="C251" s="16"/>
      <c r="D251" s="16"/>
      <c r="E251" s="16"/>
      <c r="F251" s="16"/>
      <c r="G251" s="16"/>
      <c r="H251" s="16"/>
      <c r="I251" s="16"/>
      <c r="J251" s="16"/>
      <c r="K251" s="17"/>
    </row>
    <row r="252" spans="1:11" ht="18.75" customHeight="1" x14ac:dyDescent="0.35">
      <c r="A252" s="15"/>
      <c r="B252" s="16"/>
      <c r="C252" s="16"/>
      <c r="D252" s="16"/>
      <c r="E252" s="16"/>
      <c r="F252" s="16"/>
      <c r="G252" s="16"/>
      <c r="H252" s="16"/>
      <c r="I252" s="16"/>
      <c r="J252" s="16"/>
      <c r="K252" s="17"/>
    </row>
    <row r="253" spans="1:11" ht="18.75" customHeight="1" x14ac:dyDescent="0.35">
      <c r="A253" s="15"/>
      <c r="B253" s="16"/>
      <c r="C253" s="16"/>
      <c r="D253" s="16"/>
      <c r="E253" s="16"/>
      <c r="F253" s="16"/>
      <c r="G253" s="16"/>
      <c r="H253" s="16"/>
      <c r="I253" s="16"/>
      <c r="J253" s="16"/>
      <c r="K253" s="17"/>
    </row>
    <row r="254" spans="1:11" ht="18.75" customHeight="1" x14ac:dyDescent="0.35">
      <c r="A254" s="15"/>
      <c r="B254" s="16"/>
      <c r="C254" s="16"/>
      <c r="D254" s="16"/>
      <c r="E254" s="16"/>
      <c r="F254" s="16"/>
      <c r="G254" s="16"/>
      <c r="H254" s="16"/>
      <c r="I254" s="16"/>
      <c r="J254" s="16"/>
      <c r="K254" s="17"/>
    </row>
    <row r="255" spans="1:11" ht="18.75" customHeight="1" x14ac:dyDescent="0.35">
      <c r="A255" s="15"/>
      <c r="B255" s="16"/>
      <c r="C255" s="16"/>
      <c r="D255" s="16"/>
      <c r="E255" s="16"/>
      <c r="F255" s="16"/>
      <c r="G255" s="16"/>
      <c r="H255" s="16"/>
      <c r="I255" s="16"/>
      <c r="J255" s="16"/>
      <c r="K255" s="17"/>
    </row>
    <row r="256" spans="1:11" ht="18.75" customHeight="1" x14ac:dyDescent="0.35">
      <c r="A256" s="15"/>
      <c r="B256" s="16"/>
      <c r="C256" s="16"/>
      <c r="D256" s="16"/>
      <c r="E256" s="16"/>
      <c r="F256" s="16"/>
      <c r="G256" s="16"/>
      <c r="H256" s="16"/>
      <c r="I256" s="16"/>
      <c r="J256" s="16"/>
      <c r="K256" s="17"/>
    </row>
    <row r="257" spans="1:11" ht="18.75" customHeight="1" x14ac:dyDescent="0.35">
      <c r="A257" s="15"/>
      <c r="B257" s="16"/>
      <c r="C257" s="16"/>
      <c r="D257" s="16"/>
      <c r="E257" s="16"/>
      <c r="F257" s="16"/>
      <c r="G257" s="16"/>
      <c r="H257" s="16"/>
      <c r="I257" s="16"/>
      <c r="J257" s="16"/>
      <c r="K257" s="17"/>
    </row>
    <row r="258" spans="1:11" ht="18.75" customHeight="1" x14ac:dyDescent="0.35">
      <c r="A258" s="15"/>
      <c r="B258" s="16"/>
      <c r="C258" s="16"/>
      <c r="D258" s="16"/>
      <c r="E258" s="16"/>
      <c r="F258" s="16"/>
      <c r="G258" s="16"/>
      <c r="H258" s="16"/>
      <c r="I258" s="16"/>
      <c r="J258" s="16"/>
      <c r="K258" s="17"/>
    </row>
    <row r="259" spans="1:11" ht="18.75" customHeight="1" x14ac:dyDescent="0.35">
      <c r="A259" s="15"/>
      <c r="B259" s="16"/>
      <c r="C259" s="16"/>
      <c r="D259" s="16"/>
      <c r="E259" s="16"/>
      <c r="F259" s="16"/>
      <c r="G259" s="16"/>
      <c r="H259" s="16"/>
      <c r="I259" s="16"/>
      <c r="J259" s="16"/>
      <c r="K259" s="17"/>
    </row>
    <row r="260" spans="1:11" ht="18.75" customHeight="1" x14ac:dyDescent="0.35">
      <c r="A260" s="15"/>
      <c r="B260" s="16"/>
      <c r="C260" s="16"/>
      <c r="D260" s="16"/>
      <c r="E260" s="16"/>
      <c r="F260" s="16"/>
      <c r="G260" s="16"/>
      <c r="H260" s="16"/>
      <c r="I260" s="16"/>
      <c r="J260" s="16"/>
      <c r="K260" s="17"/>
    </row>
    <row r="261" spans="1:11" ht="18.75" customHeight="1" x14ac:dyDescent="0.35">
      <c r="A261" s="15"/>
      <c r="B261" s="16"/>
      <c r="C261" s="16"/>
      <c r="D261" s="16"/>
      <c r="E261" s="16"/>
      <c r="F261" s="16"/>
      <c r="G261" s="16"/>
      <c r="H261" s="16"/>
      <c r="I261" s="16"/>
      <c r="J261" s="16"/>
      <c r="K261" s="17"/>
    </row>
    <row r="262" spans="1:11" ht="18.75" customHeight="1" x14ac:dyDescent="0.35">
      <c r="A262" s="15"/>
      <c r="B262" s="16"/>
      <c r="C262" s="16"/>
      <c r="D262" s="16"/>
      <c r="E262" s="16"/>
      <c r="F262" s="16"/>
      <c r="G262" s="16"/>
      <c r="H262" s="16"/>
      <c r="I262" s="16"/>
      <c r="J262" s="16"/>
      <c r="K262" s="17"/>
    </row>
    <row r="263" spans="1:11" ht="18.75" customHeight="1" x14ac:dyDescent="0.35">
      <c r="A263" s="15"/>
      <c r="B263" s="16"/>
      <c r="C263" s="16"/>
      <c r="D263" s="16"/>
      <c r="E263" s="16"/>
      <c r="F263" s="16"/>
      <c r="G263" s="16"/>
      <c r="H263" s="16"/>
      <c r="I263" s="16"/>
      <c r="J263" s="16"/>
      <c r="K263" s="17"/>
    </row>
    <row r="264" spans="1:11" ht="18.75" customHeight="1" x14ac:dyDescent="0.35">
      <c r="A264" s="15"/>
      <c r="B264" s="16"/>
      <c r="C264" s="16"/>
      <c r="D264" s="16"/>
      <c r="E264" s="16"/>
      <c r="F264" s="16"/>
      <c r="G264" s="16"/>
      <c r="H264" s="16"/>
      <c r="I264" s="16"/>
      <c r="J264" s="16"/>
      <c r="K264" s="17"/>
    </row>
    <row r="265" spans="1:11" ht="18.75" customHeight="1" x14ac:dyDescent="0.35">
      <c r="A265" s="18"/>
      <c r="B265" s="19"/>
      <c r="C265" s="19"/>
      <c r="D265" s="19"/>
      <c r="E265" s="19"/>
      <c r="F265" s="19"/>
      <c r="G265" s="19"/>
      <c r="H265" s="19"/>
      <c r="I265" s="19"/>
      <c r="J265" s="19"/>
      <c r="K265" s="20"/>
    </row>
  </sheetData>
  <mergeCells count="345">
    <mergeCell ref="B103:C103"/>
    <mergeCell ref="F100:G100"/>
    <mergeCell ref="H100:I100"/>
    <mergeCell ref="J100:K100"/>
    <mergeCell ref="B114:G114"/>
    <mergeCell ref="B102:K102"/>
    <mergeCell ref="H115:K115"/>
    <mergeCell ref="A117:K120"/>
    <mergeCell ref="H103:I103"/>
    <mergeCell ref="J103:K103"/>
    <mergeCell ref="A111:A114"/>
    <mergeCell ref="B115:G115"/>
    <mergeCell ref="B107:C107"/>
    <mergeCell ref="D107:E107"/>
    <mergeCell ref="F107:H107"/>
    <mergeCell ref="F108:H108"/>
    <mergeCell ref="B98:C100"/>
    <mergeCell ref="B112:G112"/>
    <mergeCell ref="H112:K112"/>
    <mergeCell ref="A121:K121"/>
    <mergeCell ref="H92:I92"/>
    <mergeCell ref="D98:E98"/>
    <mergeCell ref="F98:G98"/>
    <mergeCell ref="F99:G99"/>
    <mergeCell ref="H99:I99"/>
    <mergeCell ref="J99:K99"/>
    <mergeCell ref="J94:K94"/>
    <mergeCell ref="H95:I95"/>
    <mergeCell ref="J95:K95"/>
    <mergeCell ref="B94:D94"/>
    <mergeCell ref="B95:D95"/>
    <mergeCell ref="E94:G94"/>
    <mergeCell ref="E95:G95"/>
    <mergeCell ref="E93:G93"/>
    <mergeCell ref="H93:I93"/>
    <mergeCell ref="A122:K125"/>
    <mergeCell ref="A126:G126"/>
    <mergeCell ref="H126:K126"/>
    <mergeCell ref="D100:E100"/>
    <mergeCell ref="E103:F103"/>
    <mergeCell ref="H114:K114"/>
    <mergeCell ref="D82:E82"/>
    <mergeCell ref="A59:A60"/>
    <mergeCell ref="E60:H60"/>
    <mergeCell ref="B90:D90"/>
    <mergeCell ref="E90:G90"/>
    <mergeCell ref="D99:E99"/>
    <mergeCell ref="J93:K93"/>
    <mergeCell ref="H94:I94"/>
    <mergeCell ref="J98:K98"/>
    <mergeCell ref="H98:I98"/>
    <mergeCell ref="B78:C78"/>
    <mergeCell ref="B79:C79"/>
    <mergeCell ref="F82:G82"/>
    <mergeCell ref="I60:K60"/>
    <mergeCell ref="J78:K86"/>
    <mergeCell ref="H81:I81"/>
    <mergeCell ref="H82:I82"/>
    <mergeCell ref="F83:G83"/>
    <mergeCell ref="F75:K75"/>
    <mergeCell ref="B73:E73"/>
    <mergeCell ref="B93:D93"/>
    <mergeCell ref="F77:G77"/>
    <mergeCell ref="I67:K67"/>
    <mergeCell ref="E64:H64"/>
    <mergeCell ref="E65:H65"/>
    <mergeCell ref="B77:C77"/>
    <mergeCell ref="A88:A95"/>
    <mergeCell ref="A77:A86"/>
    <mergeCell ref="J92:K92"/>
    <mergeCell ref="E68:F68"/>
    <mergeCell ref="H91:I91"/>
    <mergeCell ref="J91:K91"/>
    <mergeCell ref="E88:G88"/>
    <mergeCell ref="B88:D88"/>
    <mergeCell ref="H88:I88"/>
    <mergeCell ref="B89:D89"/>
    <mergeCell ref="E89:G89"/>
    <mergeCell ref="H89:I89"/>
    <mergeCell ref="J89:K89"/>
    <mergeCell ref="H90:I90"/>
    <mergeCell ref="B91:D91"/>
    <mergeCell ref="J88:K88"/>
    <mergeCell ref="J90:K90"/>
    <mergeCell ref="E91:G91"/>
    <mergeCell ref="H86:I86"/>
    <mergeCell ref="F23:G23"/>
    <mergeCell ref="D27:K27"/>
    <mergeCell ref="I34:K34"/>
    <mergeCell ref="E35:H35"/>
    <mergeCell ref="I35:K35"/>
    <mergeCell ref="F73:K73"/>
    <mergeCell ref="E66:H66"/>
    <mergeCell ref="E62:H62"/>
    <mergeCell ref="B70:E70"/>
    <mergeCell ref="D24:E24"/>
    <mergeCell ref="F24:G24"/>
    <mergeCell ref="H24:I24"/>
    <mergeCell ref="J24:K24"/>
    <mergeCell ref="B24:C24"/>
    <mergeCell ref="B26:C26"/>
    <mergeCell ref="H25:I25"/>
    <mergeCell ref="J25:K25"/>
    <mergeCell ref="I65:J65"/>
    <mergeCell ref="I66:J66"/>
    <mergeCell ref="F70:H70"/>
    <mergeCell ref="F71:H71"/>
    <mergeCell ref="B71:E71"/>
    <mergeCell ref="B72:E72"/>
    <mergeCell ref="I68:J68"/>
    <mergeCell ref="H22:I22"/>
    <mergeCell ref="E42:K42"/>
    <mergeCell ref="I37:K37"/>
    <mergeCell ref="E92:G92"/>
    <mergeCell ref="E41:K41"/>
    <mergeCell ref="E36:H36"/>
    <mergeCell ref="I71:K71"/>
    <mergeCell ref="A13:A20"/>
    <mergeCell ref="A9:K9"/>
    <mergeCell ref="F84:G84"/>
    <mergeCell ref="A47:A51"/>
    <mergeCell ref="E13:K13"/>
    <mergeCell ref="E20:K20"/>
    <mergeCell ref="I62:K62"/>
    <mergeCell ref="B81:C81"/>
    <mergeCell ref="D78:E78"/>
    <mergeCell ref="D81:E81"/>
    <mergeCell ref="H77:I77"/>
    <mergeCell ref="B74:E74"/>
    <mergeCell ref="B80:C80"/>
    <mergeCell ref="F74:K74"/>
    <mergeCell ref="A76:K76"/>
    <mergeCell ref="H79:I79"/>
    <mergeCell ref="D77:E77"/>
    <mergeCell ref="B10:E10"/>
    <mergeCell ref="I8:K8"/>
    <mergeCell ref="E18:F18"/>
    <mergeCell ref="H18:I18"/>
    <mergeCell ref="F10:K10"/>
    <mergeCell ref="B16:D16"/>
    <mergeCell ref="E16:K16"/>
    <mergeCell ref="E17:K17"/>
    <mergeCell ref="B18:D18"/>
    <mergeCell ref="J11:K11"/>
    <mergeCell ref="B97:C97"/>
    <mergeCell ref="D97:E97"/>
    <mergeCell ref="F97:G97"/>
    <mergeCell ref="H97:I97"/>
    <mergeCell ref="D85:E85"/>
    <mergeCell ref="D86:E86"/>
    <mergeCell ref="F78:G78"/>
    <mergeCell ref="B111:G111"/>
    <mergeCell ref="H111:K111"/>
    <mergeCell ref="A106:K106"/>
    <mergeCell ref="A97:A105"/>
    <mergeCell ref="A107:A109"/>
    <mergeCell ref="A96:K96"/>
    <mergeCell ref="B85:C85"/>
    <mergeCell ref="H78:I78"/>
    <mergeCell ref="F85:G85"/>
    <mergeCell ref="H85:I85"/>
    <mergeCell ref="H83:I83"/>
    <mergeCell ref="F86:G86"/>
    <mergeCell ref="B92:D92"/>
    <mergeCell ref="B82:C82"/>
    <mergeCell ref="A87:K87"/>
    <mergeCell ref="D80:E80"/>
    <mergeCell ref="F80:G80"/>
    <mergeCell ref="H80:I80"/>
    <mergeCell ref="B86:C86"/>
    <mergeCell ref="B83:C83"/>
    <mergeCell ref="H84:I84"/>
    <mergeCell ref="E52:H52"/>
    <mergeCell ref="E53:H53"/>
    <mergeCell ref="E57:H57"/>
    <mergeCell ref="E51:H51"/>
    <mergeCell ref="I51:K51"/>
    <mergeCell ref="F72:H72"/>
    <mergeCell ref="I72:K72"/>
    <mergeCell ref="B75:E75"/>
    <mergeCell ref="E67:H67"/>
    <mergeCell ref="I63:K63"/>
    <mergeCell ref="B68:D68"/>
    <mergeCell ref="B61:D67"/>
    <mergeCell ref="J77:K77"/>
    <mergeCell ref="A69:K69"/>
    <mergeCell ref="F81:G81"/>
    <mergeCell ref="I70:K70"/>
    <mergeCell ref="A61:A67"/>
    <mergeCell ref="G68:H68"/>
    <mergeCell ref="A70:A75"/>
    <mergeCell ref="I64:J64"/>
    <mergeCell ref="A2:K2"/>
    <mergeCell ref="A5:C5"/>
    <mergeCell ref="A6:C6"/>
    <mergeCell ref="J6:K6"/>
    <mergeCell ref="D6:F6"/>
    <mergeCell ref="E14:K14"/>
    <mergeCell ref="B28:C28"/>
    <mergeCell ref="D28:K28"/>
    <mergeCell ref="A43:K43"/>
    <mergeCell ref="B19:D19"/>
    <mergeCell ref="B20:D20"/>
    <mergeCell ref="B13:D13"/>
    <mergeCell ref="E12:G12"/>
    <mergeCell ref="I32:K32"/>
    <mergeCell ref="I38:K38"/>
    <mergeCell ref="H12:I12"/>
    <mergeCell ref="B14:D14"/>
    <mergeCell ref="D22:E22"/>
    <mergeCell ref="D23:E23"/>
    <mergeCell ref="H23:I23"/>
    <mergeCell ref="J23:K23"/>
    <mergeCell ref="B25:C25"/>
    <mergeCell ref="B23:C23"/>
    <mergeCell ref="F26:K26"/>
    <mergeCell ref="A1:K1"/>
    <mergeCell ref="D7:F7"/>
    <mergeCell ref="G7:I7"/>
    <mergeCell ref="J7:K7"/>
    <mergeCell ref="E19:K19"/>
    <mergeCell ref="B17:D17"/>
    <mergeCell ref="A8:C8"/>
    <mergeCell ref="B15:D15"/>
    <mergeCell ref="E15:K15"/>
    <mergeCell ref="D5:K5"/>
    <mergeCell ref="D8:F8"/>
    <mergeCell ref="G8:H8"/>
    <mergeCell ref="G6:I6"/>
    <mergeCell ref="H4:I4"/>
    <mergeCell ref="J4:K4"/>
    <mergeCell ref="B11:D11"/>
    <mergeCell ref="A7:C7"/>
    <mergeCell ref="A3:C3"/>
    <mergeCell ref="D3:G3"/>
    <mergeCell ref="A4:C4"/>
    <mergeCell ref="D4:F4"/>
    <mergeCell ref="J12:K12"/>
    <mergeCell ref="A11:A12"/>
    <mergeCell ref="B12:D12"/>
    <mergeCell ref="H11:I11"/>
    <mergeCell ref="E59:H59"/>
    <mergeCell ref="J22:K22"/>
    <mergeCell ref="A21:K21"/>
    <mergeCell ref="B22:C22"/>
    <mergeCell ref="B38:D38"/>
    <mergeCell ref="E34:H34"/>
    <mergeCell ref="B40:D40"/>
    <mergeCell ref="D29:K29"/>
    <mergeCell ref="A22:A30"/>
    <mergeCell ref="A32:A42"/>
    <mergeCell ref="E40:K40"/>
    <mergeCell ref="B39:D39"/>
    <mergeCell ref="E39:K39"/>
    <mergeCell ref="B42:D42"/>
    <mergeCell ref="D30:K30"/>
    <mergeCell ref="I58:K58"/>
    <mergeCell ref="B29:C29"/>
    <mergeCell ref="I36:K36"/>
    <mergeCell ref="E37:H37"/>
    <mergeCell ref="B32:D37"/>
    <mergeCell ref="E32:H32"/>
    <mergeCell ref="E11:G11"/>
    <mergeCell ref="F22:G22"/>
    <mergeCell ref="E45:H45"/>
    <mergeCell ref="I45:K45"/>
    <mergeCell ref="F25:G25"/>
    <mergeCell ref="A115:A116"/>
    <mergeCell ref="B116:G116"/>
    <mergeCell ref="H116:K116"/>
    <mergeCell ref="D25:E25"/>
    <mergeCell ref="A44:A46"/>
    <mergeCell ref="B44:D46"/>
    <mergeCell ref="B47:D51"/>
    <mergeCell ref="I49:K49"/>
    <mergeCell ref="E47:H47"/>
    <mergeCell ref="I47:K47"/>
    <mergeCell ref="E49:H49"/>
    <mergeCell ref="A110:K110"/>
    <mergeCell ref="J97:K97"/>
    <mergeCell ref="B108:C108"/>
    <mergeCell ref="D108:E108"/>
    <mergeCell ref="I61:K61"/>
    <mergeCell ref="D79:E79"/>
    <mergeCell ref="F79:G79"/>
    <mergeCell ref="B84:C84"/>
    <mergeCell ref="D84:E84"/>
    <mergeCell ref="D83:E83"/>
    <mergeCell ref="I50:K50"/>
    <mergeCell ref="B27:C27"/>
    <mergeCell ref="E46:H46"/>
    <mergeCell ref="I46:K46"/>
    <mergeCell ref="B41:D41"/>
    <mergeCell ref="E44:H44"/>
    <mergeCell ref="I48:K48"/>
    <mergeCell ref="E48:H48"/>
    <mergeCell ref="B30:C30"/>
    <mergeCell ref="A52:A58"/>
    <mergeCell ref="A31:K31"/>
    <mergeCell ref="E33:H33"/>
    <mergeCell ref="I33:K33"/>
    <mergeCell ref="E38:G38"/>
    <mergeCell ref="B52:D58"/>
    <mergeCell ref="I53:K53"/>
    <mergeCell ref="I52:K52"/>
    <mergeCell ref="E50:H50"/>
    <mergeCell ref="E54:H54"/>
    <mergeCell ref="I56:K56"/>
    <mergeCell ref="I57:K57"/>
    <mergeCell ref="I44:K44"/>
    <mergeCell ref="I54:K54"/>
    <mergeCell ref="A250:K265"/>
    <mergeCell ref="B59:D60"/>
    <mergeCell ref="E61:H61"/>
    <mergeCell ref="E63:H63"/>
    <mergeCell ref="E56:H56"/>
    <mergeCell ref="E55:H55"/>
    <mergeCell ref="I59:K59"/>
    <mergeCell ref="E58:H58"/>
    <mergeCell ref="B113:G113"/>
    <mergeCell ref="H113:K113"/>
    <mergeCell ref="B101:C101"/>
    <mergeCell ref="D101:E101"/>
    <mergeCell ref="F101:G101"/>
    <mergeCell ref="H101:I101"/>
    <mergeCell ref="J101:K101"/>
    <mergeCell ref="B109:G109"/>
    <mergeCell ref="H109:K109"/>
    <mergeCell ref="B104:G104"/>
    <mergeCell ref="H104:K104"/>
    <mergeCell ref="B105:G105"/>
    <mergeCell ref="H105:K105"/>
    <mergeCell ref="A127:K127"/>
    <mergeCell ref="A129:F129"/>
    <mergeCell ref="G129:K129"/>
    <mergeCell ref="A131:F131"/>
    <mergeCell ref="G131:K131"/>
    <mergeCell ref="A133:F133"/>
    <mergeCell ref="G133:K133"/>
    <mergeCell ref="A135:F135"/>
    <mergeCell ref="A137:K137"/>
    <mergeCell ref="A139:F139"/>
    <mergeCell ref="A141:K141"/>
    <mergeCell ref="A143:K143"/>
    <mergeCell ref="A145:K145"/>
  </mergeCells>
  <pageMargins left="0.23622047244094499" right="0.23622047244094499" top="0.55118110236220497" bottom="0.35433070866141703" header="0.31496062992126" footer="0.31496062992126"/>
  <pageSetup paperSize="9" fitToWidth="1" orientation="portrait" r:id="rId1" fitToHeight="0"/>
  <rowBreaks count="7" manualBreakCount="7">
    <brk id="29" max="10" man="1"/>
    <brk id="60" max="10" man="1"/>
    <brk id="95" max="10" man="1"/>
    <brk id="126" min="0" max="16383" man="1"/>
    <brk id="132" min="0" max="16383" man="1"/>
    <brk id="138" min="0" max="16383" man="1"/>
    <brk id="144" min="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Individual</vt:lpstr>
      <vt:lpstr>Individual!Print_Area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 Pidithala Maheshwari</dc:creator>
  <cp:lastModifiedBy>Micro</cp:lastModifiedBy>
  <cp:lastPrinted>2026-08-18T08:03:02Z</cp:lastPrinted>
  <dcterms:created xsi:type="dcterms:W3CDTF">2020-09-15T15:11:21Z</dcterms:created>
  <dcterms:modified xsi:type="dcterms:W3CDTF">2026-09-01T12:19:01Z</dcterms:modified>
</cp:coreProperties>
</file>