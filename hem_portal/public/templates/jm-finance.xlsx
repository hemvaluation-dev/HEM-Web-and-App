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ADMIN\OneDrive - HEM Associates\Desktop\2026 FILES\JANUARY FILES AP\JM FINANCE\BHIMAVARAM\JM FINANCE-GANTA LAZARU\"/>
    </mc:Choice>
  </mc:AlternateContent>
  <workbookProtection lockStructure="1"/>
  <bookViews>
    <workbookView xWindow="-105" yWindow="-105" windowWidth="15600" windowHeight="11760"/>
  </bookViews>
  <sheets>
    <sheet name="Retail Technical" sheetId="1" r:id="rId1"/>
  </sheets>
  <externalReferences>
    <externalReference r:id="rId2"/>
  </externalReferences>
  <definedNames>
    <definedName name="BUILDING">[1]Dropdown!$C$47:$C$50</definedName>
    <definedName name="CYCLONE">[1]Dropdown!$C$14:$C$19</definedName>
    <definedName name="Expansion">[1]Dropdown!$C$12:$C$13</definedName>
    <definedName name="EXPOSURE">[1]Dropdown!$C$65:$C$69</definedName>
    <definedName name="FIRE">[1]Dropdown!$C$32:$C$33</definedName>
    <definedName name="FLOOD">[1]Dropdown!$C$23:$C$24</definedName>
    <definedName name="GROUND">[1]Dropdown!$C$45:$C$46</definedName>
    <definedName name="LIQUEFIABLE">[1]Dropdown!$C$74:$C$75</definedName>
    <definedName name="Mortar">[1]Dropdown!$C$9:$C$10</definedName>
    <definedName name="_xlnm.Print_Area" localSheetId="0">'Retail Technical'!$A$1:$K$488</definedName>
    <definedName name="PROJECTED">[1]Dropdown!$C$29:$C$30</definedName>
    <definedName name="ROOF">[1]Dropdown!$C$60:$C$64</definedName>
    <definedName name="SLOPE">[1]Dropdown!$C$76:$C$77</definedName>
    <definedName name="SOIL">[1]Dropdown!$C$40:$C$44</definedName>
    <definedName name="STRATA">[1]Dropdown!$C$20:$C$22</definedName>
    <definedName name="STRUCTRAL">[1]Dropdown!$C$51:$C$55</definedName>
    <definedName name="Z_3FBA9C3F_EB91_4829_84C8_FEBE6E6062A2_.wvu.PrintArea" localSheetId="0" hidden="1">'Retail Technical'!$A$1:$L$111</definedName>
  </definedNames>
  <calcPr calcId="162913"/>
  <customWorkbookViews>
    <customWorkbookView name="TR Pg 1" guid="{3FBA9C3F-EB91-4829-84C8-FEBE6E6062A2}" includeHiddenRowCol="0" maximized="1" xWindow="-8" yWindow="-8" windowWidth="1382" windowHeight="744" activeSheetId="1" showFormulaBar="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63" i="1" l="1"/>
  <c r="A2" i="1"/>
  <c r="C165" i="1" l="1"/>
  <c r="I165" i="1"/>
  <c r="I161" i="1" l="1"/>
  <c r="C89" i="1"/>
  <c r="C916" i="1" l="1"/>
  <c r="C914" i="1"/>
  <c r="C912" i="1"/>
  <c r="C910" i="1"/>
  <c r="C908" i="1"/>
  <c r="K906" i="1"/>
  <c r="G906" i="1"/>
  <c r="C906" i="1"/>
  <c r="K904" i="1"/>
  <c r="G904" i="1"/>
  <c r="C904" i="1"/>
  <c r="K902" i="1"/>
  <c r="G902" i="1"/>
  <c r="C902" i="1"/>
  <c r="K900" i="1"/>
  <c r="G900" i="1"/>
  <c r="C900" i="1"/>
  <c r="E764" i="1"/>
  <c r="K767" i="1" s="1"/>
  <c r="E233" i="1"/>
  <c r="K201" i="1"/>
  <c r="K183" i="1"/>
  <c r="G207" i="1" s="1"/>
  <c r="E183" i="1"/>
  <c r="I167" i="1"/>
  <c r="C167" i="1"/>
  <c r="I163" i="1"/>
  <c r="C163" i="1"/>
  <c r="I169" i="1"/>
  <c r="M727" i="1" s="1"/>
  <c r="G205" i="1" s="1"/>
  <c r="I153" i="1"/>
  <c r="I151" i="1"/>
  <c r="I149" i="1"/>
  <c r="I147" i="1"/>
  <c r="I155" i="1" l="1"/>
  <c r="M726" i="1" s="1"/>
  <c r="G211" i="1"/>
  <c r="K211" i="1" s="1"/>
</calcChain>
</file>

<file path=xl/sharedStrings.xml><?xml version="1.0" encoding="utf-8"?>
<sst xmlns="http://schemas.openxmlformats.org/spreadsheetml/2006/main" count="848" uniqueCount="646">
  <si>
    <t>H.E.M. ASSOCIATES</t>
  </si>
  <si>
    <t>JMFHL TECHNICAL APPRAISAL REPORT</t>
  </si>
  <si>
    <t>LOAN APPLICATION DETAILS</t>
  </si>
  <si>
    <t>JMFHL BRANCH NAME</t>
  </si>
  <si>
    <t>APPLICATION NO</t>
  </si>
  <si>
    <t>CUSTOMER NO</t>
  </si>
  <si>
    <t>NAME OF APPLICANT (S)</t>
  </si>
  <si>
    <t>PRODUCT</t>
  </si>
  <si>
    <t>NAME &amp; NUMBER OF CONTACT PERSON FOR PROPERTY VISIT</t>
  </si>
  <si>
    <t>TRANSACTION TYPE</t>
  </si>
  <si>
    <t>APF  DETAILS ( IF APPLICABLE)</t>
  </si>
  <si>
    <t>PROJECT APPROVAL STATUS</t>
  </si>
  <si>
    <t>NOT AVAILABLE</t>
  </si>
  <si>
    <t>PROJECT ID</t>
  </si>
  <si>
    <t>NA</t>
  </si>
  <si>
    <t>PROJECT NAME</t>
  </si>
  <si>
    <t>BUILDING NAME &amp; NO.</t>
  </si>
  <si>
    <t>WING NAME &amp; NO.</t>
  </si>
  <si>
    <t>HOUSE/FLAT/UNIT NO.</t>
  </si>
  <si>
    <t>BUILDER GROUP NAME</t>
  </si>
  <si>
    <t>COMPANY NAME FOR PROJECT</t>
  </si>
  <si>
    <t>REMARKS ON REPUTATION OF BUILDER AND PROJECT</t>
  </si>
  <si>
    <t>RERA DETAILS ( IF APPLICABLE)</t>
  </si>
  <si>
    <t>RERA APPLICABLE</t>
  </si>
  <si>
    <t>NO</t>
  </si>
  <si>
    <t>IF APPLICABLE, RERA REGISTRATION STATUS</t>
  </si>
  <si>
    <t>NOT APPLICABLE</t>
  </si>
  <si>
    <t>RERA REGISTRATION NO</t>
  </si>
  <si>
    <t>IF ANY LITIGATION RECORD ON PROJECT AS PER RERA</t>
  </si>
  <si>
    <t>REMARKS</t>
  </si>
  <si>
    <t>ADDRESS DETAILS AS PER PROPERTY VISIT</t>
  </si>
  <si>
    <t>ENTER DETAILED ADDRESS IN BELOW FORM AS PER PROPERTY VISIT</t>
  </si>
  <si>
    <t>( PLEASE ENTER " NA " IN CASE FIELD DETAILS ARE NOT AVAILABLE/APPLICABLE IN ADDRESS FORM BELOW )</t>
  </si>
  <si>
    <t>HOUSE/FLAT NO.</t>
  </si>
  <si>
    <t>FLOOR NO.</t>
  </si>
  <si>
    <t>Ground Floor</t>
  </si>
  <si>
    <t>PROJECT NAME/SOCIETY NAME</t>
  </si>
  <si>
    <t>PLOT NO.</t>
  </si>
  <si>
    <t>SUERVEY NO.</t>
  </si>
  <si>
    <t>STAGE/SECTOR/WARD NO.</t>
  </si>
  <si>
    <t>STREET NAME &amp;/NO.</t>
  </si>
  <si>
    <t>VILLAGE/LOCATION</t>
  </si>
  <si>
    <t>LANDMARK 1</t>
  </si>
  <si>
    <t>LANDMARK 2</t>
  </si>
  <si>
    <t>PIN CODE</t>
  </si>
  <si>
    <t>PIN CODE AREA</t>
  </si>
  <si>
    <t>CITY / TALUKA/TOWN</t>
  </si>
  <si>
    <t>DISTRICT</t>
  </si>
  <si>
    <t>LATITUDE VALUE</t>
  </si>
  <si>
    <t>LONGITUDE VALUE</t>
  </si>
  <si>
    <t>STATE</t>
  </si>
  <si>
    <t>Andhra Pradesh</t>
  </si>
  <si>
    <t>NEAREST JMFHL LOCATION</t>
  </si>
  <si>
    <t>DISTANCE FROM JMFHL LOCATION (KMS.)</t>
  </si>
  <si>
    <t>ADDRESS DETAILS AS PER LEGAL DOCUMENTS</t>
  </si>
  <si>
    <t>ADDRESS AS PER DOC</t>
  </si>
  <si>
    <t>ADDRESS AS ACTUAL ON SITE</t>
  </si>
  <si>
    <t>LEGAL DOCUMENT(S) VERIFIED FOR ADDRESS</t>
  </si>
  <si>
    <t>BOUNDARIES</t>
  </si>
  <si>
    <t>DIRECTIONS</t>
  </si>
  <si>
    <t>NORTH</t>
  </si>
  <si>
    <t>SOUTH</t>
  </si>
  <si>
    <t>EAST</t>
  </si>
  <si>
    <t>WEST</t>
  </si>
  <si>
    <t>AS PER APPROVED PLAN</t>
  </si>
  <si>
    <t>AS PER SITE</t>
  </si>
  <si>
    <t xml:space="preserve">AS PER LEGAL DOCUMENTS
</t>
  </si>
  <si>
    <t xml:space="preserve">SET BACK/MARGIN DETAILS </t>
  </si>
  <si>
    <t>FRONT SIDE</t>
  </si>
  <si>
    <t>REAR SIDE</t>
  </si>
  <si>
    <t>RIGHT SIDE</t>
  </si>
  <si>
    <t>LEFT SIDE</t>
  </si>
  <si>
    <t>GENERAL DETAILS</t>
  </si>
  <si>
    <t>MUNICIPAL LIMIT</t>
  </si>
  <si>
    <t>MUNICIPAL AUTHORITY (NAME)</t>
  </si>
  <si>
    <t>YEAR OF CONSTRUCTION</t>
  </si>
  <si>
    <t>AGE OF PROPERTY (YEARS)</t>
  </si>
  <si>
    <t>RESIDUAL AGE OF PROPERTY (YEARS)</t>
  </si>
  <si>
    <t>STRUCTURALLY FIT</t>
  </si>
  <si>
    <t>YES</t>
  </si>
  <si>
    <t>APPROACH ROAD TO PROPERTY</t>
  </si>
  <si>
    <t>WBM ROAD</t>
  </si>
  <si>
    <t>TYPE OF APPROACH ROAD</t>
  </si>
  <si>
    <t>Local Street/Interal Colony Road</t>
  </si>
  <si>
    <t>WIDTH OF APPROACH ROAD (MTRS)</t>
  </si>
  <si>
    <t>CLASS OF LOCALITY</t>
  </si>
  <si>
    <t>Residential</t>
  </si>
  <si>
    <t>SURROUNDING INFRASTRUCTURE</t>
  </si>
  <si>
    <t>PROPERTY/DWELLING UNIT TYPE</t>
  </si>
  <si>
    <t>BUNGLOW</t>
  </si>
  <si>
    <t>OCCUPANCY STATUS</t>
  </si>
  <si>
    <t>SELF OCCUPIED</t>
  </si>
  <si>
    <t>PROPERTY FURNISHED/UNFURNISHED</t>
  </si>
  <si>
    <t>FULLY FURNISHED</t>
  </si>
  <si>
    <t>OCCUPANT NAME</t>
  </si>
  <si>
    <t>PERSON MET AT SITE and Contact No</t>
  </si>
  <si>
    <t>SELLER NAME</t>
  </si>
  <si>
    <t>WHETHER PROPERTY LEASEHOLD OR FREEHOLD</t>
  </si>
  <si>
    <t>FREEHOLD</t>
  </si>
  <si>
    <t>IF LEASEHOLD, NAME OF THE LEASOR</t>
  </si>
  <si>
    <t>IF LEASEHOLD,END DATE &amp; BALANCE TENURE OF LEASE</t>
  </si>
  <si>
    <t>Total No of Units in Apartment / Colony</t>
  </si>
  <si>
    <t>Total No of Units occupied</t>
  </si>
  <si>
    <t>NO. OF ROOM &amp; INTERNAL AMENITIES DETAILS</t>
  </si>
  <si>
    <t>INDEPENDENT FOOTING</t>
  </si>
  <si>
    <t>CRITICAL PARAMETERS</t>
  </si>
  <si>
    <t>ZONING AS PER DEVELOPMENT PLAN</t>
  </si>
  <si>
    <t>FALLING IN RESERVATION AS PER DEVELOPMENT PLAN</t>
  </si>
  <si>
    <t>FALLING IN PRESENT OR PROPOSED ROAD WIDENING</t>
  </si>
  <si>
    <t>No</t>
  </si>
  <si>
    <t>PROPERTY WITHIN 30 MTRS FROM RAILWAY BOUNDARY ?</t>
  </si>
  <si>
    <t>IF YES, APPROX DISTANCE FROM RAILWAY BOUNDARY (MTRS)</t>
  </si>
  <si>
    <t>IF YES, DETAILS OF NOC AVAILABLE FROM RAILWAY</t>
  </si>
  <si>
    <t>PROPERTY NEAR HIGH/LOW TENSION (HT)/(LT) LINES ?</t>
  </si>
  <si>
    <t>IF YES, APPROX VERTICAL DISTANCE FROM (HT)/(LT) LINES</t>
  </si>
  <si>
    <t>IF YES, APPROX HORIZONTAL DISTANCE FROM (HT)/(LT) LINES</t>
  </si>
  <si>
    <t>PRESENCE OF NALLAH/ LAKE/WATER BODY NEARBY</t>
  </si>
  <si>
    <t>CURRENT PROPERTY USAGE</t>
  </si>
  <si>
    <t>APPROVED PROPERTY USAGE</t>
  </si>
  <si>
    <t>FSI DEVIATION</t>
  </si>
  <si>
    <t>VERTICAL DEVIATION</t>
  </si>
  <si>
    <t>REMARKS IF PROPERTY AFFECTED BY ANY OF CRITICAL PARAMETER</t>
  </si>
  <si>
    <t>HABITATION % WITHIN 500 MTRS AROUND PROPERTY</t>
  </si>
  <si>
    <t xml:space="preserve">COMMENT ON LOCATION RISK IF HABITATION IS LESS THAN 60% WITHIN 500 MTRS </t>
  </si>
  <si>
    <t>PROPERTY ABUTTING AGRICULTURAL LAND?</t>
  </si>
  <si>
    <t>IF YES, RATE (psf) OF THE AGRICULTURAL LAND</t>
  </si>
  <si>
    <t>PERCENTAGE OF SURROUNDING DEVELOPMENT CONSIDERING CONNECTIVITY, BASIC AMENITIES, CONSTRUCTION ACTIVITY &amp; OCCUPANCY*</t>
  </si>
  <si>
    <t>NDMC PARAMETERS</t>
  </si>
  <si>
    <t>SEISMIC ZONE</t>
  </si>
  <si>
    <t>ZONE III</t>
  </si>
  <si>
    <t>FLOOD PRONE AREA</t>
  </si>
  <si>
    <t>COASTAL REGULATORY ZONE</t>
  </si>
  <si>
    <t>ZONE IV</t>
  </si>
  <si>
    <t>NATURE OF BUILDING/WING</t>
  </si>
  <si>
    <t>RESIDENTIAL</t>
  </si>
  <si>
    <t>STRUCTURE TYPE</t>
  </si>
  <si>
    <t>R.C.C.</t>
  </si>
  <si>
    <t>FOOTING TYPE</t>
  </si>
  <si>
    <t>SHAPE OF BUILDING</t>
  </si>
  <si>
    <t>None</t>
  </si>
  <si>
    <t>MORTAR TYPE</t>
  </si>
  <si>
    <t>Cement</t>
  </si>
  <si>
    <t>ROOF TYPE</t>
  </si>
  <si>
    <t>Flat Roof</t>
  </si>
  <si>
    <t>FIRE EXIT AVAILABLE</t>
  </si>
  <si>
    <t>CONCRETE GRADE</t>
  </si>
  <si>
    <t>M-40</t>
  </si>
  <si>
    <t>STEEL GRADE</t>
  </si>
  <si>
    <t>EXPANSION JOINT AVAILABLE</t>
  </si>
  <si>
    <t>PROJECTED PARTS AVAILABLE</t>
  </si>
  <si>
    <t>Yes</t>
  </si>
  <si>
    <t>GROUND SLOP MORE THAN 20 %</t>
  </si>
  <si>
    <t>STRUCTURAL SYSTEM</t>
  </si>
  <si>
    <t>Regular Frame</t>
  </si>
  <si>
    <t>SOIL TYPE</t>
  </si>
  <si>
    <t>Red Soil</t>
  </si>
  <si>
    <t>SOIL LIQUEFIABLE</t>
  </si>
  <si>
    <t>ENVIRONMENT EXPOSURE CONDITION</t>
  </si>
  <si>
    <t>Moderate</t>
  </si>
  <si>
    <t>PLAN ASPECT RATIO</t>
  </si>
  <si>
    <t>SOIL SLOP VULNERABLE TO LIQUEFIABLE</t>
  </si>
  <si>
    <t>CYCLONE ZONE- WIND SPEED</t>
  </si>
  <si>
    <t>SOIL STRATA</t>
  </si>
  <si>
    <t>SURROUNDING EXTERNAL AMENITIES</t>
  </si>
  <si>
    <t>INTERNAL SPECIFICATIONS</t>
  </si>
  <si>
    <t>PREMISES LIST</t>
  </si>
  <si>
    <t>APPROX. DISTANCE FROM PROPERTY (IN KMS)</t>
  </si>
  <si>
    <t>NAME OF THE PREMISES/DESCRIPTION</t>
  </si>
  <si>
    <t>NAME OF THE PREMISES</t>
  </si>
  <si>
    <t>SPECIFICATION LIST</t>
  </si>
  <si>
    <t>DETAILS - CONDITION &amp; AVAILABILITY</t>
  </si>
  <si>
    <t>NEARESTR BUS STOP</t>
  </si>
  <si>
    <t>0 - 2 kms</t>
  </si>
  <si>
    <t>STRUCTURAL ELEMENTS</t>
  </si>
  <si>
    <t>NEAREST RAILWAY STN</t>
  </si>
  <si>
    <t>2 - 5 kms</t>
  </si>
  <si>
    <t>WALL THICKNESS</t>
  </si>
  <si>
    <t>NEAREST AIRPORT</t>
  </si>
  <si>
    <t>25 - 50 kms</t>
  </si>
  <si>
    <t>Vijayawada international Airport</t>
  </si>
  <si>
    <t>PLASTER &amp; PAINTING</t>
  </si>
  <si>
    <t>NEAREST SCHOOL/COLLEGE</t>
  </si>
  <si>
    <t>ELECTRIFICATION</t>
  </si>
  <si>
    <t>NEAREST BANK</t>
  </si>
  <si>
    <t>PLUMBING &amp; BATH FITTINGS</t>
  </si>
  <si>
    <t>NEAREST HIGHWAY/MAJOR ROAD</t>
  </si>
  <si>
    <t>DOOR, WINDOWS</t>
  </si>
  <si>
    <t>NEAREST HOSPITAL</t>
  </si>
  <si>
    <t>POTABLE WATER CONNECTION</t>
  </si>
  <si>
    <t>NEAREST MULTIPLEX/MALL/MARKET</t>
  </si>
  <si>
    <t>SEWERAGE SYSTEM</t>
  </si>
  <si>
    <t>AREA &amp; VALUATION DETAILS</t>
  </si>
  <si>
    <t>APPROVED AREA &amp; VALUATION</t>
  </si>
  <si>
    <t>AREA TYPE</t>
  </si>
  <si>
    <t>SQUARE METER</t>
  </si>
  <si>
    <t>SQUARE FEET</t>
  </si>
  <si>
    <t>RATE/SQ.FT</t>
  </si>
  <si>
    <t>VALUATION (Rs.)</t>
  </si>
  <si>
    <r>
      <rPr>
        <sz val="11"/>
        <color rgb="FF000000"/>
        <rFont val="Bookman Old Style"/>
        <family val="1"/>
      </rPr>
      <t xml:space="preserve">PLOT AREA               </t>
    </r>
    <r>
      <rPr>
        <b/>
        <sz val="11"/>
        <color rgb="FF000000"/>
        <rFont val="Bookman Old Style"/>
        <family val="1"/>
      </rPr>
      <t>(i)</t>
    </r>
  </si>
  <si>
    <r>
      <rPr>
        <sz val="11"/>
        <color rgb="FF000000"/>
        <rFont val="Bookman Old Style"/>
        <family val="1"/>
      </rPr>
      <t xml:space="preserve">CARPET AREA          </t>
    </r>
    <r>
      <rPr>
        <b/>
        <sz val="11"/>
        <color rgb="FF000000"/>
        <rFont val="Bookman Old Style"/>
        <family val="1"/>
      </rPr>
      <t>(ii)</t>
    </r>
  </si>
  <si>
    <r>
      <rPr>
        <sz val="11"/>
        <color rgb="FF000000"/>
        <rFont val="Bookman Old Style"/>
        <family val="1"/>
      </rPr>
      <t xml:space="preserve">CONSTRUCTION
/BUILT UP AREA     </t>
    </r>
    <r>
      <rPr>
        <b/>
        <sz val="11"/>
        <color rgb="FF000000"/>
        <rFont val="Bookman Old Style"/>
        <family val="1"/>
      </rPr>
      <t>(iii)</t>
    </r>
  </si>
  <si>
    <r>
      <rPr>
        <sz val="11"/>
        <color rgb="FF000000"/>
        <rFont val="Bookman Old Style"/>
        <family val="1"/>
      </rPr>
      <t xml:space="preserve">SALEABLE AREA      </t>
    </r>
    <r>
      <rPr>
        <b/>
        <sz val="11"/>
        <color rgb="FF000000"/>
        <rFont val="Bookman Old Style"/>
        <family val="1"/>
      </rPr>
      <t>(iv)</t>
    </r>
  </si>
  <si>
    <r>
      <rPr>
        <b/>
        <i/>
        <sz val="11"/>
        <color rgb="FF000000"/>
        <rFont val="Bookman Old Style"/>
        <family val="1"/>
      </rPr>
      <t xml:space="preserve">APPROVED AREA VALUATION (A) </t>
    </r>
    <r>
      <rPr>
        <b/>
        <sz val="11"/>
        <color rgb="FF000000"/>
        <rFont val="Bookman Old Style"/>
        <family val="1"/>
      </rPr>
      <t>( i + ii + iii + iv )</t>
    </r>
  </si>
  <si>
    <t>ACTUAL AREA &amp; VALUATION</t>
  </si>
  <si>
    <t>CONSTRUCTION
/BUILT UP AREA RCC  (iv)</t>
  </si>
  <si>
    <r>
      <rPr>
        <sz val="11"/>
        <color rgb="FF000000"/>
        <rFont val="Bookman Old Style"/>
        <family val="1"/>
      </rPr>
      <t xml:space="preserve">SALEABLE AREA      </t>
    </r>
    <r>
      <rPr>
        <b/>
        <sz val="11"/>
        <color rgb="FF000000"/>
        <rFont val="Bookman Old Style"/>
        <family val="1"/>
      </rPr>
      <t>(v)</t>
    </r>
  </si>
  <si>
    <r>
      <rPr>
        <b/>
        <i/>
        <sz val="11"/>
        <color rgb="FF000000"/>
        <rFont val="Bookman Old Style"/>
        <family val="1"/>
      </rPr>
      <t xml:space="preserve">ACTUAL AREA VALUATION (B) </t>
    </r>
    <r>
      <rPr>
        <b/>
        <sz val="11"/>
        <color rgb="FF000000"/>
        <rFont val="Bookman Old Style"/>
        <family val="1"/>
      </rPr>
      <t>( i + ii + iii + iv )</t>
    </r>
  </si>
  <si>
    <t>DETAILS OF REFERANCE INSTANCE FOR VALUATIONS</t>
  </si>
  <si>
    <t>REMARKS ON APPROVED/ACTUAL AREA &amp; VALUATION</t>
  </si>
  <si>
    <t>EXTENSION/ IMPROVEMENT COST</t>
  </si>
  <si>
    <t>ESTIMATION (Rs.)</t>
  </si>
  <si>
    <t>EXTENSION/ IMPROVEMENT AREA</t>
  </si>
  <si>
    <t>ADDITIONAL AMENITIES COST</t>
  </si>
  <si>
    <t>D). AMENITIES</t>
  </si>
  <si>
    <t>DESCRIPTION</t>
  </si>
  <si>
    <t>AREA/QUANTITY</t>
  </si>
  <si>
    <t>UNIT</t>
  </si>
  <si>
    <t>AMOUNT (Rs.)</t>
  </si>
  <si>
    <t>TOTAL AMENITIES COST (D)</t>
  </si>
  <si>
    <t>FINAL VALUATION RECOMMENDED</t>
  </si>
  <si>
    <t>A/B</t>
  </si>
  <si>
    <t>AREA VALUATION</t>
  </si>
  <si>
    <t>ACTUAL AREA VALUATION (B)</t>
  </si>
  <si>
    <t>C</t>
  </si>
  <si>
    <t>EXTENSION/IMPROVEMENT ESTIMATE</t>
  </si>
  <si>
    <t>D</t>
  </si>
  <si>
    <t>AMENITIES COST</t>
  </si>
  <si>
    <t>DISTRESS VALUE (Rs.)</t>
  </si>
  <si>
    <t>DISTRESS VALUE (RS.) IN WORDS</t>
  </si>
  <si>
    <t>RENTAL &amp; REPLACEMENT COST INFORMATION</t>
  </si>
  <si>
    <t>GROSS MONTHLY RENTAL FOR SIMILAR PROPERTIES IN LOCALITY IN (RS.)</t>
  </si>
  <si>
    <t>Government Guideline Rate
Per sq.ft.</t>
  </si>
  <si>
    <t>REPLACEMENT COST (RS.)</t>
  </si>
  <si>
    <t xml:space="preserve">FLOOR DETAILS </t>
  </si>
  <si>
    <t>FLOORS</t>
  </si>
  <si>
    <t>APPROVED</t>
  </si>
  <si>
    <t>ACTUAL / PLANNED</t>
  </si>
  <si>
    <t>REMARKS ON NO. OF FLOORS, NUMBER OF UNITS ON EACH FLOOR</t>
  </si>
  <si>
    <t>(A)</t>
  </si>
  <si>
    <t>NO OF BASEMENT(S)</t>
  </si>
  <si>
    <t>(B)</t>
  </si>
  <si>
    <t>NO OF GROUND
/PARKING/STILT</t>
  </si>
  <si>
    <t>(C)</t>
  </si>
  <si>
    <t>PODIUM(S)</t>
  </si>
  <si>
    <t xml:space="preserve">(D) </t>
  </si>
  <si>
    <t>NO. OF UPPER FLOOR(S)</t>
  </si>
  <si>
    <t>(E) = (A + B + C + D)</t>
  </si>
  <si>
    <t>TOTAL NO. OF FLOOR(S)</t>
  </si>
  <si>
    <t xml:space="preserve">PROPERTY CONSTRUCTION STAGE </t>
  </si>
  <si>
    <t>PROPERTY CONSTRUCTION STAGE</t>
  </si>
  <si>
    <t>SR.NO.</t>
  </si>
  <si>
    <t>ACTIVITY</t>
  </si>
  <si>
    <t>ALLOTED % FOR ACTIVITY</t>
  </si>
  <si>
    <t>ACTIVITY COMPLETED TILL FLOOR</t>
  </si>
  <si>
    <t>PRESENT COMPLETION (%)</t>
  </si>
  <si>
    <t>IF BELOW PLINTH/GROUND LVL, MENTION % UPTO 19%</t>
  </si>
  <si>
    <t>PLINTH</t>
  </si>
  <si>
    <t>COMPLETED</t>
  </si>
  <si>
    <t>R.C.C. ABOVE GROUND</t>
  </si>
  <si>
    <t>REMARKS ON CONSTRUCTION PROGRESS</t>
  </si>
  <si>
    <t>BRICKWORK</t>
  </si>
  <si>
    <t>INTERNAL PLASTER</t>
  </si>
  <si>
    <t>EXTERNAL PLASTER</t>
  </si>
  <si>
    <t>FLOORING</t>
  </si>
  <si>
    <t>PLUMBING &amp; ELECTRIC WORK</t>
  </si>
  <si>
    <t>DOOR, WINDOW &amp; PAINT</t>
  </si>
  <si>
    <t>FINISHING &amp; POSSESSION</t>
  </si>
  <si>
    <t>% DISBURSEMENT RECOMMENDED</t>
  </si>
  <si>
    <t>TOTAL COMPLETION (%)</t>
  </si>
  <si>
    <t>TECHNICAL DOCUMENTS DETAILS</t>
  </si>
  <si>
    <t>DOCUMENT NAME</t>
  </si>
  <si>
    <t>APPLICABILITY &amp; AVAILABILITY</t>
  </si>
  <si>
    <t>DOCUMENT APPROVED BY COMPETENT AUTHORITY</t>
  </si>
  <si>
    <t>APPROVING AUTHORITY</t>
  </si>
  <si>
    <t>DETAILS OF APPROVAL</t>
  </si>
  <si>
    <t>APPROVED LAYOUT PLAN</t>
  </si>
  <si>
    <t>APPROVED FLOOR PLAN</t>
  </si>
  <si>
    <t>Applicable and Received</t>
  </si>
  <si>
    <t>CONSTRUCTION PERMISSION / BUILDING PERMISSION / COMMENCEMENT CERTIFICATE</t>
  </si>
  <si>
    <t>BUILDING COMPLETION / OCCUPATION PERMISSION / USE PERMISSION / POSSESSION CERTIFICATE</t>
  </si>
  <si>
    <t>NON AGRICULTURAL PERMISSION / LAND CONVERSION / DIVERSION ORDER</t>
  </si>
  <si>
    <t>LOCATION SKETCH/ CERTIFICATE</t>
  </si>
  <si>
    <t>PROPERTY TAX RECIEPTS</t>
  </si>
  <si>
    <t>AUTHORITY ALLOTMENT LETTER</t>
  </si>
  <si>
    <t>CONSTRUCTION/IMPROVEMENT/EXTENSION ESTIMATE FROM REGISTERED ENGINEER/ARCHITECT</t>
  </si>
  <si>
    <t>OWNERSHIP DOCUMENT VERIFIED 1 (PLS SPECIFY NAME OF DOCUMENT IN DETAILS OF APPROVAL)</t>
  </si>
  <si>
    <t>OWNERSHIP DOCUMENT VERIFIED 2 (PLS SPECIFY NAME OF DOCUMENT IN DETAILS OF APPROVAL)</t>
  </si>
  <si>
    <t>REMARKS ON DOCUMENTS VERIFIED</t>
  </si>
  <si>
    <t>TECHNICAL DEVIATIONS OBSERVED IN PROPERTY</t>
  </si>
  <si>
    <t>DETAIL OF DEVIATION &amp; MITIGATES IF AVAILABLE</t>
  </si>
  <si>
    <t>DEVIATION SEVERITY</t>
  </si>
  <si>
    <t>DEMOLITION RISK</t>
  </si>
  <si>
    <t>LOW</t>
  </si>
  <si>
    <t>ADDITIONAL CONDITIONS/DOCUMENTS TO BE OBTAINED FOR TECHNICAL COMPLIANCE, if any</t>
  </si>
  <si>
    <t>CONDITION/ADDITIONAL DOCUMENT TO BE OBTAINED FOR COMPLIANCE, if any</t>
  </si>
  <si>
    <t>PHOTOGRAPHS REQUIRED ALONGWITH TECHNICAL APPRAISAL REPORT</t>
  </si>
  <si>
    <t>PHOTOGRAPH DESCRIPTION</t>
  </si>
  <si>
    <t>PHOTOGRAPH SUBMITTED ALONGWITH REPORT</t>
  </si>
  <si>
    <t>ROUTE SKETCH TO PROPERTY (from major landmark/road)</t>
  </si>
  <si>
    <t>GOOGLE MAP WITH LATITUDE AND LONGITUDE</t>
  </si>
  <si>
    <t>PHYSICAL IDENTIFICATION (SOCIETY NAME BOARD, NAME PLATE, SIGN BOARD)</t>
  </si>
  <si>
    <t>PHOTOGRAPH OF ENGINEER WITH PROPERTY</t>
  </si>
  <si>
    <t>MAIN DOOR OF PROPERTY</t>
  </si>
  <si>
    <t>INTERNAL PROPERTY PHOTOGRAPH 1</t>
  </si>
  <si>
    <t>INTERNAL PROPERTY PHOTOGRAPH 2</t>
  </si>
  <si>
    <t>INTERNAL PROPERTY PHOTOGRAPH 3</t>
  </si>
  <si>
    <t>TECHNICAL RECOMMENDATION ON THE PROPERTY</t>
  </si>
  <si>
    <t>PROPERTY TECHNICALLY ACCEPTABLE ?</t>
  </si>
  <si>
    <t>REMARKS ON THE PROPERTY</t>
  </si>
  <si>
    <t>MARKETABILITY OF PROPERTY</t>
  </si>
  <si>
    <t>GOOD</t>
  </si>
  <si>
    <t>PROPERTY VISITED BY</t>
  </si>
  <si>
    <t>REPORT PREPARED BY</t>
  </si>
  <si>
    <t>REPORT SUBMITTED TO</t>
  </si>
  <si>
    <t>JM FINANCE</t>
  </si>
  <si>
    <t>VISITED ON(DATE)</t>
  </si>
  <si>
    <t>PREPARED ON(DATE)</t>
  </si>
  <si>
    <t>SUBMITTED ON (DATE)</t>
  </si>
  <si>
    <t>VALUER'S DISCLAIMERS/CAVEATS, IF ANY</t>
  </si>
  <si>
    <t>PHOTOGRAPH GRID</t>
  </si>
  <si>
    <t>ROUTE SKETCH</t>
  </si>
  <si>
    <t>GOOGLE MAP WITH SATELLITE VIEW WITH LATITUDE AND LONGITUDE</t>
  </si>
  <si>
    <t>PHYSICAL IDENTIFICATION</t>
  </si>
  <si>
    <t>INTERNAL PHOTOGRAPH 1</t>
  </si>
  <si>
    <t>NATURE OF BUILDING/WING *</t>
  </si>
  <si>
    <t>STRUCTURE TYPE *</t>
  </si>
  <si>
    <t>SHAPE OF BUILDING *</t>
  </si>
  <si>
    <t>TYPE OF MASONARY *</t>
  </si>
  <si>
    <t>EXPANSION JOINT AVAILABLE/FLOOD PRONE AREA/PROJECTED PARTS AVAILABLE</t>
  </si>
  <si>
    <t>CONCAVE</t>
  </si>
  <si>
    <t>BURNT CLAY BRICK</t>
  </si>
  <si>
    <t>IN PROGRESS/NOT COMPLETED</t>
  </si>
  <si>
    <t>COMMERCIAL</t>
  </si>
  <si>
    <t>LOAD BEARING</t>
  </si>
  <si>
    <t>CONVEX</t>
  </si>
  <si>
    <t>CEMENT CONCRETE BLOCKS</t>
  </si>
  <si>
    <t>RESI-CUM-COMMERCIAL</t>
  </si>
  <si>
    <t>COMPOSITE</t>
  </si>
  <si>
    <t>BOTH</t>
  </si>
  <si>
    <t>STONE</t>
  </si>
  <si>
    <t>INDUSTRIAL</t>
  </si>
  <si>
    <t>TEMPORARY</t>
  </si>
  <si>
    <t>NONE</t>
  </si>
  <si>
    <t>CONCRETE</t>
  </si>
  <si>
    <t>STRUCTURAL SYSTEM *</t>
  </si>
  <si>
    <t>OWNERSHIP TYPE OF PROPERTY</t>
  </si>
  <si>
    <t>MORTAR TYPE *</t>
  </si>
  <si>
    <t>ROOF TYPE *</t>
  </si>
  <si>
    <t>FOOTING TYPE *</t>
  </si>
  <si>
    <t>CYCLONE ZONE- WIND SPEED (M/S) *</t>
  </si>
  <si>
    <t>REGULAR FRAME</t>
  </si>
  <si>
    <t>LEASEHOLD</t>
  </si>
  <si>
    <t>CEMENT</t>
  </si>
  <si>
    <t>PITCHED ROOF</t>
  </si>
  <si>
    <t>HIGH</t>
  </si>
  <si>
    <t>REGULAR FRAME WITH SHEAR WALL</t>
  </si>
  <si>
    <t>CLAY</t>
  </si>
  <si>
    <t>SLOPING ROOF</t>
  </si>
  <si>
    <t>INTERCONNECTED FOOTING</t>
  </si>
  <si>
    <t>MEDIUM</t>
  </si>
  <si>
    <t>IRREGULAR FRAME</t>
  </si>
  <si>
    <t>OTHER</t>
  </si>
  <si>
    <t>GABLE WALLS</t>
  </si>
  <si>
    <t>RAFT FOOTING</t>
  </si>
  <si>
    <t>IRREGULAR FRAME WITH SHEAR WALL</t>
  </si>
  <si>
    <t>RIDGE WALLS</t>
  </si>
  <si>
    <t>PILE FOOTING</t>
  </si>
  <si>
    <t>NIL/ NOT APPLICABLE</t>
  </si>
  <si>
    <t>SHEAR WALL BUILDING</t>
  </si>
  <si>
    <t>FLAT ROOF</t>
  </si>
  <si>
    <t>ENVIRONMENT EXPOSURE CONDITION *</t>
  </si>
  <si>
    <t>SOIL STRATA *</t>
  </si>
  <si>
    <t>SOIL LIQUEFIABLE *</t>
  </si>
  <si>
    <t>SOIL TYPE *</t>
  </si>
  <si>
    <t>GROUND SLOPE MORE THAN 20% *</t>
  </si>
  <si>
    <t>MILD</t>
  </si>
  <si>
    <t>HARD</t>
  </si>
  <si>
    <t>ALLUVIAL</t>
  </si>
  <si>
    <t>MODERATE</t>
  </si>
  <si>
    <t>BLACK COTTON</t>
  </si>
  <si>
    <t>SEVERE</t>
  </si>
  <si>
    <t>SOFT</t>
  </si>
  <si>
    <t>RED SOIL</t>
  </si>
  <si>
    <t>VERY SEVERE</t>
  </si>
  <si>
    <t>SALINE SOIL</t>
  </si>
  <si>
    <t>EXTREME</t>
  </si>
  <si>
    <t xml:space="preserve">DESERT </t>
  </si>
  <si>
    <t>Type of Road</t>
  </si>
  <si>
    <t>SEISMIC ZONE *</t>
  </si>
  <si>
    <t>Village Road</t>
  </si>
  <si>
    <t>IS THE PROPERTY TECHNICALLY ACCEPTABLE</t>
  </si>
  <si>
    <t>APPROACH ROAD TO PROPERTY*</t>
  </si>
  <si>
    <t>ZONE II</t>
  </si>
  <si>
    <t>CONCRETE ROAD</t>
  </si>
  <si>
    <t>MUNICIPAL CORPORATION</t>
  </si>
  <si>
    <t>VACANT</t>
  </si>
  <si>
    <t>Other District Road</t>
  </si>
  <si>
    <t>TAR ROAD</t>
  </si>
  <si>
    <t>MUNICIPALITY</t>
  </si>
  <si>
    <t>TENANT</t>
  </si>
  <si>
    <t>Major District Road</t>
  </si>
  <si>
    <t>MUNICIPAL COUNCIL</t>
  </si>
  <si>
    <t>SELLER OCCUPIED</t>
  </si>
  <si>
    <t>ZONE V</t>
  </si>
  <si>
    <t>State Highway</t>
  </si>
  <si>
    <t>KATTCHA ROAD</t>
  </si>
  <si>
    <t>URBAN DEVELOPMENT AUTHORITY</t>
  </si>
  <si>
    <t>National Highway</t>
  </si>
  <si>
    <t>NO PROPER ACCESS</t>
  </si>
  <si>
    <t>TOWN PANCHAYAT</t>
  </si>
  <si>
    <t>UNDER-CONSTRUCTION</t>
  </si>
  <si>
    <t>Expressway</t>
  </si>
  <si>
    <t>INTERLOCKED PROPERTY</t>
  </si>
  <si>
    <t>GRAM PANCHAYAT</t>
  </si>
  <si>
    <t>PROPERTY/DWELLING UNIT TYPE *</t>
  </si>
  <si>
    <t>RECD TYPE</t>
  </si>
  <si>
    <t>REASON FOR CAUTION</t>
  </si>
  <si>
    <t>FLAT</t>
  </si>
  <si>
    <t>PLOT AREA</t>
  </si>
  <si>
    <t>ORIGINAL</t>
  </si>
  <si>
    <t>FRADULANT PRACTICES</t>
  </si>
  <si>
    <t>APARTMENT</t>
  </si>
  <si>
    <t>DRAFT</t>
  </si>
  <si>
    <t>CARPET AREA</t>
  </si>
  <si>
    <t>UN-APPROVED</t>
  </si>
  <si>
    <t>COPY</t>
  </si>
  <si>
    <t>LAND TITLE ISSUES</t>
  </si>
  <si>
    <t>TENAMENT</t>
  </si>
  <si>
    <t xml:space="preserve">RECOMMENDED </t>
  </si>
  <si>
    <t>CONSTRUCTION/BUILT UP ARREA</t>
  </si>
  <si>
    <t>PENDING</t>
  </si>
  <si>
    <t>LAL DORA AREAS</t>
  </si>
  <si>
    <t>ROW HOUSE</t>
  </si>
  <si>
    <t>SALEABLE AREA</t>
  </si>
  <si>
    <t>WAIVED</t>
  </si>
  <si>
    <t>UNDER DP/ GOVT RESERVATION</t>
  </si>
  <si>
    <t>REJECTED</t>
  </si>
  <si>
    <t>UNDER PROPOSED ROAD WIDENING</t>
  </si>
  <si>
    <t>SHOP</t>
  </si>
  <si>
    <t>BUILDER RATING</t>
  </si>
  <si>
    <t>PROJECT RATING</t>
  </si>
  <si>
    <t>RECD &amp; REQD TYPE</t>
  </si>
  <si>
    <t>COMMUNITY DOMINANT AREA</t>
  </si>
  <si>
    <t>OFFICE</t>
  </si>
  <si>
    <t>A</t>
  </si>
  <si>
    <t>P 1</t>
  </si>
  <si>
    <t>NO DEVELOPMENT ZONE</t>
  </si>
  <si>
    <t>INDIVIDUAL HOUSE</t>
  </si>
  <si>
    <t>B</t>
  </si>
  <si>
    <t>P 2</t>
  </si>
  <si>
    <t>Applicable and Not Received</t>
  </si>
  <si>
    <t>UNAUTHORISED CONSTRUCTIONS</t>
  </si>
  <si>
    <t>PLOT</t>
  </si>
  <si>
    <t>P 3</t>
  </si>
  <si>
    <t>Not Applicable</t>
  </si>
  <si>
    <t>OTHERS</t>
  </si>
  <si>
    <t>INDUSTRIAL UNIT</t>
  </si>
  <si>
    <t>P 4</t>
  </si>
  <si>
    <t>APPROVED AREA VALUATION (A)</t>
  </si>
  <si>
    <t>UNITS SYMBOL</t>
  </si>
  <si>
    <t>UNITS</t>
  </si>
  <si>
    <t>PROPERTY FURNISHED/
UNFURNISHED</t>
  </si>
  <si>
    <t>FT</t>
  </si>
  <si>
    <t>Numbers or Units</t>
  </si>
  <si>
    <t>PRPOERTY CONSTRUCTION STAGE</t>
  </si>
  <si>
    <t>IF APPLICABLE, REGISTRATION STATUS</t>
  </si>
  <si>
    <t>SQ.FT</t>
  </si>
  <si>
    <t>Foot</t>
  </si>
  <si>
    <t>NEW FLAT PURCHASE FROM BUILDER</t>
  </si>
  <si>
    <t>REGISTERED</t>
  </si>
  <si>
    <t>UN-FURNISHED</t>
  </si>
  <si>
    <t>CU. FT</t>
  </si>
  <si>
    <t>Square Foot</t>
  </si>
  <si>
    <t>NA (PLOT STAGE)</t>
  </si>
  <si>
    <t xml:space="preserve">FLAT RESALE FROM BUILDER / ALLOTTEE </t>
  </si>
  <si>
    <t>APPLIED FOR REGISTRATION</t>
  </si>
  <si>
    <t>SEMI-FURNISHED</t>
  </si>
  <si>
    <t>R.FT.</t>
  </si>
  <si>
    <t>Cubic Foot</t>
  </si>
  <si>
    <t>UNDER - CONSTRUCTION</t>
  </si>
  <si>
    <t>NEW ALLOTMENT/ FLAT PURCHASE  FROM REGISTERED SOCIETY</t>
  </si>
  <si>
    <t>NOT APPLIED</t>
  </si>
  <si>
    <t>MTR</t>
  </si>
  <si>
    <t>Running Foot</t>
  </si>
  <si>
    <t>RESALE BY ALLOTTEE/ MEMBER OF REGISTERED SOCIETY</t>
  </si>
  <si>
    <t>SQ.MTR</t>
  </si>
  <si>
    <t>Meter</t>
  </si>
  <si>
    <t>NEW FLAT / ROW HOUSE FROM DEV. AUTHORITY</t>
  </si>
  <si>
    <t>CU.MEC</t>
  </si>
  <si>
    <t>Square Meter</t>
  </si>
  <si>
    <t>FLAT RESALE ALLOTTED BY DEV. AUTHORITY</t>
  </si>
  <si>
    <t>LITIGATION AS PER RERA RECORDS</t>
  </si>
  <si>
    <t>HL</t>
  </si>
  <si>
    <t>Cubic Meter</t>
  </si>
  <si>
    <t xml:space="preserve">CONSTRUCTION ON OWN LAND </t>
  </si>
  <si>
    <t>NHL</t>
  </si>
  <si>
    <t>INCH</t>
  </si>
  <si>
    <t>Inch</t>
  </si>
  <si>
    <t>POOR</t>
  </si>
  <si>
    <t xml:space="preserve">EXTENSION FOR EXISTING CUSTOMER </t>
  </si>
  <si>
    <t>SME</t>
  </si>
  <si>
    <t>SQ.INCH</t>
  </si>
  <si>
    <t>Square Inch</t>
  </si>
  <si>
    <t>AVERAGE</t>
  </si>
  <si>
    <t xml:space="preserve">EXTENSION FOR NEW  CUSTOMER  </t>
  </si>
  <si>
    <t>RERA VALIDITY &amp; APPROVAL DETAILS</t>
  </si>
  <si>
    <t>HP</t>
  </si>
  <si>
    <t>Horsepower</t>
  </si>
  <si>
    <t>IMPROVEMENT / HOUSE / FLAT EXISTING OR NEW CUSTOMER</t>
  </si>
  <si>
    <t>SCHEME GROUP</t>
  </si>
  <si>
    <t>KG</t>
  </si>
  <si>
    <t>Kilogram</t>
  </si>
  <si>
    <t>EXCELLENT</t>
  </si>
  <si>
    <t>COMPOSITE LOAN</t>
  </si>
  <si>
    <t>CARE TAKER -HOME LOANS FOR NRI</t>
  </si>
  <si>
    <t>GAL</t>
  </si>
  <si>
    <t>Gallons</t>
  </si>
  <si>
    <t xml:space="preserve">PLOT LOAN </t>
  </si>
  <si>
    <t>LTR.</t>
  </si>
  <si>
    <t>Litres</t>
  </si>
  <si>
    <t>LAP RESIDENTIAL -SELF OCCUIPED</t>
  </si>
  <si>
    <t>COMPOSITE LOAN - SARAL</t>
  </si>
  <si>
    <t>NOS. OR UTS</t>
  </si>
  <si>
    <t>Tonnes</t>
  </si>
  <si>
    <t>LAP RESIDENTIAL -RENTED</t>
  </si>
  <si>
    <t>H L TOPUP</t>
  </si>
  <si>
    <t>TON</t>
  </si>
  <si>
    <t>Quintals</t>
  </si>
  <si>
    <t>LAP RESIDENTIAL - VACANT</t>
  </si>
  <si>
    <t>HOME LOAN FOR WOMEN</t>
  </si>
  <si>
    <t>QNTLS</t>
  </si>
  <si>
    <t>Yards</t>
  </si>
  <si>
    <t>LAP COMMERCIAL-SELF OCCUIPED</t>
  </si>
  <si>
    <t>PLOT LOAN - CORP TIE UP</t>
  </si>
  <si>
    <t>YRD</t>
  </si>
  <si>
    <t>Square yard</t>
  </si>
  <si>
    <t>LAP COMMERCIAL-RENTED</t>
  </si>
  <si>
    <t>PLOT LOANS</t>
  </si>
  <si>
    <t>SQ.YRD</t>
  </si>
  <si>
    <t>Cubic Yard</t>
  </si>
  <si>
    <t>NRPL</t>
  </si>
  <si>
    <t>REGULAR</t>
  </si>
  <si>
    <t>CU. YRD</t>
  </si>
  <si>
    <t>Running Yard</t>
  </si>
  <si>
    <t>PROJECT LOAN - RESIDENTIAL</t>
  </si>
  <si>
    <t>REGULAR - CORP TIE UP</t>
  </si>
  <si>
    <t>R.YRD</t>
  </si>
  <si>
    <t>Volts</t>
  </si>
  <si>
    <t>PROJECT LOAN - COMMERCIAL</t>
  </si>
  <si>
    <t>REGULAR - IMPROVEMENT SARAL</t>
  </si>
  <si>
    <t>VOLTS</t>
  </si>
  <si>
    <t>Watts</t>
  </si>
  <si>
    <t>COMMERCIAL PROPERTY - NEW PURCHASE</t>
  </si>
  <si>
    <t>REGULAR - SARAL</t>
  </si>
  <si>
    <t>WATTS</t>
  </si>
  <si>
    <t>Week</t>
  </si>
  <si>
    <t>COMMERCIAL PROPERTY RESALE</t>
  </si>
  <si>
    <t>REGULAR EXTENSION</t>
  </si>
  <si>
    <t>WEEK</t>
  </si>
  <si>
    <t>Month</t>
  </si>
  <si>
    <t>PROJECT LOAN - RESI &amp; COMM</t>
  </si>
  <si>
    <t>REGULAR EXTENSION - CORP TIE UP</t>
  </si>
  <si>
    <t>MONTH</t>
  </si>
  <si>
    <t>Year</t>
  </si>
  <si>
    <t>REGULAR EXTENSTION - SARAL</t>
  </si>
  <si>
    <t>YEAR</t>
  </si>
  <si>
    <t>others</t>
  </si>
  <si>
    <t>REGULAR IMPROVEMENT</t>
  </si>
  <si>
    <t>REGULAR IMPROVEMENT - CORP TIE UP</t>
  </si>
  <si>
    <t>REGULAR TIE-UP SCHEME</t>
  </si>
  <si>
    <t>S R H S</t>
  </si>
  <si>
    <t>S R H S EXTENSION</t>
  </si>
  <si>
    <t>S R H S IMPROVEMENT</t>
  </si>
  <si>
    <t>SAKSHAM - REVERSE MORTGAGE</t>
  </si>
  <si>
    <t>THIRD PARTY PRODUCT</t>
  </si>
  <si>
    <t>LOAN TENURE</t>
  </si>
  <si>
    <t>DISTANCE FROM BRANCH/APPROX. DISTANCE FROM PROPERTY</t>
  </si>
  <si>
    <t>ZONE I</t>
  </si>
  <si>
    <t>INFO NOT AVAILABLE</t>
  </si>
  <si>
    <t>5 - 10 kms</t>
  </si>
  <si>
    <t>10 - 25 kms</t>
  </si>
  <si>
    <t>50 - 100 kms</t>
  </si>
  <si>
    <t>100 - 150 kms</t>
  </si>
  <si>
    <t>150 - 200 kms</t>
  </si>
  <si>
    <t>200 - 250 kms</t>
  </si>
  <si>
    <t>Above 250 kms</t>
  </si>
  <si>
    <t>LANDMARK</t>
  </si>
  <si>
    <t>PINCODE</t>
  </si>
  <si>
    <t>PINCODE AREA</t>
  </si>
  <si>
    <t>GHODBUNDER ROAD</t>
  </si>
  <si>
    <t>TOTAL REALIZABLE VALUATION OF THE PROPERTY (RS.) IN WORDS</t>
  </si>
  <si>
    <t xml:space="preserve">1. The property is physically inspected by our Engineer/Representative. 
2. We have no direct/indirect interest in the property valued.
3. The information furnished above is true &amp; correct to the best of our knowledge and belief and takes account information and or document submitted or shown to us by the client.
4. The ownership papers/sale deeds may please be verified at your end to ascertain the right title &amp; area.
5. The Realizable value indicated in the report is an opinion of the value prevailing on the date of the said report and is based on market feedback on values of similar properties. The client is free to obtain other independent opinions on the same. The Relizable value of such properties/localities may increase or decrease depending on the future market conditions and scenarios. This report does not certify or confirm any ownership or title of the property that has been valued.
</t>
  </si>
  <si>
    <t>TOTAL REALIZABLE VALUATION OF THE PROPERTY (RS.)</t>
  </si>
  <si>
    <t>bus stop</t>
  </si>
  <si>
    <t>main rd</t>
  </si>
  <si>
    <t xml:space="preserve"> SRO</t>
  </si>
  <si>
    <t>Deepika</t>
  </si>
  <si>
    <t>Bhimavaram</t>
  </si>
  <si>
    <t>West Godavari District, Andhra Pradesh, Pin- 534237.</t>
  </si>
  <si>
    <t>534237</t>
  </si>
  <si>
    <t>West Godavari District</t>
  </si>
  <si>
    <t>Bhimavaram JMF</t>
  </si>
  <si>
    <t>Owners</t>
  </si>
  <si>
    <t>58 Years</t>
  </si>
  <si>
    <t>High school</t>
  </si>
  <si>
    <t>hospital</t>
  </si>
  <si>
    <t xml:space="preserve"> thetre</t>
  </si>
  <si>
    <t xml:space="preserve">Kopalle Grama Panchayat </t>
  </si>
  <si>
    <t>Ramanjaneyulu</t>
  </si>
  <si>
    <t>2 Years</t>
  </si>
  <si>
    <t>Ref No: LAN-HBHV26000113241</t>
  </si>
  <si>
    <t>LAN-HBHV26000113241</t>
  </si>
  <si>
    <t>GANTA LAZARU</t>
  </si>
  <si>
    <t>Ph. No.  
7660083272</t>
  </si>
  <si>
    <t xml:space="preserve"> 
GANTA LAZARU
7660083272</t>
  </si>
  <si>
    <t>Date: 29-01-2026</t>
  </si>
  <si>
    <t>HL - RENNOVATION</t>
  </si>
  <si>
    <t xml:space="preserve">Door. No.1-197 (As per Doc &amp; Tax), Sy No 100, Asst No.197, </t>
  </si>
  <si>
    <t>Seesali Viilage &amp; Grama Panchayat, Kalla Mandal,</t>
  </si>
  <si>
    <t xml:space="preserve"> Door. No.1-197 (As per Doc &amp; Tax)</t>
  </si>
  <si>
    <t>100</t>
  </si>
  <si>
    <t>Seesali</t>
  </si>
  <si>
    <t>Ambedkar statue</t>
  </si>
  <si>
    <t>81.429372</t>
  </si>
  <si>
    <t>16.543638</t>
  </si>
  <si>
    <t>10.9 KM</t>
  </si>
  <si>
    <t>Door. No.1-197 (As per Doc &amp; Tax), Sy No 100, Asst No.197, Seesali Viilage &amp; Grama Panchayat, Kalla Mandal, West Godavari District, Andhra Pradesh, Pin- 534237.</t>
  </si>
  <si>
    <t>Land of Sodadasi Suryarao</t>
  </si>
  <si>
    <t>Land of Bhupathi Yakobu</t>
  </si>
  <si>
    <t>Land of Kakarala Someswararao</t>
  </si>
  <si>
    <t>25 Ft cc road</t>
  </si>
  <si>
    <t>Under Construction house of Sodadasi Suryarao</t>
  </si>
  <si>
    <t>House of Bhupathi Yakobu</t>
  </si>
  <si>
    <t>House of Kakarala Someswararao</t>
  </si>
  <si>
    <t>25 Ft</t>
  </si>
  <si>
    <t>SBI</t>
  </si>
  <si>
    <t>BUA for GF RCC is 404 Sft, Land Area Mentioned as per Doc is 72.6 Sq yds, but as per Physical is 67 sq yds. Hence valuation considered for least.</t>
  </si>
  <si>
    <t xml:space="preserve"> Subject property is a Ground Floor RCC Residential Building (semi consturction stage),Gf having 2bhk being occupied by owners, Situated in Seesali Grama Panchayat Limits.</t>
  </si>
  <si>
    <t xml:space="preserve">    70% Completed</t>
  </si>
  <si>
    <t>Copy Of Settlement Deed Doc No 3482/2025 27-10-2025, in Favour Of Ganta Lazaru S/o (Late) Yesudasu.</t>
  </si>
  <si>
    <t>Copy of Property tax with Asst. No.197, in favour of Ganta Yesudasu S/o Venkata ratnam</t>
  </si>
  <si>
    <t>Copy of E bill with Sc No 1531490113002157 Meter No 8039339 in favour of Ganta Lazaru</t>
  </si>
  <si>
    <t>Fourteen lakhs Twenty Four thousand Four hundred and Fifteen only</t>
  </si>
  <si>
    <t>Eleven lakhs Thirty Nine thousand Five Hundred and Thirty two only</t>
  </si>
  <si>
    <t xml:space="preserve">1. Subject property is a Ground Floor RCC Residential Building (semi consturction stage),Gf having 2bhk being occupied by owners, Situated in Seesali Grama Panchayat Limits.
2. Subject Property is identified through, Property tax door number.
3. BUA for GF RCC is 404 Sft, Land Area Mentioned as per Doc is 72.6 Sq yds, but as per Physical is 67 sq yds. Hence valuation considered for least.
4.  Sy no 100 is identified in Bhuvan 2d maps.
5. GPS Coordinates:16.543638, 81.429372.
6. Survey number of the property not listed in the prohibited properties.
7. As on date site visit up to 70% only completed, remaining works are under progress, This is for your information.
8. Estimation has been provided with the amount of 7,52,000/-
</t>
  </si>
  <si>
    <t>Cement Road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</si>
</sst>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 #,##0.00_ ;_ * \-#,##0.00_ ;_ * &quot;-&quot;??_ ;_ @_ "/>
    <numFmt numFmtId="165" formatCode="_ * #,##0_ ;_ * \-#,##0_ ;_ * &quot;-&quot;??_ ;_ @_ "/>
  </numFmts>
  <fonts count="31">
    <font>
      <sz val="11"/>
      <color theme="1"/>
      <name val="Calibri"/>
      <charset val="134"/>
      <scheme val="minor"/>
    </font>
    <font>
      <sz val="11"/>
      <color rgb="FF000000"/>
      <name val="Bookman Old Style"/>
      <family val="1"/>
    </font>
    <font>
      <sz val="11"/>
      <color rgb="FF000000"/>
      <name val="Garamond"/>
      <family val="1"/>
    </font>
    <font>
      <sz val="11"/>
      <color rgb="FFFF0000"/>
      <name val="Bookman Old Style"/>
      <family val="1"/>
    </font>
    <font>
      <b/>
      <sz val="28"/>
      <color rgb="FF0070C0"/>
      <name val="Book Antiqua"/>
      <family val="1"/>
    </font>
    <font>
      <b/>
      <sz val="11"/>
      <color rgb="FF0070C0"/>
      <name val="Bookman Old Style"/>
      <family val="1"/>
    </font>
    <font>
      <b/>
      <sz val="11"/>
      <name val="Garamond"/>
      <family val="1"/>
    </font>
    <font>
      <b/>
      <i/>
      <sz val="11"/>
      <color rgb="FFFFFFFF"/>
      <name val="Garamond"/>
      <family val="1"/>
    </font>
    <font>
      <i/>
      <sz val="11"/>
      <color rgb="FF000000"/>
      <name val="Bookman Old Style"/>
      <family val="1"/>
    </font>
    <font>
      <b/>
      <i/>
      <sz val="11"/>
      <color rgb="FF000000"/>
      <name val="Garamond"/>
      <family val="1"/>
    </font>
    <font>
      <b/>
      <sz val="11"/>
      <color rgb="FF000000"/>
      <name val="Garamond"/>
      <family val="1"/>
    </font>
    <font>
      <strike/>
      <sz val="11"/>
      <color rgb="FFFF0000"/>
      <name val="Garamond"/>
      <family val="1"/>
    </font>
    <font>
      <sz val="11"/>
      <name val="Garamond"/>
      <family val="1"/>
    </font>
    <font>
      <b/>
      <i/>
      <sz val="11"/>
      <color rgb="FFFFFFFF"/>
      <name val="Bookman Old Style"/>
      <family val="1"/>
    </font>
    <font>
      <sz val="11"/>
      <name val="Bookman Old Style"/>
      <family val="1"/>
    </font>
    <font>
      <b/>
      <sz val="11"/>
      <color indexed="8"/>
      <name val="Cambria"/>
      <family val="1"/>
    </font>
    <font>
      <b/>
      <i/>
      <sz val="11"/>
      <color theme="0"/>
      <name val="Bookman Old Style"/>
      <family val="1"/>
    </font>
    <font>
      <b/>
      <i/>
      <sz val="11"/>
      <color rgb="FF000000"/>
      <name val="Bookman Old Style"/>
      <family val="1"/>
    </font>
    <font>
      <sz val="11"/>
      <color rgb="FFFFFFFF"/>
      <name val="Bookman Old Style"/>
      <family val="1"/>
    </font>
    <font>
      <u/>
      <sz val="11"/>
      <color rgb="FFFFFFFF"/>
      <name val="Bookman Old Style"/>
      <family val="1"/>
    </font>
    <font>
      <b/>
      <sz val="11"/>
      <color rgb="FF000000"/>
      <name val="Bookman Old Style"/>
      <family val="1"/>
    </font>
    <font>
      <sz val="11"/>
      <color theme="1"/>
      <name val="Bookman Old Style"/>
      <family val="1"/>
    </font>
    <font>
      <sz val="11"/>
      <color indexed="8"/>
      <name val="Bookman Old Style"/>
      <family val="1"/>
    </font>
    <font>
      <b/>
      <i/>
      <sz val="11"/>
      <name val="Bookman Old Style"/>
      <family val="1"/>
    </font>
    <font>
      <sz val="11"/>
      <color rgb="FF000000"/>
      <name val="Book Antiqua"/>
      <family val="1"/>
    </font>
    <font>
      <b/>
      <sz val="11"/>
      <color rgb="FF333333"/>
      <name val="Arial"/>
      <family val="2"/>
    </font>
    <font>
      <sz val="11"/>
      <color rgb="FF454545"/>
      <name val="Arial"/>
      <family val="2"/>
    </font>
    <font>
      <sz val="11"/>
      <color indexed="8"/>
      <name val="Book Antiqua"/>
      <family val="1"/>
    </font>
    <font>
      <sz val="11"/>
      <color rgb="FF000000"/>
      <name val="Arial"/>
      <family val="2"/>
    </font>
    <font>
      <sz val="11"/>
      <color theme="1"/>
      <name val="Calibri"/>
      <family val="2"/>
      <scheme val="minor"/>
    </font>
    <font>
      <sz val="11"/>
      <color rgb="FF000000"/>
      <name val="Bookman Old Style"/>
      <family val="1"/>
    </font>
  </fonts>
  <fills count="22">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rgb="FFDDD9C3"/>
        <bgColor indexed="64"/>
      </patternFill>
    </fill>
    <fill>
      <patternFill patternType="solid">
        <fgColor rgb="FFDCE6F2"/>
        <bgColor indexed="64"/>
      </patternFill>
    </fill>
    <fill>
      <patternFill patternType="solid">
        <fgColor rgb="FFFFFFFF"/>
        <bgColor indexed="64"/>
      </patternFill>
    </fill>
    <fill>
      <patternFill patternType="solid">
        <fgColor rgb="FFEEECE1"/>
        <bgColor indexed="64"/>
      </patternFill>
    </fill>
    <fill>
      <patternFill patternType="solid">
        <fgColor rgb="FFFFFFFF"/>
        <bgColor rgb="FFFFFFFF"/>
      </patternFill>
    </fill>
    <fill>
      <patternFill patternType="solid">
        <fgColor rgb="FF568ED4"/>
        <bgColor indexed="64"/>
      </patternFill>
    </fill>
    <fill>
      <patternFill patternType="solid">
        <fgColor rgb="FFFFFCEF"/>
        <bgColor indexed="64"/>
      </patternFill>
    </fill>
    <fill>
      <patternFill patternType="solid">
        <fgColor rgb="FFFFFF00"/>
        <bgColor indexed="64"/>
      </patternFill>
    </fill>
    <fill>
      <patternFill patternType="solid">
        <fgColor theme="8" tint="0.79985961485641044"/>
        <bgColor indexed="64"/>
      </patternFill>
    </fill>
    <fill>
      <patternFill patternType="solid">
        <fgColor rgb="FFFFFF00"/>
        <bgColor rgb="FFFFFFFF"/>
      </patternFill>
    </fill>
    <fill>
      <patternFill patternType="solid">
        <fgColor rgb="FFE6EEF7"/>
        <bgColor indexed="64"/>
      </patternFill>
    </fill>
    <fill>
      <patternFill patternType="solid">
        <fgColor rgb="FFEDE9D9"/>
        <bgColor indexed="64"/>
      </patternFill>
    </fill>
    <fill>
      <patternFill patternType="solid">
        <fgColor theme="7" tint="0.39985351115451523"/>
        <bgColor indexed="64"/>
      </patternFill>
    </fill>
    <fill>
      <patternFill patternType="solid">
        <fgColor rgb="FF0070C0"/>
        <bgColor indexed="64"/>
      </patternFill>
    </fill>
    <fill>
      <patternFill patternType="solid">
        <fgColor theme="2"/>
        <bgColor indexed="64"/>
      </patternFill>
    </fill>
    <fill>
      <patternFill patternType="solid">
        <fgColor rgb="FFCEDEEF"/>
        <bgColor indexed="64"/>
      </patternFill>
    </fill>
    <fill>
      <patternFill patternType="solid">
        <fgColor theme="2" tint="-9.9978637043366805E-2"/>
        <bgColor indexed="64"/>
      </patternFill>
    </fill>
    <fill>
      <patternFill patternType="solid">
        <fgColor rgb="FFE7E5E5"/>
        <bgColor indexed="64"/>
      </patternFill>
    </fill>
  </fills>
  <borders count="48">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medium">
        <color auto="1"/>
      </left>
      <right/>
      <top/>
      <bottom style="thin">
        <color auto="1"/>
      </bottom>
      <diagonal/>
    </border>
    <border>
      <left/>
      <right/>
      <top/>
      <bottom style="thin">
        <color auto="1"/>
      </bottom>
      <diagonal/>
    </border>
    <border>
      <left style="medium">
        <color auto="1"/>
      </left>
      <right/>
      <top style="thin">
        <color auto="1"/>
      </top>
      <bottom/>
      <diagonal/>
    </border>
    <border>
      <left/>
      <right/>
      <top style="thin">
        <color auto="1"/>
      </top>
      <bottom/>
      <diagonal/>
    </border>
    <border>
      <left style="thin">
        <color auto="1"/>
      </left>
      <right style="thin">
        <color auto="1"/>
      </right>
      <top style="thin">
        <color auto="1"/>
      </top>
      <bottom style="thin">
        <color auto="1"/>
      </bottom>
      <diagonal/>
    </border>
    <border>
      <left style="medium">
        <color auto="1"/>
      </left>
      <right/>
      <top/>
      <bottom/>
      <diagonal/>
    </border>
    <border>
      <left style="medium">
        <color auto="1"/>
      </left>
      <right style="thin">
        <color auto="1"/>
      </right>
      <top style="thin">
        <color auto="1"/>
      </top>
      <bottom style="thin">
        <color auto="1"/>
      </bottom>
      <diagonal/>
    </border>
    <border>
      <left style="thin">
        <color auto="1"/>
      </left>
      <right/>
      <top/>
      <bottom/>
      <diagonal/>
    </border>
    <border>
      <left style="medium">
        <color auto="1"/>
      </left>
      <right/>
      <top style="medium">
        <color auto="1"/>
      </top>
      <bottom/>
      <diagonal/>
    </border>
    <border>
      <left/>
      <right/>
      <top style="medium">
        <color auto="1"/>
      </top>
      <bottom/>
      <diagonal/>
    </border>
    <border>
      <left/>
      <right style="medium">
        <color auto="1"/>
      </right>
      <top/>
      <bottom style="thin">
        <color auto="1"/>
      </bottom>
      <diagonal/>
    </border>
    <border>
      <left style="medium">
        <color auto="1"/>
      </left>
      <right/>
      <top/>
      <bottom style="medium">
        <color auto="1"/>
      </bottom>
      <diagonal/>
    </border>
    <border>
      <left/>
      <right/>
      <top/>
      <bottom style="medium">
        <color auto="1"/>
      </bottom>
      <diagonal/>
    </border>
    <border>
      <left style="thin">
        <color auto="1"/>
      </left>
      <right/>
      <top style="thin">
        <color auto="1"/>
      </top>
      <bottom/>
      <diagonal/>
    </border>
    <border>
      <left style="thin">
        <color auto="1"/>
      </left>
      <right style="medium">
        <color auto="1"/>
      </right>
      <top style="medium">
        <color auto="1"/>
      </top>
      <bottom style="thin">
        <color auto="1"/>
      </bottom>
      <diagonal/>
    </border>
    <border>
      <left/>
      <right style="medium">
        <color auto="1"/>
      </right>
      <top style="thin">
        <color auto="1"/>
      </top>
      <bottom style="thin">
        <color auto="1"/>
      </bottom>
      <diagonal/>
    </border>
    <border>
      <left/>
      <right style="medium">
        <color auto="1"/>
      </right>
      <top style="thin">
        <color auto="1"/>
      </top>
      <bottom/>
      <diagonal/>
    </border>
    <border>
      <left/>
      <right style="medium">
        <color auto="1"/>
      </right>
      <top/>
      <bottom/>
      <diagonal/>
    </border>
    <border>
      <left style="thin">
        <color auto="1"/>
      </left>
      <right style="medium">
        <color auto="1"/>
      </right>
      <top style="thin">
        <color auto="1"/>
      </top>
      <bottom style="thin">
        <color auto="1"/>
      </bottom>
      <diagonal/>
    </border>
    <border>
      <left/>
      <right style="medium">
        <color auto="1"/>
      </right>
      <top/>
      <bottom style="medium">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right/>
      <top style="thin">
        <color indexed="8"/>
      </top>
      <bottom style="thin">
        <color indexed="8"/>
      </bottom>
      <diagonal/>
    </border>
    <border>
      <left style="thin">
        <color auto="1"/>
      </left>
      <right/>
      <top style="thin">
        <color auto="1"/>
      </top>
      <bottom style="thin">
        <color auto="1"/>
      </bottom>
      <diagonal/>
    </border>
    <border>
      <left/>
      <right style="medium">
        <color auto="1"/>
      </right>
      <top style="thin">
        <color indexed="8"/>
      </top>
      <bottom style="thin">
        <color indexed="8"/>
      </bottom>
      <diagonal/>
    </border>
    <border>
      <left/>
      <right style="medium">
        <color auto="1"/>
      </right>
      <top style="medium">
        <color auto="1"/>
      </top>
      <bottom/>
      <diagonal/>
    </border>
    <border>
      <left style="thin">
        <color auto="1"/>
      </left>
      <right style="medium">
        <color auto="1"/>
      </right>
      <top style="thin">
        <color auto="1"/>
      </top>
      <bottom/>
      <diagonal/>
    </border>
    <border>
      <left style="thin">
        <color auto="1"/>
      </left>
      <right style="medium">
        <color auto="1"/>
      </right>
      <top/>
      <bottom/>
      <diagonal/>
    </border>
    <border>
      <left/>
      <right style="thin">
        <color auto="1"/>
      </right>
      <top/>
      <bottom style="thin">
        <color auto="1"/>
      </bottom>
      <diagonal/>
    </border>
    <border>
      <left/>
      <right style="thin">
        <color auto="1"/>
      </right>
      <top style="thin">
        <color auto="1"/>
      </top>
      <bottom/>
      <diagonal/>
    </border>
    <border>
      <left/>
      <right style="thin">
        <color auto="1"/>
      </right>
      <top/>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rgb="FFC0C0C0"/>
      </left>
      <right style="thin">
        <color rgb="FFC0C0C0"/>
      </right>
      <top/>
      <bottom style="thin">
        <color rgb="FFC0C0C0"/>
      </bottom>
      <diagonal/>
    </border>
    <border>
      <left style="medium">
        <color rgb="FFE2E2E2"/>
      </left>
      <right style="medium">
        <color rgb="FFE2E2E2"/>
      </right>
      <top style="medium">
        <color rgb="FFE2E2E2"/>
      </top>
      <bottom style="medium">
        <color rgb="FFE2E2E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7">
    <xf numFmtId="0" fontId="0" fillId="0" borderId="0"/>
    <xf numFmtId="164" fontId="29" fillId="0" borderId="0" applyFont="0" applyFill="0" applyBorder="0" applyAlignment="0" applyProtection="0"/>
    <xf numFmtId="9" fontId="29" fillId="0" borderId="0" applyFont="0" applyFill="0" applyBorder="0" applyAlignment="0" applyProtection="0"/>
    <xf numFmtId="164" fontId="24" fillId="0" borderId="0"/>
    <xf numFmtId="0" fontId="24" fillId="0" borderId="0"/>
    <xf numFmtId="0" fontId="27" fillId="0" borderId="0"/>
    <xf numFmtId="0" fontId="28" fillId="0" borderId="0">
      <alignment vertical="center"/>
    </xf>
  </cellStyleXfs>
  <cellXfs count="569">
    <xf numFmtId="0" fontId="0" fillId="0" borderId="0" xfId="0"/>
    <xf numFmtId="0" fontId="1" fillId="2" borderId="0" xfId="0" applyFont="1" applyFill="1" applyAlignment="1">
      <alignment vertical="center"/>
    </xf>
    <xf numFmtId="0" fontId="1" fillId="3" borderId="0" xfId="0" applyFont="1" applyFill="1" applyAlignment="1">
      <alignment vertical="center"/>
    </xf>
    <xf numFmtId="0" fontId="2" fillId="0" borderId="0" xfId="0" applyFont="1" applyAlignment="1">
      <alignment vertical="center"/>
    </xf>
    <xf numFmtId="0" fontId="1" fillId="0" borderId="0" xfId="0" applyFont="1" applyAlignment="1">
      <alignment vertical="center" wrapText="1"/>
    </xf>
    <xf numFmtId="0" fontId="1" fillId="0" borderId="0" xfId="0" applyFont="1" applyAlignment="1">
      <alignment horizontal="center" vertical="center"/>
    </xf>
    <xf numFmtId="0" fontId="3" fillId="0" borderId="0" xfId="0" applyFont="1" applyAlignment="1">
      <alignment vertical="center"/>
    </xf>
    <xf numFmtId="0" fontId="1" fillId="0" borderId="0" xfId="0" applyFont="1" applyAlignment="1">
      <alignment vertical="center"/>
    </xf>
    <xf numFmtId="0" fontId="1" fillId="0" borderId="0" xfId="0" applyFont="1" applyAlignment="1">
      <alignment horizontal="center" vertical="center" wrapText="1"/>
    </xf>
    <xf numFmtId="0" fontId="6" fillId="2" borderId="5" xfId="4" applyFont="1" applyFill="1" applyBorder="1" applyAlignment="1">
      <alignment horizontal="center" vertical="center"/>
    </xf>
    <xf numFmtId="0" fontId="7" fillId="2" borderId="6" xfId="4" applyFont="1" applyFill="1" applyBorder="1" applyAlignment="1">
      <alignment horizontal="center" vertical="center"/>
    </xf>
    <xf numFmtId="0" fontId="10" fillId="5" borderId="7" xfId="4" applyFont="1" applyFill="1" applyBorder="1" applyAlignment="1">
      <alignment vertical="center" wrapText="1"/>
    </xf>
    <xf numFmtId="0" fontId="10" fillId="0" borderId="8" xfId="4" applyFont="1" applyBorder="1" applyAlignment="1">
      <alignment vertical="center"/>
    </xf>
    <xf numFmtId="0" fontId="2" fillId="6" borderId="9" xfId="4" applyFont="1" applyFill="1" applyBorder="1" applyAlignment="1" applyProtection="1">
      <alignment horizontal="center" vertical="center" wrapText="1"/>
      <protection locked="0"/>
    </xf>
    <xf numFmtId="0" fontId="2" fillId="0" borderId="8" xfId="4" applyFont="1" applyBorder="1" applyAlignment="1">
      <alignment vertical="center"/>
    </xf>
    <xf numFmtId="0" fontId="10" fillId="5" borderId="8" xfId="4" applyFont="1" applyFill="1" applyBorder="1" applyAlignment="1">
      <alignment horizontal="left" vertical="center" wrapText="1"/>
    </xf>
    <xf numFmtId="0" fontId="1" fillId="0" borderId="10" xfId="4" applyFont="1" applyBorder="1" applyAlignment="1">
      <alignment horizontal="center" vertical="center" wrapText="1"/>
    </xf>
    <xf numFmtId="0" fontId="1" fillId="0" borderId="0" xfId="4" applyFont="1" applyAlignment="1">
      <alignment horizontal="center" vertical="center" wrapText="1"/>
    </xf>
    <xf numFmtId="0" fontId="10" fillId="7" borderId="10" xfId="4" applyFont="1" applyFill="1" applyBorder="1" applyAlignment="1">
      <alignment vertical="center" wrapText="1"/>
    </xf>
    <xf numFmtId="0" fontId="11" fillId="0" borderId="0" xfId="4" applyFont="1" applyAlignment="1">
      <alignment vertical="center"/>
    </xf>
    <xf numFmtId="0" fontId="2" fillId="6" borderId="6" xfId="4" applyFont="1" applyFill="1" applyBorder="1" applyAlignment="1" applyProtection="1">
      <alignment vertical="center" wrapText="1"/>
      <protection locked="0"/>
    </xf>
    <xf numFmtId="0" fontId="2" fillId="8" borderId="6" xfId="4" applyFont="1" applyFill="1" applyBorder="1" applyAlignment="1">
      <alignment vertical="center"/>
    </xf>
    <xf numFmtId="0" fontId="2" fillId="8" borderId="6" xfId="4" applyFont="1" applyFill="1" applyBorder="1" applyAlignment="1">
      <alignment horizontal="center" vertical="center"/>
    </xf>
    <xf numFmtId="0" fontId="1" fillId="5" borderId="7" xfId="4" applyFont="1" applyFill="1" applyBorder="1" applyAlignment="1">
      <alignment horizontal="left" vertical="center"/>
    </xf>
    <xf numFmtId="0" fontId="1" fillId="0" borderId="8" xfId="4" applyFont="1" applyBorder="1" applyAlignment="1">
      <alignment vertical="center"/>
    </xf>
    <xf numFmtId="0" fontId="1" fillId="0" borderId="4" xfId="4" applyFont="1" applyBorder="1" applyAlignment="1" applyProtection="1">
      <alignment horizontal="center" vertical="center" wrapText="1"/>
      <protection locked="0"/>
    </xf>
    <xf numFmtId="0" fontId="1" fillId="5" borderId="8" xfId="4" applyFont="1" applyFill="1" applyBorder="1" applyAlignment="1">
      <alignment vertical="center" wrapText="1"/>
    </xf>
    <xf numFmtId="0" fontId="2" fillId="6" borderId="4" xfId="4" applyFont="1" applyFill="1" applyBorder="1" applyAlignment="1" applyProtection="1">
      <alignment horizontal="center" vertical="center" wrapText="1"/>
      <protection locked="0"/>
    </xf>
    <xf numFmtId="0" fontId="1" fillId="7" borderId="10" xfId="4" applyFont="1" applyFill="1" applyBorder="1" applyAlignment="1">
      <alignment vertical="center" wrapText="1"/>
    </xf>
    <xf numFmtId="0" fontId="1" fillId="0" borderId="0" xfId="4" applyFont="1" applyAlignment="1">
      <alignment vertical="center"/>
    </xf>
    <xf numFmtId="0" fontId="2" fillId="6" borderId="6" xfId="4" applyFont="1" applyFill="1" applyBorder="1" applyAlignment="1" applyProtection="1">
      <alignment horizontal="center" vertical="center" wrapText="1"/>
      <protection locked="0"/>
    </xf>
    <xf numFmtId="0" fontId="1" fillId="7" borderId="0" xfId="4" applyFont="1" applyFill="1" applyAlignment="1">
      <alignment vertical="center" wrapText="1"/>
    </xf>
    <xf numFmtId="0" fontId="1" fillId="5" borderId="10" xfId="4" applyFont="1" applyFill="1" applyBorder="1" applyAlignment="1">
      <alignment vertical="center" wrapText="1"/>
    </xf>
    <xf numFmtId="0" fontId="1" fillId="0" borderId="6" xfId="4" applyFont="1" applyBorder="1" applyAlignment="1" applyProtection="1">
      <alignment horizontal="center" vertical="center" wrapText="1"/>
      <protection locked="0"/>
    </xf>
    <xf numFmtId="0" fontId="1" fillId="5" borderId="0" xfId="4" applyFont="1" applyFill="1" applyAlignment="1">
      <alignment vertical="center" wrapText="1"/>
    </xf>
    <xf numFmtId="0" fontId="1" fillId="7" borderId="5" xfId="4" applyFont="1" applyFill="1" applyBorder="1" applyAlignment="1">
      <alignment vertical="center" wrapText="1"/>
    </xf>
    <xf numFmtId="0" fontId="1" fillId="0" borderId="6" xfId="4" applyFont="1" applyBorder="1" applyAlignment="1">
      <alignment vertical="center"/>
    </xf>
    <xf numFmtId="0" fontId="1" fillId="5" borderId="7" xfId="4" applyFont="1" applyFill="1" applyBorder="1" applyAlignment="1">
      <alignment vertical="center" wrapText="1"/>
    </xf>
    <xf numFmtId="0" fontId="1" fillId="0" borderId="8" xfId="0" applyFont="1" applyBorder="1" applyAlignment="1">
      <alignment vertical="center"/>
    </xf>
    <xf numFmtId="49" fontId="1" fillId="0" borderId="4" xfId="4" applyNumberFormat="1" applyFont="1" applyBorder="1" applyAlignment="1" applyProtection="1">
      <alignment horizontal="center" vertical="center" wrapText="1"/>
      <protection locked="0"/>
    </xf>
    <xf numFmtId="0" fontId="1" fillId="0" borderId="4" xfId="0" applyFont="1" applyBorder="1" applyAlignment="1" applyProtection="1">
      <alignment horizontal="center" vertical="center" wrapText="1"/>
      <protection locked="0"/>
    </xf>
    <xf numFmtId="0" fontId="1" fillId="0" borderId="6" xfId="0" applyFont="1" applyBorder="1" applyAlignment="1">
      <alignment vertical="center"/>
    </xf>
    <xf numFmtId="49" fontId="1" fillId="0" borderId="6" xfId="4" applyNumberFormat="1" applyFont="1" applyBorder="1" applyAlignment="1" applyProtection="1">
      <alignment horizontal="center" vertical="center" wrapText="1"/>
      <protection locked="0"/>
    </xf>
    <xf numFmtId="0" fontId="1" fillId="7" borderId="6" xfId="4" applyFont="1" applyFill="1" applyBorder="1" applyAlignment="1">
      <alignment vertical="center" wrapText="1"/>
    </xf>
    <xf numFmtId="0" fontId="1" fillId="0" borderId="6" xfId="0" applyFont="1" applyBorder="1" applyAlignment="1" applyProtection="1">
      <alignment horizontal="center" vertical="center" wrapText="1"/>
      <protection locked="0"/>
    </xf>
    <xf numFmtId="0" fontId="1" fillId="5" borderId="7" xfId="4" applyFont="1" applyFill="1" applyBorder="1" applyAlignment="1">
      <alignment horizontal="center" vertical="center" wrapText="1"/>
    </xf>
    <xf numFmtId="0" fontId="1" fillId="5" borderId="8" xfId="4" applyFont="1" applyFill="1" applyBorder="1" applyAlignment="1">
      <alignment horizontal="center" vertical="center" wrapText="1"/>
    </xf>
    <xf numFmtId="0" fontId="1" fillId="0" borderId="8" xfId="4" applyFont="1" applyBorder="1" applyAlignment="1">
      <alignment horizontal="center" vertical="center"/>
    </xf>
    <xf numFmtId="0" fontId="1" fillId="5" borderId="10" xfId="4" applyFont="1" applyFill="1" applyBorder="1" applyAlignment="1">
      <alignment horizontal="center" vertical="center" wrapText="1"/>
    </xf>
    <xf numFmtId="0" fontId="1" fillId="5" borderId="0" xfId="4" applyFont="1" applyFill="1" applyAlignment="1">
      <alignment horizontal="center" vertical="center" wrapText="1"/>
    </xf>
    <xf numFmtId="0" fontId="1" fillId="0" borderId="0" xfId="4" applyFont="1" applyAlignment="1">
      <alignment horizontal="center" vertical="center"/>
    </xf>
    <xf numFmtId="0" fontId="1" fillId="0" borderId="6" xfId="4" applyFont="1" applyBorder="1" applyAlignment="1">
      <alignment horizontal="center" vertical="center"/>
    </xf>
    <xf numFmtId="0" fontId="1" fillId="5" borderId="7" xfId="4" applyFont="1" applyFill="1" applyBorder="1" applyAlignment="1">
      <alignment horizontal="left" vertical="center" wrapText="1"/>
    </xf>
    <xf numFmtId="0" fontId="1" fillId="0" borderId="8" xfId="4" applyFont="1" applyBorder="1" applyAlignment="1" applyProtection="1">
      <alignment horizontal="center" vertical="center"/>
      <protection locked="0"/>
    </xf>
    <xf numFmtId="0" fontId="1" fillId="0" borderId="0" xfId="4" applyFont="1" applyAlignment="1" applyProtection="1">
      <alignment horizontal="center" vertical="center"/>
      <protection locked="0"/>
    </xf>
    <xf numFmtId="0" fontId="1" fillId="5" borderId="12" xfId="4" applyFont="1" applyFill="1" applyBorder="1" applyAlignment="1">
      <alignment vertical="center" wrapText="1"/>
    </xf>
    <xf numFmtId="0" fontId="1" fillId="7" borderId="13" xfId="4" applyFont="1" applyFill="1" applyBorder="1" applyAlignment="1">
      <alignment horizontal="left" vertical="center"/>
    </xf>
    <xf numFmtId="0" fontId="1" fillId="0" borderId="14" xfId="0" applyFont="1" applyBorder="1" applyAlignment="1">
      <alignment vertical="center"/>
    </xf>
    <xf numFmtId="49" fontId="1" fillId="0" borderId="15" xfId="4" applyNumberFormat="1" applyFont="1" applyBorder="1" applyAlignment="1" applyProtection="1">
      <alignment horizontal="center" vertical="center" wrapText="1"/>
      <protection locked="0"/>
    </xf>
    <xf numFmtId="0" fontId="1" fillId="5" borderId="5" xfId="4" applyFont="1" applyFill="1" applyBorder="1" applyAlignment="1">
      <alignment vertical="center" wrapText="1"/>
    </xf>
    <xf numFmtId="0" fontId="1" fillId="5" borderId="16" xfId="4" applyFont="1" applyFill="1" applyBorder="1" applyAlignment="1">
      <alignment horizontal="left" vertical="center"/>
    </xf>
    <xf numFmtId="0" fontId="1" fillId="0" borderId="17" xfId="0" applyFont="1" applyBorder="1" applyAlignment="1">
      <alignment vertical="center"/>
    </xf>
    <xf numFmtId="49" fontId="1" fillId="0" borderId="17" xfId="4" applyNumberFormat="1" applyFont="1" applyBorder="1" applyAlignment="1" applyProtection="1">
      <alignment horizontal="center" vertical="center" wrapText="1"/>
      <protection locked="0"/>
    </xf>
    <xf numFmtId="49" fontId="1" fillId="0" borderId="17" xfId="4" applyNumberFormat="1" applyFont="1" applyBorder="1" applyAlignment="1" applyProtection="1">
      <alignment horizontal="center" vertical="center"/>
      <protection locked="0"/>
    </xf>
    <xf numFmtId="0" fontId="1" fillId="7" borderId="10" xfId="4" applyFont="1" applyFill="1" applyBorder="1" applyAlignment="1">
      <alignment horizontal="left" vertical="center"/>
    </xf>
    <xf numFmtId="0" fontId="1" fillId="11" borderId="10" xfId="4" applyFont="1" applyFill="1" applyBorder="1" applyAlignment="1">
      <alignment horizontal="left" vertical="center" wrapText="1"/>
    </xf>
    <xf numFmtId="0" fontId="1" fillId="11" borderId="0" xfId="4" applyFont="1" applyFill="1" applyAlignment="1">
      <alignment horizontal="center" vertical="center" wrapText="1"/>
    </xf>
    <xf numFmtId="0" fontId="1" fillId="5" borderId="18" xfId="4" applyFont="1" applyFill="1" applyBorder="1" applyAlignment="1">
      <alignment horizontal="center" vertical="center"/>
    </xf>
    <xf numFmtId="0" fontId="1" fillId="5" borderId="8" xfId="4" applyFont="1" applyFill="1" applyBorder="1" applyAlignment="1">
      <alignment horizontal="center" vertical="center"/>
    </xf>
    <xf numFmtId="0" fontId="1" fillId="0" borderId="0" xfId="4" applyFont="1" applyAlignment="1">
      <alignment vertical="center" wrapText="1"/>
    </xf>
    <xf numFmtId="0" fontId="1" fillId="7" borderId="12" xfId="4" applyFont="1" applyFill="1" applyBorder="1" applyAlignment="1">
      <alignment horizontal="center" vertical="center"/>
    </xf>
    <xf numFmtId="0" fontId="7" fillId="2" borderId="0" xfId="4" applyFont="1" applyFill="1" applyAlignment="1">
      <alignment vertical="center"/>
    </xf>
    <xf numFmtId="0" fontId="7" fillId="3" borderId="0" xfId="4" applyFont="1" applyFill="1" applyAlignment="1">
      <alignment vertical="center"/>
    </xf>
    <xf numFmtId="0" fontId="7" fillId="0" borderId="0" xfId="4" applyFont="1" applyAlignment="1">
      <alignment vertical="center"/>
    </xf>
    <xf numFmtId="0" fontId="10" fillId="12" borderId="6" xfId="4" applyFont="1" applyFill="1" applyBorder="1" applyAlignment="1">
      <alignment horizontal="left" vertical="center"/>
    </xf>
    <xf numFmtId="0" fontId="2" fillId="2" borderId="6" xfId="4" applyFont="1" applyFill="1" applyBorder="1" applyAlignment="1" applyProtection="1">
      <alignment vertical="center" wrapText="1"/>
      <protection locked="0"/>
    </xf>
    <xf numFmtId="0" fontId="2" fillId="0" borderId="9" xfId="0" applyFont="1" applyBorder="1" applyAlignment="1">
      <alignment vertical="center" wrapText="1"/>
    </xf>
    <xf numFmtId="0" fontId="10" fillId="11" borderId="9" xfId="4" applyFont="1" applyFill="1" applyBorder="1" applyAlignment="1">
      <alignment horizontal="left" vertical="center"/>
    </xf>
    <xf numFmtId="0" fontId="2" fillId="13" borderId="6" xfId="4" applyFont="1" applyFill="1" applyBorder="1" applyAlignment="1">
      <alignment horizontal="center" vertical="center"/>
    </xf>
    <xf numFmtId="0" fontId="2" fillId="6" borderId="20" xfId="4" applyFont="1" applyFill="1" applyBorder="1" applyAlignment="1" applyProtection="1">
      <alignment horizontal="center" vertical="center" wrapText="1"/>
      <protection locked="0"/>
    </xf>
    <xf numFmtId="17" fontId="1" fillId="0" borderId="15" xfId="4" applyNumberFormat="1" applyFont="1" applyBorder="1" applyAlignment="1" applyProtection="1">
      <alignment horizontal="center" vertical="center" wrapText="1"/>
      <protection locked="0"/>
    </xf>
    <xf numFmtId="0" fontId="1" fillId="0" borderId="20" xfId="0" applyFont="1" applyBorder="1" applyAlignment="1" applyProtection="1">
      <alignment vertical="center" wrapText="1"/>
      <protection locked="0"/>
    </xf>
    <xf numFmtId="0" fontId="1" fillId="0" borderId="15" xfId="0" applyFont="1" applyBorder="1" applyAlignment="1" applyProtection="1">
      <alignment horizontal="center" vertical="center" wrapText="1"/>
      <protection locked="0"/>
    </xf>
    <xf numFmtId="0" fontId="1" fillId="2" borderId="6" xfId="4" applyFont="1" applyFill="1" applyBorder="1" applyAlignment="1">
      <alignment vertical="center"/>
    </xf>
    <xf numFmtId="0" fontId="1" fillId="7" borderId="15" xfId="4" applyFont="1" applyFill="1" applyBorder="1" applyAlignment="1">
      <alignment horizontal="center" vertical="center" wrapText="1"/>
    </xf>
    <xf numFmtId="0" fontId="1" fillId="5" borderId="8" xfId="4" applyFont="1" applyFill="1" applyBorder="1" applyAlignment="1">
      <alignment vertical="center"/>
    </xf>
    <xf numFmtId="49" fontId="1" fillId="0" borderId="20" xfId="4" applyNumberFormat="1" applyFont="1" applyBorder="1" applyAlignment="1" applyProtection="1">
      <alignment horizontal="center" vertical="center" wrapText="1"/>
      <protection locked="0"/>
    </xf>
    <xf numFmtId="0" fontId="1" fillId="7" borderId="0" xfId="4" applyFont="1" applyFill="1" applyAlignment="1">
      <alignment vertical="center"/>
    </xf>
    <xf numFmtId="0" fontId="1" fillId="0" borderId="0" xfId="0" applyFont="1" applyAlignment="1">
      <alignment horizontal="left" vertical="center"/>
    </xf>
    <xf numFmtId="0" fontId="1" fillId="5" borderId="0" xfId="4" applyFont="1" applyFill="1" applyAlignment="1">
      <alignment vertical="center"/>
    </xf>
    <xf numFmtId="49" fontId="1" fillId="0" borderId="9" xfId="4" applyNumberFormat="1" applyFont="1" applyBorder="1" applyAlignment="1" applyProtection="1">
      <alignment horizontal="center" vertical="center" wrapText="1"/>
      <protection locked="0"/>
    </xf>
    <xf numFmtId="0" fontId="1" fillId="5" borderId="0" xfId="4" applyFont="1" applyFill="1" applyAlignment="1">
      <alignment horizontal="left" vertical="center" wrapText="1"/>
    </xf>
    <xf numFmtId="0" fontId="1" fillId="0" borderId="0" xfId="4" applyFont="1" applyAlignment="1">
      <alignment horizontal="left" vertical="center"/>
    </xf>
    <xf numFmtId="0" fontId="1" fillId="7" borderId="14" xfId="4" applyFont="1" applyFill="1" applyBorder="1" applyAlignment="1">
      <alignment horizontal="left" vertical="center" wrapText="1"/>
    </xf>
    <xf numFmtId="0" fontId="1" fillId="0" borderId="14" xfId="4" applyFont="1" applyBorder="1" applyAlignment="1">
      <alignment vertical="center"/>
    </xf>
    <xf numFmtId="0" fontId="1" fillId="5" borderId="17" xfId="4" applyFont="1" applyFill="1" applyBorder="1" applyAlignment="1">
      <alignment horizontal="left" vertical="center" wrapText="1"/>
    </xf>
    <xf numFmtId="0" fontId="1" fillId="0" borderId="17" xfId="4" applyFont="1" applyBorder="1" applyAlignment="1">
      <alignment vertical="center"/>
    </xf>
    <xf numFmtId="0" fontId="14" fillId="0" borderId="24" xfId="4" applyFont="1" applyBorder="1" applyAlignment="1" applyProtection="1">
      <alignment horizontal="center" vertical="center" wrapText="1"/>
      <protection locked="0"/>
    </xf>
    <xf numFmtId="0" fontId="1" fillId="10" borderId="8" xfId="4" applyFont="1" applyFill="1" applyBorder="1" applyAlignment="1">
      <alignment horizontal="center" vertical="center"/>
    </xf>
    <xf numFmtId="0" fontId="1" fillId="5" borderId="21" xfId="4" applyFont="1" applyFill="1" applyBorder="1" applyAlignment="1">
      <alignment horizontal="center" vertical="center" wrapText="1"/>
    </xf>
    <xf numFmtId="0" fontId="1" fillId="0" borderId="15" xfId="4" applyFont="1" applyBorder="1" applyAlignment="1" applyProtection="1">
      <alignment horizontal="center" vertical="center" wrapText="1"/>
      <protection locked="0"/>
    </xf>
    <xf numFmtId="0" fontId="1" fillId="5" borderId="9" xfId="4" applyFont="1" applyFill="1" applyBorder="1" applyAlignment="1">
      <alignment horizontal="center" vertical="center"/>
    </xf>
    <xf numFmtId="0" fontId="1" fillId="8" borderId="9" xfId="0" applyFont="1" applyFill="1" applyBorder="1" applyAlignment="1">
      <alignment horizontal="center" vertical="center" wrapText="1"/>
    </xf>
    <xf numFmtId="0" fontId="1" fillId="0" borderId="9" xfId="4" applyFont="1" applyBorder="1" applyAlignment="1">
      <alignment horizontal="center" vertical="center" wrapText="1"/>
    </xf>
    <xf numFmtId="0" fontId="1" fillId="7" borderId="9" xfId="4" applyFont="1" applyFill="1" applyBorder="1" applyAlignment="1">
      <alignment horizontal="center" vertical="center" wrapText="1"/>
    </xf>
    <xf numFmtId="0" fontId="1" fillId="0" borderId="6" xfId="4" applyFont="1" applyBorder="1" applyAlignment="1" applyProtection="1">
      <alignment horizontal="center" vertical="center"/>
      <protection locked="0"/>
    </xf>
    <xf numFmtId="0" fontId="1" fillId="5" borderId="28" xfId="4" applyFont="1" applyFill="1" applyBorder="1" applyAlignment="1">
      <alignment horizontal="center" vertical="center"/>
    </xf>
    <xf numFmtId="0" fontId="14" fillId="0" borderId="6" xfId="4" applyFont="1" applyBorder="1" applyAlignment="1" applyProtection="1">
      <alignment horizontal="center" vertical="center" wrapText="1"/>
      <protection locked="0"/>
    </xf>
    <xf numFmtId="0" fontId="1" fillId="7" borderId="6" xfId="4" applyFont="1" applyFill="1" applyBorder="1" applyAlignment="1">
      <alignment horizontal="center" vertical="center" wrapText="1"/>
    </xf>
    <xf numFmtId="49" fontId="14" fillId="0" borderId="6" xfId="0" applyNumberFormat="1" applyFont="1" applyBorder="1" applyAlignment="1" applyProtection="1">
      <alignment horizontal="center" vertical="center" wrapText="1"/>
      <protection locked="0"/>
    </xf>
    <xf numFmtId="0" fontId="1" fillId="0" borderId="0" xfId="4" applyFont="1" applyAlignment="1" applyProtection="1">
      <alignment horizontal="center" vertical="center" wrapText="1"/>
      <protection locked="0"/>
    </xf>
    <xf numFmtId="0" fontId="1" fillId="14" borderId="10" xfId="4" applyFont="1" applyFill="1" applyBorder="1" applyAlignment="1">
      <alignment vertical="center" wrapText="1"/>
    </xf>
    <xf numFmtId="0" fontId="14" fillId="0" borderId="6" xfId="0" applyFont="1" applyBorder="1" applyAlignment="1" applyProtection="1">
      <alignment horizontal="center" vertical="center" wrapText="1"/>
      <protection locked="0"/>
    </xf>
    <xf numFmtId="0" fontId="1" fillId="14" borderId="0" xfId="4" applyFont="1" applyFill="1" applyAlignment="1">
      <alignment vertical="center" wrapText="1"/>
    </xf>
    <xf numFmtId="0" fontId="1" fillId="12" borderId="10" xfId="4" applyFont="1" applyFill="1" applyBorder="1" applyAlignment="1">
      <alignment vertical="center" wrapText="1"/>
    </xf>
    <xf numFmtId="0" fontId="1" fillId="2" borderId="0" xfId="4" applyFont="1" applyFill="1" applyAlignment="1">
      <alignment vertical="center"/>
    </xf>
    <xf numFmtId="0" fontId="1" fillId="0" borderId="0" xfId="0" applyFont="1" applyAlignment="1" applyProtection="1">
      <alignment vertical="center"/>
      <protection locked="0"/>
    </xf>
    <xf numFmtId="0" fontId="1" fillId="15" borderId="0" xfId="4" applyFont="1" applyFill="1" applyAlignment="1">
      <alignment vertical="center"/>
    </xf>
    <xf numFmtId="0" fontId="1" fillId="11" borderId="5" xfId="4" applyFont="1" applyFill="1" applyBorder="1" applyAlignment="1">
      <alignment vertical="center" wrapText="1"/>
    </xf>
    <xf numFmtId="0" fontId="1" fillId="11" borderId="0" xfId="4" applyFont="1" applyFill="1" applyAlignment="1">
      <alignment vertical="center"/>
    </xf>
    <xf numFmtId="0" fontId="15" fillId="11" borderId="4" xfId="0" applyFont="1" applyFill="1" applyBorder="1" applyAlignment="1" applyProtection="1">
      <alignment horizontal="center" vertical="center" wrapText="1"/>
      <protection locked="0"/>
    </xf>
    <xf numFmtId="0" fontId="1" fillId="11" borderId="0" xfId="4" applyFont="1" applyFill="1" applyAlignment="1" applyProtection="1">
      <alignment horizontal="center" vertical="center"/>
      <protection locked="0"/>
    </xf>
    <xf numFmtId="0" fontId="1" fillId="11" borderId="6" xfId="4" applyFont="1" applyFill="1" applyBorder="1" applyAlignment="1">
      <alignment vertical="center" wrapText="1"/>
    </xf>
    <xf numFmtId="0" fontId="1" fillId="15" borderId="10" xfId="4" applyFont="1" applyFill="1" applyBorder="1" applyAlignment="1">
      <alignment vertical="center" wrapText="1"/>
    </xf>
    <xf numFmtId="0" fontId="1" fillId="15" borderId="0" xfId="4" applyFont="1" applyFill="1" applyAlignment="1">
      <alignment vertical="center" wrapText="1"/>
    </xf>
    <xf numFmtId="0" fontId="1" fillId="2" borderId="0" xfId="4" applyFont="1" applyFill="1" applyAlignment="1" applyProtection="1">
      <alignment horizontal="center" vertical="center"/>
      <protection locked="0"/>
    </xf>
    <xf numFmtId="9" fontId="1" fillId="0" borderId="6" xfId="2" applyFont="1" applyFill="1" applyBorder="1" applyAlignment="1" applyProtection="1">
      <alignment horizontal="center" vertical="center" wrapText="1"/>
      <protection locked="0"/>
    </xf>
    <xf numFmtId="9" fontId="1" fillId="0" borderId="6" xfId="4" applyNumberFormat="1" applyFont="1" applyBorder="1" applyAlignment="1" applyProtection="1">
      <alignment horizontal="center" vertical="center" wrapText="1"/>
      <protection locked="0"/>
    </xf>
    <xf numFmtId="0" fontId="1" fillId="15" borderId="5" xfId="4" applyFont="1" applyFill="1" applyBorder="1" applyAlignment="1">
      <alignment vertical="center" wrapText="1"/>
    </xf>
    <xf numFmtId="0" fontId="1" fillId="0" borderId="6" xfId="4" applyFont="1" applyBorder="1" applyAlignment="1">
      <alignment vertical="center" wrapText="1"/>
    </xf>
    <xf numFmtId="0" fontId="1" fillId="15" borderId="6" xfId="4" applyFont="1" applyFill="1" applyBorder="1" applyAlignment="1">
      <alignment vertical="center" wrapText="1"/>
    </xf>
    <xf numFmtId="0" fontId="1" fillId="0" borderId="6" xfId="0" applyFont="1" applyBorder="1" applyAlignment="1">
      <alignment vertical="center" wrapText="1"/>
    </xf>
    <xf numFmtId="0" fontId="1" fillId="11" borderId="7" xfId="4" applyFont="1" applyFill="1" applyBorder="1" applyAlignment="1">
      <alignment horizontal="center" vertical="center" wrapText="1"/>
    </xf>
    <xf numFmtId="0" fontId="1" fillId="11" borderId="8" xfId="4" applyFont="1" applyFill="1" applyBorder="1" applyAlignment="1" applyProtection="1">
      <alignment horizontal="center" vertical="center"/>
      <protection locked="0"/>
    </xf>
    <xf numFmtId="0" fontId="1" fillId="11" borderId="4" xfId="4" applyFont="1" applyFill="1" applyBorder="1" applyAlignment="1" applyProtection="1">
      <alignment horizontal="center" vertical="center" wrapText="1"/>
      <protection locked="0"/>
    </xf>
    <xf numFmtId="0" fontId="1" fillId="11" borderId="8" xfId="4" applyFont="1" applyFill="1" applyBorder="1" applyAlignment="1">
      <alignment horizontal="center" vertical="center" wrapText="1"/>
    </xf>
    <xf numFmtId="0" fontId="1" fillId="11" borderId="0" xfId="4" applyFont="1" applyFill="1" applyAlignment="1">
      <alignment horizontal="center" vertical="center"/>
    </xf>
    <xf numFmtId="0" fontId="1" fillId="11" borderId="5" xfId="4" applyFont="1" applyFill="1" applyBorder="1" applyAlignment="1">
      <alignment horizontal="center" vertical="center" wrapText="1"/>
    </xf>
    <xf numFmtId="0" fontId="1" fillId="11" borderId="6" xfId="4" applyFont="1" applyFill="1" applyBorder="1" applyAlignment="1" applyProtection="1">
      <alignment horizontal="center" vertical="center" wrapText="1"/>
      <protection locked="0"/>
    </xf>
    <xf numFmtId="0" fontId="1" fillId="11" borderId="6" xfId="4" applyFont="1" applyFill="1" applyBorder="1" applyAlignment="1">
      <alignment horizontal="center" vertical="center" wrapText="1"/>
    </xf>
    <xf numFmtId="0" fontId="1" fillId="11" borderId="6" xfId="0" applyFont="1" applyFill="1" applyBorder="1" applyAlignment="1" applyProtection="1">
      <alignment horizontal="center" vertical="center" wrapText="1"/>
      <protection locked="0"/>
    </xf>
    <xf numFmtId="0" fontId="15" fillId="11" borderId="30" xfId="0" applyFont="1" applyFill="1" applyBorder="1" applyAlignment="1" applyProtection="1">
      <alignment horizontal="center" vertical="center" wrapText="1"/>
      <protection locked="0"/>
    </xf>
    <xf numFmtId="0" fontId="1" fillId="5" borderId="7" xfId="4" applyFont="1" applyFill="1" applyBorder="1" applyAlignment="1">
      <alignment horizontal="center" vertical="center"/>
    </xf>
    <xf numFmtId="0" fontId="1" fillId="7" borderId="10" xfId="4" applyFont="1" applyFill="1" applyBorder="1" applyAlignment="1">
      <alignment horizontal="left" vertical="center" wrapText="1"/>
    </xf>
    <xf numFmtId="0" fontId="1" fillId="0" borderId="0" xfId="4" applyFont="1" applyAlignment="1" applyProtection="1">
      <alignment vertical="center"/>
      <protection locked="0"/>
    </xf>
    <xf numFmtId="0" fontId="1" fillId="7" borderId="0" xfId="4" applyFont="1" applyFill="1" applyAlignment="1">
      <alignment horizontal="left" vertical="center" wrapText="1"/>
    </xf>
    <xf numFmtId="0" fontId="1" fillId="5" borderId="10" xfId="4" applyFont="1" applyFill="1" applyBorder="1" applyAlignment="1">
      <alignment horizontal="left" vertical="center" wrapText="1"/>
    </xf>
    <xf numFmtId="0" fontId="1" fillId="0" borderId="9" xfId="4" applyFont="1" applyBorder="1" applyAlignment="1" applyProtection="1">
      <alignment horizontal="center" vertical="center" wrapText="1"/>
      <protection locked="0"/>
    </xf>
    <xf numFmtId="0" fontId="1" fillId="0" borderId="9" xfId="0" applyFont="1" applyBorder="1" applyAlignment="1">
      <alignment horizontal="center" vertical="center"/>
    </xf>
    <xf numFmtId="0" fontId="1" fillId="11" borderId="6" xfId="4" applyFont="1" applyFill="1" applyBorder="1" applyAlignment="1" applyProtection="1">
      <alignment horizontal="center" vertical="center"/>
      <protection locked="0"/>
    </xf>
    <xf numFmtId="0" fontId="1" fillId="11" borderId="15" xfId="0" applyFont="1" applyFill="1" applyBorder="1" applyAlignment="1" applyProtection="1">
      <alignment horizontal="center" vertical="center" wrapText="1"/>
      <protection locked="0"/>
    </xf>
    <xf numFmtId="0" fontId="1" fillId="15" borderId="22" xfId="4" applyFont="1" applyFill="1" applyBorder="1" applyAlignment="1">
      <alignment vertical="center" wrapText="1"/>
    </xf>
    <xf numFmtId="0" fontId="1" fillId="2" borderId="31" xfId="4" applyFont="1" applyFill="1" applyBorder="1" applyAlignment="1" applyProtection="1">
      <alignment vertical="center" wrapText="1"/>
      <protection locked="0"/>
    </xf>
    <xf numFmtId="0" fontId="1" fillId="2" borderId="4" xfId="4" applyFont="1" applyFill="1" applyBorder="1" applyAlignment="1" applyProtection="1">
      <alignment vertical="center" wrapText="1"/>
      <protection locked="0"/>
    </xf>
    <xf numFmtId="0" fontId="1" fillId="2" borderId="20" xfId="4" applyFont="1" applyFill="1" applyBorder="1" applyAlignment="1" applyProtection="1">
      <alignment vertical="center" wrapText="1"/>
      <protection locked="0"/>
    </xf>
    <xf numFmtId="0" fontId="1" fillId="16" borderId="12" xfId="4" applyFont="1" applyFill="1" applyBorder="1" applyAlignment="1" applyProtection="1">
      <alignment vertical="center" wrapText="1"/>
      <protection locked="0"/>
    </xf>
    <xf numFmtId="0" fontId="1" fillId="16" borderId="0" xfId="4" applyFont="1" applyFill="1" applyAlignment="1" applyProtection="1">
      <alignment vertical="center" wrapText="1"/>
      <protection locked="0"/>
    </xf>
    <xf numFmtId="0" fontId="1" fillId="16" borderId="22" xfId="4" applyFont="1" applyFill="1" applyBorder="1" applyAlignment="1" applyProtection="1">
      <alignment vertical="center" wrapText="1"/>
      <protection locked="0"/>
    </xf>
    <xf numFmtId="0" fontId="1" fillId="11" borderId="9" xfId="4" applyFont="1" applyFill="1" applyBorder="1" applyAlignment="1" applyProtection="1">
      <alignment vertical="center" wrapText="1"/>
      <protection locked="0"/>
    </xf>
    <xf numFmtId="0" fontId="1" fillId="11" borderId="6" xfId="4" applyFont="1" applyFill="1" applyBorder="1" applyAlignment="1" applyProtection="1">
      <alignment vertical="center" wrapText="1"/>
      <protection locked="0"/>
    </xf>
    <xf numFmtId="9" fontId="1" fillId="11" borderId="15" xfId="4" applyNumberFormat="1" applyFont="1" applyFill="1" applyBorder="1" applyAlignment="1" applyProtection="1">
      <alignment vertical="center" wrapText="1"/>
      <protection locked="0"/>
    </xf>
    <xf numFmtId="0" fontId="1" fillId="11" borderId="20" xfId="4" applyFont="1" applyFill="1" applyBorder="1" applyAlignment="1" applyProtection="1">
      <alignment horizontal="center" vertical="center" wrapText="1"/>
      <protection locked="0"/>
    </xf>
    <xf numFmtId="0" fontId="1" fillId="11" borderId="4" xfId="4" applyFont="1" applyFill="1" applyBorder="1" applyAlignment="1">
      <alignment horizontal="center" vertical="center" wrapText="1"/>
    </xf>
    <xf numFmtId="0" fontId="15" fillId="11" borderId="32" xfId="0" applyFont="1" applyFill="1" applyBorder="1" applyAlignment="1" applyProtection="1">
      <alignment horizontal="center" vertical="center" wrapText="1"/>
      <protection locked="0"/>
    </xf>
    <xf numFmtId="0" fontId="1" fillId="5" borderId="5" xfId="4" applyFont="1" applyFill="1" applyBorder="1" applyAlignment="1">
      <alignment horizontal="left" vertical="center" wrapText="1"/>
    </xf>
    <xf numFmtId="0" fontId="1" fillId="0" borderId="6" xfId="4" applyFont="1" applyBorder="1" applyAlignment="1">
      <alignment horizontal="left" vertical="center"/>
    </xf>
    <xf numFmtId="0" fontId="1" fillId="0" borderId="6" xfId="4" applyFont="1" applyBorder="1" applyAlignment="1" applyProtection="1">
      <alignment vertical="center"/>
      <protection locked="0"/>
    </xf>
    <xf numFmtId="0" fontId="1" fillId="5" borderId="6" xfId="4" applyFont="1" applyFill="1" applyBorder="1" applyAlignment="1">
      <alignment horizontal="left" vertical="center" wrapText="1"/>
    </xf>
    <xf numFmtId="0" fontId="1" fillId="0" borderId="8" xfId="4" applyFont="1" applyBorder="1" applyAlignment="1">
      <alignment horizontal="right" vertical="center"/>
    </xf>
    <xf numFmtId="0" fontId="1" fillId="5" borderId="8" xfId="4" applyFont="1" applyFill="1" applyBorder="1" applyAlignment="1">
      <alignment horizontal="right" vertical="center" wrapText="1"/>
    </xf>
    <xf numFmtId="2" fontId="1" fillId="7" borderId="0" xfId="4" applyNumberFormat="1" applyFont="1" applyFill="1" applyAlignment="1">
      <alignment horizontal="center" vertical="center"/>
    </xf>
    <xf numFmtId="2" fontId="1" fillId="0" borderId="0" xfId="4" applyNumberFormat="1" applyFont="1" applyAlignment="1">
      <alignment vertical="center"/>
    </xf>
    <xf numFmtId="2" fontId="1" fillId="0" borderId="6" xfId="4" applyNumberFormat="1" applyFont="1" applyBorder="1" applyAlignment="1" applyProtection="1">
      <alignment vertical="center" wrapText="1"/>
      <protection locked="0"/>
    </xf>
    <xf numFmtId="165" fontId="1" fillId="0" borderId="6" xfId="1" applyNumberFormat="1" applyFont="1" applyBorder="1" applyAlignment="1" applyProtection="1">
      <alignment horizontal="center" vertical="center" wrapText="1"/>
      <protection locked="0"/>
    </xf>
    <xf numFmtId="2" fontId="1" fillId="5" borderId="0" xfId="4" applyNumberFormat="1" applyFont="1" applyFill="1" applyAlignment="1">
      <alignment horizontal="center" vertical="center"/>
    </xf>
    <xf numFmtId="165" fontId="1" fillId="6" borderId="6" xfId="1" applyNumberFormat="1" applyFont="1" applyFill="1" applyBorder="1" applyAlignment="1" applyProtection="1">
      <alignment horizontal="center" vertical="center" wrapText="1"/>
      <protection locked="0"/>
    </xf>
    <xf numFmtId="2" fontId="1" fillId="0" borderId="6" xfId="4" applyNumberFormat="1" applyFont="1" applyBorder="1" applyAlignment="1">
      <alignment vertical="center"/>
    </xf>
    <xf numFmtId="0" fontId="1" fillId="5" borderId="9" xfId="4" applyFont="1" applyFill="1" applyBorder="1" applyAlignment="1">
      <alignment vertical="center" wrapText="1"/>
    </xf>
    <xf numFmtId="0" fontId="1" fillId="0" borderId="9" xfId="4" applyFont="1" applyBorder="1" applyAlignment="1">
      <alignment vertical="center"/>
    </xf>
    <xf numFmtId="0" fontId="1" fillId="0" borderId="9" xfId="4" applyFont="1" applyBorder="1" applyAlignment="1">
      <alignment horizontal="right" vertical="center"/>
    </xf>
    <xf numFmtId="0" fontId="1" fillId="5" borderId="9" xfId="4" applyFont="1" applyFill="1" applyBorder="1" applyAlignment="1">
      <alignment horizontal="right" vertical="center" wrapText="1"/>
    </xf>
    <xf numFmtId="0" fontId="1" fillId="0" borderId="9" xfId="0" applyFont="1" applyBorder="1" applyAlignment="1">
      <alignment vertical="center"/>
    </xf>
    <xf numFmtId="0" fontId="1" fillId="7" borderId="9" xfId="4" applyFont="1" applyFill="1" applyBorder="1" applyAlignment="1">
      <alignment vertical="center" wrapText="1"/>
    </xf>
    <xf numFmtId="2" fontId="1" fillId="7" borderId="9" xfId="4" applyNumberFormat="1" applyFont="1" applyFill="1" applyBorder="1" applyAlignment="1">
      <alignment horizontal="center" vertical="center"/>
    </xf>
    <xf numFmtId="2" fontId="1" fillId="0" borderId="9" xfId="4" applyNumberFormat="1" applyFont="1" applyBorder="1" applyAlignment="1">
      <alignment vertical="center"/>
    </xf>
    <xf numFmtId="2" fontId="1" fillId="0" borderId="9" xfId="4" applyNumberFormat="1" applyFont="1" applyBorder="1" applyAlignment="1" applyProtection="1">
      <alignment vertical="center" wrapText="1"/>
      <protection locked="0"/>
    </xf>
    <xf numFmtId="165" fontId="1" fillId="0" borderId="9" xfId="1" applyNumberFormat="1" applyFont="1" applyBorder="1" applyAlignment="1" applyProtection="1">
      <alignment horizontal="center" vertical="center" wrapText="1"/>
      <protection locked="0"/>
    </xf>
    <xf numFmtId="2" fontId="1" fillId="5" borderId="9" xfId="4" applyNumberFormat="1" applyFont="1" applyFill="1" applyBorder="1" applyAlignment="1">
      <alignment horizontal="center" vertical="center"/>
    </xf>
    <xf numFmtId="165" fontId="1" fillId="6" borderId="9" xfId="1" applyNumberFormat="1" applyFont="1" applyFill="1" applyBorder="1" applyAlignment="1" applyProtection="1">
      <alignment horizontal="center" vertical="center" wrapText="1"/>
      <protection locked="0"/>
    </xf>
    <xf numFmtId="0" fontId="1" fillId="18" borderId="9" xfId="4" applyFont="1" applyFill="1" applyBorder="1" applyAlignment="1">
      <alignment horizontal="left" vertical="top" wrapText="1"/>
    </xf>
    <xf numFmtId="0" fontId="1" fillId="0" borderId="9" xfId="4" applyFont="1" applyBorder="1" applyAlignment="1">
      <alignment horizontal="right" wrapText="1"/>
    </xf>
    <xf numFmtId="0" fontId="1" fillId="0" borderId="4" xfId="4" applyFont="1" applyBorder="1" applyAlignment="1">
      <alignment horizontal="center" vertical="center"/>
    </xf>
    <xf numFmtId="0" fontId="1" fillId="5" borderId="4" xfId="4" applyFont="1" applyFill="1" applyBorder="1" applyAlignment="1">
      <alignment horizontal="center" vertical="center"/>
    </xf>
    <xf numFmtId="0" fontId="1" fillId="7" borderId="9" xfId="4" applyFont="1" applyFill="1" applyBorder="1" applyAlignment="1">
      <alignment horizontal="center" vertical="center"/>
    </xf>
    <xf numFmtId="0" fontId="1" fillId="5" borderId="7" xfId="0" applyFont="1" applyFill="1" applyBorder="1" applyAlignment="1">
      <alignment vertical="center" wrapText="1"/>
    </xf>
    <xf numFmtId="0" fontId="1" fillId="7" borderId="5" xfId="0" applyFont="1" applyFill="1" applyBorder="1" applyAlignment="1">
      <alignment vertical="center" wrapText="1"/>
    </xf>
    <xf numFmtId="2" fontId="1" fillId="7" borderId="6" xfId="4" applyNumberFormat="1" applyFont="1" applyFill="1" applyBorder="1" applyAlignment="1">
      <alignment horizontal="right" vertical="center"/>
    </xf>
    <xf numFmtId="0" fontId="1" fillId="0" borderId="6" xfId="0" applyFont="1" applyBorder="1" applyAlignment="1">
      <alignment horizontal="right" vertical="center"/>
    </xf>
    <xf numFmtId="2" fontId="1" fillId="0" borderId="6" xfId="4" applyNumberFormat="1" applyFont="1" applyBorder="1" applyAlignment="1" applyProtection="1">
      <alignment horizontal="right" vertical="center" wrapText="1"/>
      <protection locked="0"/>
    </xf>
    <xf numFmtId="2" fontId="1" fillId="0" borderId="6" xfId="4" applyNumberFormat="1" applyFont="1" applyBorder="1" applyAlignment="1">
      <alignment horizontal="right" vertical="center"/>
    </xf>
    <xf numFmtId="0" fontId="1" fillId="7" borderId="10" xfId="4" applyFont="1" applyFill="1" applyBorder="1" applyAlignment="1">
      <alignment horizontal="center" vertical="center" wrapText="1"/>
    </xf>
    <xf numFmtId="0" fontId="1" fillId="5" borderId="8" xfId="4" applyFont="1" applyFill="1" applyBorder="1" applyAlignment="1">
      <alignment horizontal="right" vertical="center"/>
    </xf>
    <xf numFmtId="165" fontId="1" fillId="7" borderId="0" xfId="1" applyNumberFormat="1" applyFont="1" applyFill="1" applyBorder="1" applyAlignment="1" applyProtection="1">
      <alignment vertical="center"/>
    </xf>
    <xf numFmtId="164" fontId="1" fillId="0" borderId="0" xfId="1" applyFont="1" applyFill="1" applyBorder="1" applyAlignment="1" applyProtection="1">
      <alignment horizontal="right" vertical="center"/>
    </xf>
    <xf numFmtId="0" fontId="1" fillId="7" borderId="22" xfId="4" applyFont="1" applyFill="1" applyBorder="1" applyAlignment="1">
      <alignment horizontal="center" vertical="center" wrapText="1"/>
    </xf>
    <xf numFmtId="2" fontId="18" fillId="0" borderId="0" xfId="4" applyNumberFormat="1" applyFont="1" applyAlignment="1">
      <alignment horizontal="center" vertical="center"/>
    </xf>
    <xf numFmtId="165" fontId="1" fillId="19" borderId="0" xfId="1" applyNumberFormat="1" applyFont="1" applyFill="1" applyBorder="1" applyAlignment="1" applyProtection="1">
      <alignment horizontal="right" vertical="center"/>
    </xf>
    <xf numFmtId="0" fontId="1" fillId="5" borderId="22" xfId="4" applyFont="1" applyFill="1" applyBorder="1" applyAlignment="1">
      <alignment horizontal="center" vertical="center" wrapText="1"/>
    </xf>
    <xf numFmtId="2" fontId="19" fillId="0" borderId="0" xfId="4" applyNumberFormat="1" applyFont="1" applyAlignment="1">
      <alignment horizontal="right" vertical="center"/>
    </xf>
    <xf numFmtId="2" fontId="19" fillId="0" borderId="0" xfId="4" applyNumberFormat="1" applyFont="1" applyAlignment="1">
      <alignment vertical="center"/>
    </xf>
    <xf numFmtId="165" fontId="20" fillId="7" borderId="6" xfId="1" applyNumberFormat="1" applyFont="1" applyFill="1" applyBorder="1" applyAlignment="1" applyProtection="1">
      <alignment vertical="center"/>
    </xf>
    <xf numFmtId="0" fontId="1" fillId="5" borderId="9" xfId="4" applyFont="1" applyFill="1" applyBorder="1" applyAlignment="1">
      <alignment horizontal="right" vertical="center"/>
    </xf>
    <xf numFmtId="0" fontId="1" fillId="0" borderId="9" xfId="4" applyFont="1" applyBorder="1" applyAlignment="1">
      <alignment horizontal="center" vertical="center"/>
    </xf>
    <xf numFmtId="0" fontId="1" fillId="5" borderId="9" xfId="4" applyFont="1" applyFill="1" applyBorder="1" applyAlignment="1">
      <alignment horizontal="center" vertical="center" wrapText="1"/>
    </xf>
    <xf numFmtId="165" fontId="1" fillId="7" borderId="9" xfId="1" applyNumberFormat="1" applyFont="1" applyFill="1" applyBorder="1" applyAlignment="1" applyProtection="1">
      <alignment vertical="center"/>
    </xf>
    <xf numFmtId="164" fontId="1" fillId="0" borderId="9" xfId="1" applyFont="1" applyFill="1" applyBorder="1" applyAlignment="1" applyProtection="1">
      <alignment horizontal="right" vertical="center"/>
    </xf>
    <xf numFmtId="165" fontId="1" fillId="19" borderId="9" xfId="1" applyNumberFormat="1" applyFont="1" applyFill="1" applyBorder="1" applyAlignment="1" applyProtection="1">
      <alignment horizontal="right" vertical="center"/>
    </xf>
    <xf numFmtId="165" fontId="20" fillId="7" borderId="9" xfId="1" applyNumberFormat="1" applyFont="1" applyFill="1" applyBorder="1" applyAlignment="1" applyProtection="1">
      <alignment vertical="center"/>
    </xf>
    <xf numFmtId="0" fontId="1" fillId="7" borderId="23" xfId="4" applyFont="1" applyFill="1" applyBorder="1" applyAlignment="1">
      <alignment horizontal="center" vertical="center" wrapText="1"/>
    </xf>
    <xf numFmtId="2" fontId="1" fillId="0" borderId="8" xfId="4" applyNumberFormat="1" applyFont="1" applyBorder="1" applyAlignment="1">
      <alignment horizontal="center" vertical="center"/>
    </xf>
    <xf numFmtId="2" fontId="1" fillId="0" borderId="6" xfId="4" applyNumberFormat="1" applyFont="1" applyBorder="1" applyAlignment="1">
      <alignment horizontal="center" vertical="center"/>
    </xf>
    <xf numFmtId="2" fontId="1" fillId="7" borderId="15" xfId="4" applyNumberFormat="1" applyFont="1" applyFill="1" applyBorder="1" applyAlignment="1">
      <alignment horizontal="center" vertical="center" wrapText="1"/>
    </xf>
    <xf numFmtId="165" fontId="1" fillId="0" borderId="0" xfId="3" applyNumberFormat="1" applyFont="1" applyAlignment="1" applyProtection="1">
      <alignment horizontal="center" vertical="center"/>
      <protection locked="0"/>
    </xf>
    <xf numFmtId="165" fontId="1" fillId="0" borderId="15" xfId="3" applyNumberFormat="1" applyFont="1" applyBorder="1" applyAlignment="1" applyProtection="1">
      <alignment horizontal="center" vertical="center" wrapText="1"/>
      <protection locked="0"/>
    </xf>
    <xf numFmtId="0" fontId="1" fillId="7" borderId="6" xfId="4" applyFont="1" applyFill="1" applyBorder="1" applyAlignment="1">
      <alignment horizontal="center" vertical="center"/>
    </xf>
    <xf numFmtId="0" fontId="1" fillId="5" borderId="8" xfId="4" applyFont="1" applyFill="1" applyBorder="1" applyAlignment="1">
      <alignment horizontal="left" vertical="center" wrapText="1"/>
    </xf>
    <xf numFmtId="165" fontId="1" fillId="5" borderId="8" xfId="1" applyNumberFormat="1" applyFont="1" applyFill="1" applyBorder="1" applyAlignment="1" applyProtection="1">
      <alignment horizontal="center" vertical="center"/>
    </xf>
    <xf numFmtId="0" fontId="1" fillId="7" borderId="10" xfId="4" applyFont="1" applyFill="1" applyBorder="1" applyAlignment="1">
      <alignment horizontal="center" vertical="center"/>
    </xf>
    <xf numFmtId="165" fontId="1" fillId="5" borderId="0" xfId="1" applyNumberFormat="1" applyFont="1" applyFill="1" applyBorder="1" applyAlignment="1" applyProtection="1">
      <alignment horizontal="center" vertical="center"/>
    </xf>
    <xf numFmtId="0" fontId="1" fillId="5" borderId="10" xfId="4" applyFont="1" applyFill="1" applyBorder="1" applyAlignment="1">
      <alignment horizontal="center" vertical="center"/>
    </xf>
    <xf numFmtId="0" fontId="1" fillId="5" borderId="0" xfId="4" applyFont="1" applyFill="1" applyAlignment="1">
      <alignment horizontal="center" vertical="center"/>
    </xf>
    <xf numFmtId="165" fontId="1" fillId="5" borderId="0" xfId="4" applyNumberFormat="1" applyFont="1" applyFill="1" applyAlignment="1">
      <alignment horizontal="center" vertical="center"/>
    </xf>
    <xf numFmtId="2" fontId="1" fillId="0" borderId="0" xfId="4" applyNumberFormat="1" applyFont="1" applyAlignment="1">
      <alignment horizontal="center" vertical="center"/>
    </xf>
    <xf numFmtId="2" fontId="1" fillId="5" borderId="3" xfId="4" applyNumberFormat="1" applyFont="1" applyFill="1" applyBorder="1" applyAlignment="1">
      <alignment horizontal="center" vertical="center" wrapText="1"/>
    </xf>
    <xf numFmtId="165" fontId="1" fillId="0" borderId="4" xfId="1" applyNumberFormat="1" applyFont="1" applyBorder="1" applyAlignment="1" applyProtection="1">
      <alignment horizontal="center" vertical="center"/>
      <protection locked="0"/>
    </xf>
    <xf numFmtId="0" fontId="1" fillId="5" borderId="4" xfId="4" applyFont="1" applyFill="1" applyBorder="1" applyAlignment="1">
      <alignment horizontal="center" vertical="center" wrapText="1"/>
    </xf>
    <xf numFmtId="0" fontId="14" fillId="0" borderId="4" xfId="0" applyFont="1" applyBorder="1" applyAlignment="1" applyProtection="1">
      <alignment horizontal="center" vertical="center"/>
      <protection locked="0"/>
    </xf>
    <xf numFmtId="0" fontId="1" fillId="7" borderId="0" xfId="4" applyFont="1" applyFill="1" applyAlignment="1">
      <alignment horizontal="center" vertical="center"/>
    </xf>
    <xf numFmtId="0" fontId="1" fillId="7" borderId="5" xfId="4" applyFont="1" applyFill="1" applyBorder="1" applyAlignment="1">
      <alignment horizontal="center" vertical="center" wrapText="1"/>
    </xf>
    <xf numFmtId="0" fontId="17" fillId="5" borderId="7" xfId="4" applyFont="1" applyFill="1" applyBorder="1" applyAlignment="1">
      <alignment vertical="center"/>
    </xf>
    <xf numFmtId="0" fontId="13" fillId="0" borderId="8" xfId="4" applyFont="1" applyBorder="1" applyAlignment="1">
      <alignment horizontal="center" vertical="center"/>
    </xf>
    <xf numFmtId="0" fontId="1" fillId="0" borderId="4" xfId="4" applyFont="1" applyBorder="1" applyAlignment="1" applyProtection="1">
      <alignment horizontal="center" vertical="center"/>
      <protection locked="0"/>
    </xf>
    <xf numFmtId="0" fontId="20" fillId="7" borderId="10" xfId="4" applyFont="1" applyFill="1" applyBorder="1" applyAlignment="1">
      <alignment horizontal="center" vertical="center"/>
    </xf>
    <xf numFmtId="0" fontId="17" fillId="7" borderId="0" xfId="4" applyFont="1" applyFill="1" applyAlignment="1">
      <alignment horizontal="center" vertical="center" wrapText="1"/>
    </xf>
    <xf numFmtId="0" fontId="17" fillId="7" borderId="0" xfId="4" applyFont="1" applyFill="1" applyAlignment="1">
      <alignment horizontal="center" vertical="center"/>
    </xf>
    <xf numFmtId="10" fontId="1" fillId="5" borderId="0" xfId="4" applyNumberFormat="1" applyFont="1" applyFill="1" applyAlignment="1">
      <alignment horizontal="center" vertical="center"/>
    </xf>
    <xf numFmtId="10" fontId="1" fillId="0" borderId="0" xfId="4" applyNumberFormat="1" applyFont="1" applyAlignment="1" applyProtection="1">
      <alignment horizontal="center" vertical="center"/>
      <protection locked="0"/>
    </xf>
    <xf numFmtId="0" fontId="1" fillId="0" borderId="10" xfId="4" applyFont="1" applyBorder="1" applyAlignment="1">
      <alignment horizontal="center" vertical="center"/>
    </xf>
    <xf numFmtId="10" fontId="1" fillId="0" borderId="0" xfId="4" applyNumberFormat="1" applyFont="1" applyAlignment="1">
      <alignment horizontal="center" vertical="center"/>
    </xf>
    <xf numFmtId="0" fontId="1" fillId="7" borderId="0" xfId="4" applyFont="1" applyFill="1" applyAlignment="1">
      <alignment horizontal="center" vertical="center" wrapText="1"/>
    </xf>
    <xf numFmtId="10" fontId="1" fillId="7" borderId="0" xfId="4" applyNumberFormat="1" applyFont="1" applyFill="1" applyAlignment="1">
      <alignment horizontal="center" vertical="center"/>
    </xf>
    <xf numFmtId="10" fontId="1" fillId="0" borderId="0" xfId="4" applyNumberFormat="1" applyFont="1" applyAlignment="1">
      <alignment horizontal="center" vertical="center" wrapText="1"/>
    </xf>
    <xf numFmtId="165" fontId="1" fillId="0" borderId="6" xfId="3" applyNumberFormat="1" applyFont="1" applyBorder="1" applyAlignment="1">
      <alignment vertical="center"/>
    </xf>
    <xf numFmtId="165" fontId="1" fillId="7" borderId="15" xfId="3" applyNumberFormat="1" applyFont="1" applyFill="1" applyBorder="1" applyAlignment="1">
      <alignment horizontal="center" vertical="center" wrapText="1"/>
    </xf>
    <xf numFmtId="2" fontId="1" fillId="5" borderId="8" xfId="4" applyNumberFormat="1" applyFont="1" applyFill="1" applyBorder="1" applyAlignment="1">
      <alignment horizontal="center" vertical="center" wrapText="1"/>
    </xf>
    <xf numFmtId="2" fontId="1" fillId="5" borderId="21" xfId="4" applyNumberFormat="1" applyFont="1" applyFill="1" applyBorder="1" applyAlignment="1">
      <alignment horizontal="center" vertical="center" wrapText="1"/>
    </xf>
    <xf numFmtId="2" fontId="1" fillId="7" borderId="0" xfId="4" applyNumberFormat="1" applyFont="1" applyFill="1" applyAlignment="1">
      <alignment horizontal="center" vertical="center" wrapText="1"/>
    </xf>
    <xf numFmtId="2" fontId="1" fillId="7" borderId="22" xfId="4" applyNumberFormat="1" applyFont="1" applyFill="1" applyBorder="1" applyAlignment="1">
      <alignment horizontal="center" vertical="center" wrapText="1"/>
    </xf>
    <xf numFmtId="165" fontId="1" fillId="5" borderId="0" xfId="3" applyNumberFormat="1" applyFont="1" applyFill="1" applyAlignment="1">
      <alignment horizontal="center" vertical="center" wrapText="1"/>
    </xf>
    <xf numFmtId="165" fontId="1" fillId="0" borderId="0" xfId="3" applyNumberFormat="1" applyFont="1" applyAlignment="1">
      <alignment horizontal="center" vertical="center"/>
    </xf>
    <xf numFmtId="165" fontId="1" fillId="5" borderId="22" xfId="3" applyNumberFormat="1" applyFont="1" applyFill="1" applyBorder="1" applyAlignment="1">
      <alignment horizontal="center" vertical="center" wrapText="1"/>
    </xf>
    <xf numFmtId="165" fontId="1" fillId="0" borderId="15" xfId="1" applyNumberFormat="1" applyFont="1" applyFill="1" applyBorder="1" applyAlignment="1" applyProtection="1">
      <alignment vertical="center"/>
      <protection locked="0"/>
    </xf>
    <xf numFmtId="0" fontId="1" fillId="0" borderId="4" xfId="4" applyFont="1" applyBorder="1" applyAlignment="1" applyProtection="1">
      <alignment vertical="center" wrapText="1"/>
      <protection locked="0"/>
    </xf>
    <xf numFmtId="0" fontId="1" fillId="0" borderId="20" xfId="4" applyFont="1" applyBorder="1" applyAlignment="1" applyProtection="1">
      <alignment vertical="center" wrapText="1"/>
      <protection locked="0"/>
    </xf>
    <xf numFmtId="0" fontId="1" fillId="0" borderId="22" xfId="4" applyFont="1" applyBorder="1" applyAlignment="1" applyProtection="1">
      <alignment horizontal="center" vertical="center" wrapText="1"/>
      <protection locked="0"/>
    </xf>
    <xf numFmtId="0" fontId="20" fillId="7" borderId="22" xfId="4" applyFont="1" applyFill="1" applyBorder="1" applyAlignment="1">
      <alignment vertical="center" wrapText="1"/>
    </xf>
    <xf numFmtId="10" fontId="1" fillId="5" borderId="0" xfId="4" applyNumberFormat="1" applyFont="1" applyFill="1" applyAlignment="1" applyProtection="1">
      <alignment horizontal="center" vertical="center"/>
      <protection locked="0"/>
    </xf>
    <xf numFmtId="10" fontId="1" fillId="0" borderId="15" xfId="4" applyNumberFormat="1" applyFont="1" applyBorder="1" applyAlignment="1" applyProtection="1">
      <alignment horizontal="center" vertical="center" wrapText="1"/>
      <protection locked="0"/>
    </xf>
    <xf numFmtId="0" fontId="1" fillId="0" borderId="22" xfId="4" applyFont="1" applyBorder="1" applyAlignment="1" applyProtection="1">
      <alignment vertical="center" wrapText="1"/>
      <protection locked="0"/>
    </xf>
    <xf numFmtId="0" fontId="1" fillId="0" borderId="34" xfId="4" applyFont="1" applyBorder="1" applyAlignment="1" applyProtection="1">
      <alignment vertical="center" wrapText="1"/>
      <protection locked="0"/>
    </xf>
    <xf numFmtId="0" fontId="1" fillId="0" borderId="35" xfId="4" applyFont="1" applyBorder="1" applyAlignment="1" applyProtection="1">
      <alignment vertical="center" wrapText="1"/>
      <protection locked="0"/>
    </xf>
    <xf numFmtId="0" fontId="1" fillId="0" borderId="0" xfId="4" applyFont="1" applyAlignment="1">
      <alignment horizontal="left" vertical="center" wrapText="1"/>
    </xf>
    <xf numFmtId="10" fontId="17" fillId="7" borderId="6" xfId="4" applyNumberFormat="1" applyFont="1" applyFill="1" applyBorder="1" applyAlignment="1">
      <alignment horizontal="center" vertical="center"/>
    </xf>
    <xf numFmtId="10" fontId="1" fillId="0" borderId="6" xfId="4" applyNumberFormat="1" applyFont="1" applyBorder="1" applyAlignment="1">
      <alignment horizontal="center" vertical="center"/>
    </xf>
    <xf numFmtId="0" fontId="1" fillId="0" borderId="6" xfId="4" applyFont="1" applyBorder="1" applyAlignment="1" applyProtection="1">
      <alignment horizontal="left" vertical="center" wrapText="1"/>
      <protection locked="0"/>
    </xf>
    <xf numFmtId="0" fontId="3" fillId="0" borderId="8" xfId="4" applyFont="1" applyBorder="1" applyAlignment="1">
      <alignment horizontal="center" vertical="center"/>
    </xf>
    <xf numFmtId="0" fontId="3" fillId="0" borderId="0" xfId="4" applyFont="1" applyAlignment="1">
      <alignment horizontal="center" vertical="center"/>
    </xf>
    <xf numFmtId="0" fontId="3" fillId="0" borderId="6" xfId="4" applyFont="1" applyBorder="1" applyAlignment="1">
      <alignment horizontal="center" vertical="center"/>
    </xf>
    <xf numFmtId="0" fontId="14" fillId="5" borderId="7" xfId="4" applyFont="1" applyFill="1" applyBorder="1" applyAlignment="1">
      <alignment horizontal="center" vertical="center" wrapText="1"/>
    </xf>
    <xf numFmtId="0" fontId="14" fillId="0" borderId="8" xfId="4" applyFont="1" applyBorder="1" applyAlignment="1">
      <alignment horizontal="center" vertical="center"/>
    </xf>
    <xf numFmtId="0" fontId="14" fillId="0" borderId="8" xfId="4" applyFont="1" applyBorder="1" applyAlignment="1" applyProtection="1">
      <alignment horizontal="center" vertical="center"/>
      <protection locked="0"/>
    </xf>
    <xf numFmtId="0" fontId="20" fillId="7" borderId="22" xfId="4" applyFont="1" applyFill="1" applyBorder="1" applyAlignment="1">
      <alignment horizontal="center" vertical="center" wrapText="1"/>
    </xf>
    <xf numFmtId="10" fontId="23" fillId="7" borderId="6" xfId="4" applyNumberFormat="1" applyFont="1" applyFill="1" applyBorder="1" applyAlignment="1">
      <alignment horizontal="center" vertical="center"/>
    </xf>
    <xf numFmtId="0" fontId="14" fillId="0" borderId="6" xfId="4" applyFont="1" applyBorder="1" applyAlignment="1">
      <alignment vertical="center"/>
    </xf>
    <xf numFmtId="0" fontId="3" fillId="0" borderId="15" xfId="4" applyFont="1" applyBorder="1" applyAlignment="1" applyProtection="1">
      <alignment horizontal="center" vertical="center" wrapText="1"/>
      <protection locked="0"/>
    </xf>
    <xf numFmtId="0" fontId="1" fillId="0" borderId="36" xfId="4" applyFont="1" applyBorder="1" applyAlignment="1" applyProtection="1">
      <alignment horizontal="center" vertical="center" wrapText="1"/>
      <protection locked="0"/>
    </xf>
    <xf numFmtId="0" fontId="14" fillId="0" borderId="15" xfId="4" applyFont="1" applyBorder="1" applyAlignment="1" applyProtection="1">
      <alignment horizontal="center" vertical="center" wrapText="1"/>
      <protection locked="0"/>
    </xf>
    <xf numFmtId="0" fontId="14" fillId="5" borderId="8" xfId="4" applyFont="1" applyFill="1" applyBorder="1" applyAlignment="1">
      <alignment horizontal="center" vertical="center" wrapText="1"/>
    </xf>
    <xf numFmtId="0" fontId="14" fillId="0" borderId="8" xfId="4" applyFont="1" applyBorder="1" applyAlignment="1">
      <alignment horizontal="left" vertical="center"/>
    </xf>
    <xf numFmtId="0" fontId="14" fillId="5" borderId="21" xfId="4" applyFont="1" applyFill="1" applyBorder="1" applyAlignment="1">
      <alignment horizontal="center" vertical="center" wrapText="1"/>
    </xf>
    <xf numFmtId="0" fontId="1" fillId="0" borderId="15" xfId="4" applyFont="1" applyBorder="1" applyAlignment="1" applyProtection="1">
      <alignment horizontal="center" vertical="center"/>
      <protection locked="0"/>
    </xf>
    <xf numFmtId="0" fontId="3" fillId="0" borderId="0" xfId="4" applyFont="1" applyAlignment="1" applyProtection="1">
      <alignment horizontal="center" vertical="center"/>
      <protection locked="0"/>
    </xf>
    <xf numFmtId="0" fontId="3" fillId="0" borderId="6" xfId="4" applyFont="1" applyBorder="1" applyAlignment="1" applyProtection="1">
      <alignment horizontal="center" vertical="center"/>
      <protection locked="0"/>
    </xf>
    <xf numFmtId="0" fontId="3" fillId="0" borderId="10" xfId="4" applyFont="1" applyBorder="1" applyAlignment="1">
      <alignment horizontal="center" vertical="center" wrapText="1"/>
    </xf>
    <xf numFmtId="15" fontId="1" fillId="0" borderId="6" xfId="4" applyNumberFormat="1" applyFont="1" applyBorder="1" applyAlignment="1" applyProtection="1">
      <alignment horizontal="center" vertical="center"/>
      <protection locked="0"/>
    </xf>
    <xf numFmtId="0" fontId="1" fillId="0" borderId="3" xfId="0" applyFont="1" applyBorder="1" applyAlignment="1">
      <alignment vertical="center"/>
    </xf>
    <xf numFmtId="0" fontId="1" fillId="0" borderId="4" xfId="0" applyFont="1" applyBorder="1" applyAlignment="1">
      <alignment vertical="center"/>
    </xf>
    <xf numFmtId="0" fontId="1" fillId="0" borderId="20" xfId="0" applyFont="1" applyBorder="1" applyAlignment="1">
      <alignment vertical="center"/>
    </xf>
    <xf numFmtId="0" fontId="1" fillId="0" borderId="10" xfId="0" applyFont="1" applyBorder="1" applyAlignment="1">
      <alignment vertical="center" wrapText="1"/>
    </xf>
    <xf numFmtId="0" fontId="1" fillId="0" borderId="22" xfId="0" applyFont="1" applyBorder="1" applyAlignment="1">
      <alignment horizontal="center" vertical="center" wrapText="1"/>
    </xf>
    <xf numFmtId="0" fontId="3" fillId="10" borderId="0" xfId="4" applyFont="1" applyFill="1" applyAlignment="1">
      <alignment vertical="center" wrapText="1"/>
    </xf>
    <xf numFmtId="0" fontId="3" fillId="0" borderId="0" xfId="4" applyFont="1" applyAlignment="1">
      <alignment vertical="center"/>
    </xf>
    <xf numFmtId="0" fontId="3" fillId="10" borderId="0" xfId="4" applyFont="1" applyFill="1" applyAlignment="1">
      <alignment horizontal="center" vertical="center"/>
    </xf>
    <xf numFmtId="0" fontId="3" fillId="10" borderId="0" xfId="4" applyFont="1" applyFill="1" applyAlignment="1">
      <alignment vertical="center"/>
    </xf>
    <xf numFmtId="0" fontId="24" fillId="0" borderId="0" xfId="6" applyFont="1" applyAlignment="1">
      <alignment horizontal="center" vertical="center"/>
    </xf>
    <xf numFmtId="0" fontId="3" fillId="10" borderId="6" xfId="4" applyFont="1" applyFill="1" applyBorder="1" applyAlignment="1">
      <alignment horizontal="center" vertical="center"/>
    </xf>
    <xf numFmtId="0" fontId="1" fillId="5" borderId="9" xfId="4" applyFont="1" applyFill="1" applyBorder="1" applyAlignment="1">
      <alignment horizontal="left" vertical="center" wrapText="1"/>
    </xf>
    <xf numFmtId="0" fontId="3" fillId="10" borderId="6" xfId="4" applyFont="1" applyFill="1" applyBorder="1" applyAlignment="1">
      <alignment vertical="center" wrapText="1"/>
    </xf>
    <xf numFmtId="0" fontId="3" fillId="10" borderId="6" xfId="4" applyFont="1" applyFill="1" applyBorder="1" applyAlignment="1">
      <alignment vertical="center"/>
    </xf>
    <xf numFmtId="0" fontId="1" fillId="10" borderId="10" xfId="4" applyFont="1" applyFill="1" applyBorder="1" applyAlignment="1">
      <alignment vertical="center" wrapText="1"/>
    </xf>
    <xf numFmtId="0" fontId="1" fillId="10" borderId="0" xfId="4" applyFont="1" applyFill="1" applyAlignment="1">
      <alignment horizontal="center" vertical="center"/>
    </xf>
    <xf numFmtId="0" fontId="3" fillId="10" borderId="10" xfId="4" applyFont="1" applyFill="1" applyBorder="1" applyAlignment="1">
      <alignment vertical="center" wrapText="1"/>
    </xf>
    <xf numFmtId="0" fontId="3" fillId="10" borderId="0" xfId="4" applyFont="1" applyFill="1" applyAlignment="1">
      <alignment horizontal="center" vertical="center" wrapText="1"/>
    </xf>
    <xf numFmtId="0" fontId="0" fillId="0" borderId="0" xfId="0" applyAlignment="1">
      <alignment vertical="center"/>
    </xf>
    <xf numFmtId="0" fontId="3" fillId="10" borderId="10" xfId="4" applyFont="1" applyFill="1" applyBorder="1" applyAlignment="1">
      <alignment vertical="center"/>
    </xf>
    <xf numFmtId="0" fontId="3" fillId="10" borderId="6" xfId="4" applyFont="1" applyFill="1" applyBorder="1" applyAlignment="1">
      <alignment horizontal="center" vertical="center" wrapText="1"/>
    </xf>
    <xf numFmtId="0" fontId="17" fillId="7" borderId="4" xfId="4" applyFont="1" applyFill="1" applyBorder="1" applyAlignment="1">
      <alignment vertical="center"/>
    </xf>
    <xf numFmtId="165" fontId="17" fillId="7" borderId="4" xfId="4" applyNumberFormat="1" applyFont="1" applyFill="1" applyBorder="1" applyAlignment="1">
      <alignment vertical="center"/>
    </xf>
    <xf numFmtId="0" fontId="23" fillId="7" borderId="4" xfId="4" applyFont="1" applyFill="1" applyBorder="1" applyAlignment="1">
      <alignment vertical="center"/>
    </xf>
    <xf numFmtId="0" fontId="20" fillId="11" borderId="0" xfId="0" applyFont="1" applyFill="1" applyAlignment="1">
      <alignment vertical="center" wrapText="1"/>
    </xf>
    <xf numFmtId="49" fontId="25" fillId="21" borderId="42" xfId="0" applyNumberFormat="1" applyFont="1" applyFill="1" applyBorder="1" applyAlignment="1">
      <alignment horizontal="center" vertical="center" wrapText="1"/>
    </xf>
    <xf numFmtId="49" fontId="25" fillId="21" borderId="42" xfId="0" applyNumberFormat="1" applyFont="1" applyFill="1" applyBorder="1" applyAlignment="1">
      <alignment horizontal="center" vertical="center"/>
    </xf>
    <xf numFmtId="0" fontId="3" fillId="10" borderId="10" xfId="4" applyFont="1" applyFill="1" applyBorder="1" applyAlignment="1">
      <alignment horizontal="center" vertical="center"/>
    </xf>
    <xf numFmtId="49" fontId="26" fillId="0" borderId="43" xfId="0" applyNumberFormat="1" applyFont="1" applyBorder="1" applyAlignment="1">
      <alignment horizontal="left" vertical="center" wrapText="1"/>
    </xf>
    <xf numFmtId="0" fontId="1" fillId="5" borderId="29" xfId="4" applyFont="1" applyFill="1" applyBorder="1" applyAlignment="1">
      <alignment horizontal="left" vertical="center" wrapText="1"/>
    </xf>
    <xf numFmtId="0" fontId="1" fillId="0" borderId="9" xfId="4" applyFont="1" applyBorder="1" applyAlignment="1" applyProtection="1">
      <alignment horizontal="center" vertical="center"/>
      <protection locked="0"/>
    </xf>
    <xf numFmtId="49" fontId="1" fillId="0" borderId="0" xfId="4" applyNumberFormat="1" applyFont="1" applyAlignment="1" applyProtection="1">
      <alignment horizontal="center" vertical="center"/>
      <protection locked="0"/>
    </xf>
    <xf numFmtId="0" fontId="1" fillId="7" borderId="29" xfId="4" applyFont="1" applyFill="1" applyBorder="1" applyAlignment="1">
      <alignment vertical="center" wrapText="1"/>
    </xf>
    <xf numFmtId="0" fontId="1" fillId="5" borderId="29" xfId="4" applyFont="1" applyFill="1" applyBorder="1" applyAlignment="1">
      <alignment vertical="center" wrapText="1"/>
    </xf>
    <xf numFmtId="49" fontId="1" fillId="0" borderId="0" xfId="4" applyNumberFormat="1" applyFont="1" applyAlignment="1">
      <alignment horizontal="center" vertical="center"/>
    </xf>
    <xf numFmtId="0" fontId="1" fillId="7" borderId="9" xfId="0" applyFont="1" applyFill="1" applyBorder="1" applyAlignment="1">
      <alignment vertical="center" wrapText="1"/>
    </xf>
    <xf numFmtId="0" fontId="1" fillId="10" borderId="9" xfId="4" applyFont="1" applyFill="1" applyBorder="1" applyAlignment="1">
      <alignment horizontal="center" vertical="center"/>
    </xf>
    <xf numFmtId="0" fontId="1" fillId="5" borderId="9" xfId="4" applyFont="1" applyFill="1" applyBorder="1" applyAlignment="1">
      <alignment vertical="center"/>
    </xf>
    <xf numFmtId="49" fontId="1" fillId="0" borderId="0" xfId="4" applyNumberFormat="1" applyFont="1" applyAlignment="1" applyProtection="1">
      <alignment horizontal="center" vertical="center" wrapText="1"/>
      <protection locked="0"/>
    </xf>
    <xf numFmtId="0" fontId="1" fillId="7" borderId="9" xfId="4" applyFont="1" applyFill="1" applyBorder="1" applyAlignment="1">
      <alignment vertical="center"/>
    </xf>
    <xf numFmtId="49" fontId="1" fillId="0" borderId="0" xfId="4" applyNumberFormat="1" applyFont="1" applyAlignment="1">
      <alignment horizontal="center" vertical="center" wrapText="1"/>
    </xf>
    <xf numFmtId="49" fontId="1" fillId="0" borderId="9" xfId="4" applyNumberFormat="1" applyFont="1" applyBorder="1" applyAlignment="1" applyProtection="1">
      <alignment horizontal="center" vertical="center"/>
      <protection locked="0"/>
    </xf>
    <xf numFmtId="0" fontId="30" fillId="0" borderId="6" xfId="4" applyFont="1" applyBorder="1" applyAlignment="1" applyProtection="1">
      <alignment horizontal="center" vertical="center"/>
      <protection locked="0"/>
    </xf>
    <xf numFmtId="0" fontId="1" fillId="0" borderId="0" xfId="0" applyFont="1" applyAlignment="1">
      <alignment vertical="center"/>
    </xf>
    <xf numFmtId="0" fontId="1" fillId="2" borderId="18" xfId="0"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0" fontId="1" fillId="2" borderId="37" xfId="0" applyFont="1" applyFill="1" applyBorder="1" applyAlignment="1" applyProtection="1">
      <alignment horizontal="center" vertical="center" wrapText="1"/>
      <protection locked="0"/>
    </xf>
    <xf numFmtId="0" fontId="1" fillId="2" borderId="12" xfId="0" applyFont="1" applyFill="1" applyBorder="1" applyAlignment="1" applyProtection="1">
      <alignment horizontal="center" vertical="center" wrapText="1"/>
      <protection locked="0"/>
    </xf>
    <xf numFmtId="0" fontId="1" fillId="2" borderId="0" xfId="0" applyFont="1" applyFill="1" applyBorder="1" applyAlignment="1" applyProtection="1">
      <alignment horizontal="center" vertical="center" wrapText="1"/>
      <protection locked="0"/>
    </xf>
    <xf numFmtId="0" fontId="1" fillId="2" borderId="38" xfId="0" applyFont="1" applyFill="1" applyBorder="1" applyAlignment="1" applyProtection="1">
      <alignment horizontal="center" vertical="center" wrapText="1"/>
      <protection locked="0"/>
    </xf>
    <xf numFmtId="0" fontId="1" fillId="2" borderId="28" xfId="0" applyFont="1" applyFill="1" applyBorder="1" applyAlignment="1" applyProtection="1">
      <alignment horizontal="center" vertical="center" wrapText="1"/>
      <protection locked="0"/>
    </xf>
    <xf numFmtId="0" fontId="1" fillId="2" borderId="6" xfId="0" applyFont="1" applyFill="1" applyBorder="1" applyAlignment="1" applyProtection="1">
      <alignment horizontal="center" vertical="center" wrapText="1"/>
      <protection locked="0"/>
    </xf>
    <xf numFmtId="0" fontId="1" fillId="2" borderId="36" xfId="0" applyFont="1" applyFill="1" applyBorder="1" applyAlignment="1" applyProtection="1">
      <alignment horizontal="center" vertical="center" wrapText="1"/>
      <protection locked="0"/>
    </xf>
    <xf numFmtId="0" fontId="1" fillId="2" borderId="44" xfId="0" applyFont="1" applyFill="1" applyBorder="1" applyAlignment="1" applyProtection="1">
      <alignment horizontal="center" vertical="center" wrapText="1"/>
      <protection locked="0"/>
    </xf>
    <xf numFmtId="0" fontId="1" fillId="2" borderId="45" xfId="0" applyFont="1" applyFill="1" applyBorder="1" applyAlignment="1" applyProtection="1">
      <alignment horizontal="center" vertical="center" wrapText="1"/>
      <protection locked="0"/>
    </xf>
    <xf numFmtId="0" fontId="1" fillId="2" borderId="46" xfId="0" applyFont="1" applyFill="1" applyBorder="1" applyAlignment="1" applyProtection="1">
      <alignment horizontal="center" vertical="center" wrapText="1"/>
      <protection locked="0"/>
    </xf>
    <xf numFmtId="0" fontId="1" fillId="2" borderId="47" xfId="0" applyFont="1" applyFill="1" applyBorder="1" applyAlignment="1" applyProtection="1">
      <alignment horizontal="center" vertical="center" wrapText="1"/>
      <protection locked="0"/>
    </xf>
    <xf numFmtId="2" fontId="18" fillId="0" borderId="0" xfId="4" applyNumberFormat="1" applyFont="1" applyAlignment="1">
      <alignment horizontal="center" vertical="center" wrapText="1"/>
    </xf>
    <xf numFmtId="0" fontId="1" fillId="2" borderId="7" xfId="0" applyFont="1" applyFill="1" applyBorder="1" applyAlignment="1" applyProtection="1">
      <alignment horizontal="center" vertical="center" wrapText="1"/>
      <protection locked="0"/>
    </xf>
    <xf numFmtId="0" fontId="1" fillId="2" borderId="10" xfId="0" applyFont="1" applyFill="1" applyBorder="1" applyAlignment="1" applyProtection="1">
      <alignment horizontal="center" vertical="center" wrapText="1"/>
      <protection locked="0"/>
    </xf>
    <xf numFmtId="0" fontId="1" fillId="2" borderId="0" xfId="0" applyFont="1" applyFill="1" applyAlignment="1" applyProtection="1">
      <alignment horizontal="center" vertical="center" wrapText="1"/>
      <protection locked="0"/>
    </xf>
    <xf numFmtId="0" fontId="1" fillId="2" borderId="5" xfId="0" applyFont="1" applyFill="1"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18" xfId="0" applyFont="1" applyBorder="1" applyAlignment="1" applyProtection="1">
      <alignment horizontal="left" vertical="top" wrapText="1"/>
      <protection locked="0"/>
    </xf>
    <xf numFmtId="0" fontId="1" fillId="0" borderId="8" xfId="0" applyFont="1" applyBorder="1" applyAlignment="1" applyProtection="1">
      <alignment horizontal="left" vertical="top"/>
      <protection locked="0"/>
    </xf>
    <xf numFmtId="0" fontId="1" fillId="0" borderId="21" xfId="0" applyFont="1" applyBorder="1" applyAlignment="1" applyProtection="1">
      <alignment horizontal="left" vertical="top"/>
      <protection locked="0"/>
    </xf>
    <xf numFmtId="0" fontId="1" fillId="0" borderId="12" xfId="0" applyFont="1" applyBorder="1" applyAlignment="1" applyProtection="1">
      <alignment horizontal="left" vertical="top"/>
      <protection locked="0"/>
    </xf>
    <xf numFmtId="0" fontId="1" fillId="0" borderId="0" xfId="0" applyFont="1" applyAlignment="1" applyProtection="1">
      <alignment horizontal="left" vertical="top"/>
      <protection locked="0"/>
    </xf>
    <xf numFmtId="0" fontId="1" fillId="0" borderId="22" xfId="0" applyFont="1" applyBorder="1" applyAlignment="1" applyProtection="1">
      <alignment horizontal="left" vertical="top"/>
      <protection locked="0"/>
    </xf>
    <xf numFmtId="0" fontId="1" fillId="0" borderId="28" xfId="0" applyFont="1" applyBorder="1" applyAlignment="1" applyProtection="1">
      <alignment horizontal="left" vertical="top"/>
      <protection locked="0"/>
    </xf>
    <xf numFmtId="0" fontId="1" fillId="0" borderId="6" xfId="0" applyFont="1" applyBorder="1" applyAlignment="1" applyProtection="1">
      <alignment horizontal="left" vertical="top"/>
      <protection locked="0"/>
    </xf>
    <xf numFmtId="0" fontId="1" fillId="0" borderId="15" xfId="0" applyFont="1" applyBorder="1" applyAlignment="1" applyProtection="1">
      <alignment horizontal="left" vertical="top"/>
      <protection locked="0"/>
    </xf>
    <xf numFmtId="0" fontId="1" fillId="0" borderId="11" xfId="0" applyFont="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0" borderId="18" xfId="0" applyFont="1" applyBorder="1" applyAlignment="1" applyProtection="1">
      <alignment horizontal="center" vertical="center" wrapText="1"/>
      <protection locked="0"/>
    </xf>
    <xf numFmtId="0" fontId="1" fillId="0" borderId="8" xfId="0" applyFont="1" applyBorder="1" applyAlignment="1" applyProtection="1">
      <alignment horizontal="center" vertical="center" wrapText="1"/>
      <protection locked="0"/>
    </xf>
    <xf numFmtId="0" fontId="1" fillId="0" borderId="21" xfId="0" applyFont="1" applyBorder="1" applyAlignment="1" applyProtection="1">
      <alignment horizontal="center" vertical="center" wrapText="1"/>
      <protection locked="0"/>
    </xf>
    <xf numFmtId="0" fontId="1" fillId="0" borderId="12" xfId="0" applyFont="1" applyBorder="1" applyAlignment="1" applyProtection="1">
      <alignment horizontal="center" vertical="center" wrapText="1"/>
      <protection locked="0"/>
    </xf>
    <xf numFmtId="0" fontId="1" fillId="0" borderId="0" xfId="0" applyFont="1" applyAlignment="1" applyProtection="1">
      <alignment horizontal="center" vertical="center" wrapText="1"/>
      <protection locked="0"/>
    </xf>
    <xf numFmtId="0" fontId="1" fillId="0" borderId="22" xfId="0" applyFont="1" applyBorder="1" applyAlignment="1" applyProtection="1">
      <alignment horizontal="center" vertical="center" wrapText="1"/>
      <protection locked="0"/>
    </xf>
    <xf numFmtId="0" fontId="1" fillId="0" borderId="28" xfId="0" applyFont="1" applyBorder="1" applyAlignment="1" applyProtection="1">
      <alignment horizontal="center" vertical="center" wrapText="1"/>
      <protection locked="0"/>
    </xf>
    <xf numFmtId="0" fontId="1" fillId="0" borderId="6" xfId="0" applyFont="1" applyBorder="1" applyAlignment="1" applyProtection="1">
      <alignment horizontal="center" vertical="center" wrapText="1"/>
      <protection locked="0"/>
    </xf>
    <xf numFmtId="0" fontId="1" fillId="0" borderId="15" xfId="0" applyFont="1" applyBorder="1" applyAlignment="1" applyProtection="1">
      <alignment horizontal="center" vertical="center" wrapText="1"/>
      <protection locked="0"/>
    </xf>
    <xf numFmtId="0" fontId="1" fillId="0" borderId="18" xfId="0" applyFont="1" applyBorder="1" applyAlignment="1" applyProtection="1">
      <alignment vertical="center" wrapText="1"/>
      <protection locked="0"/>
    </xf>
    <xf numFmtId="0" fontId="1" fillId="0" borderId="8" xfId="0" applyFont="1" applyBorder="1" applyAlignment="1" applyProtection="1">
      <alignment vertical="center" wrapText="1"/>
      <protection locked="0"/>
    </xf>
    <xf numFmtId="0" fontId="1" fillId="0" borderId="21" xfId="0" applyFont="1" applyBorder="1" applyAlignment="1" applyProtection="1">
      <alignment vertical="center" wrapText="1"/>
      <protection locked="0"/>
    </xf>
    <xf numFmtId="0" fontId="1" fillId="0" borderId="12" xfId="0" applyFont="1" applyBorder="1" applyAlignment="1" applyProtection="1">
      <alignment vertical="center" wrapText="1"/>
      <protection locked="0"/>
    </xf>
    <xf numFmtId="0" fontId="1" fillId="0" borderId="0" xfId="0" applyFont="1" applyAlignment="1" applyProtection="1">
      <alignment vertical="center" wrapText="1"/>
      <protection locked="0"/>
    </xf>
    <xf numFmtId="0" fontId="1" fillId="0" borderId="22" xfId="0" applyFont="1" applyBorder="1" applyAlignment="1" applyProtection="1">
      <alignment vertical="center" wrapText="1"/>
      <protection locked="0"/>
    </xf>
    <xf numFmtId="0" fontId="1" fillId="0" borderId="28" xfId="0" applyFont="1" applyBorder="1" applyAlignment="1" applyProtection="1">
      <alignment vertical="center" wrapText="1"/>
      <protection locked="0"/>
    </xf>
    <xf numFmtId="0" fontId="1" fillId="0" borderId="6" xfId="0" applyFont="1" applyBorder="1" applyAlignment="1" applyProtection="1">
      <alignment vertical="center" wrapText="1"/>
      <protection locked="0"/>
    </xf>
    <xf numFmtId="0" fontId="1" fillId="0" borderId="15" xfId="0" applyFont="1" applyBorder="1" applyAlignment="1" applyProtection="1">
      <alignment vertical="center" wrapText="1"/>
      <protection locked="0"/>
    </xf>
    <xf numFmtId="0" fontId="1" fillId="0" borderId="7" xfId="0" applyFont="1" applyBorder="1" applyAlignment="1" applyProtection="1">
      <alignment horizontal="left" vertical="top" wrapText="1"/>
      <protection locked="0"/>
    </xf>
    <xf numFmtId="0" fontId="0" fillId="0" borderId="8" xfId="0" applyBorder="1" applyAlignment="1">
      <alignment horizontal="left"/>
    </xf>
    <xf numFmtId="0" fontId="0" fillId="0" borderId="21" xfId="0" applyBorder="1" applyAlignment="1">
      <alignment horizontal="left"/>
    </xf>
    <xf numFmtId="0" fontId="0" fillId="0" borderId="10" xfId="0" applyBorder="1" applyAlignment="1">
      <alignment horizontal="left"/>
    </xf>
    <xf numFmtId="0" fontId="0" fillId="0" borderId="0" xfId="0" applyAlignment="1">
      <alignment horizontal="left"/>
    </xf>
    <xf numFmtId="0" fontId="0" fillId="0" borderId="22" xfId="0" applyBorder="1" applyAlignment="1">
      <alignment horizontal="left"/>
    </xf>
    <xf numFmtId="0" fontId="0" fillId="0" borderId="5" xfId="0" applyBorder="1" applyAlignment="1">
      <alignment horizontal="left"/>
    </xf>
    <xf numFmtId="0" fontId="0" fillId="0" borderId="6" xfId="0" applyBorder="1" applyAlignment="1">
      <alignment horizontal="left"/>
    </xf>
    <xf numFmtId="0" fontId="0" fillId="0" borderId="15" xfId="0" applyBorder="1" applyAlignment="1">
      <alignment horizontal="left"/>
    </xf>
    <xf numFmtId="0" fontId="1" fillId="0" borderId="7" xfId="0" applyFont="1" applyBorder="1" applyAlignment="1" applyProtection="1">
      <alignment vertical="center" wrapText="1"/>
      <protection locked="0"/>
    </xf>
    <xf numFmtId="0" fontId="1" fillId="0" borderId="37" xfId="0" applyFont="1" applyBorder="1" applyAlignment="1" applyProtection="1">
      <alignment vertical="center" wrapText="1"/>
      <protection locked="0"/>
    </xf>
    <xf numFmtId="0" fontId="1" fillId="0" borderId="10" xfId="0" applyFont="1" applyBorder="1" applyAlignment="1" applyProtection="1">
      <alignment vertical="center" wrapText="1"/>
      <protection locked="0"/>
    </xf>
    <xf numFmtId="0" fontId="1" fillId="0" borderId="38" xfId="0" applyFont="1" applyBorder="1" applyAlignment="1" applyProtection="1">
      <alignment vertical="center" wrapText="1"/>
      <protection locked="0"/>
    </xf>
    <xf numFmtId="0" fontId="1" fillId="0" borderId="5" xfId="0" applyFont="1" applyBorder="1" applyAlignment="1" applyProtection="1">
      <alignment vertical="center" wrapText="1"/>
      <protection locked="0"/>
    </xf>
    <xf numFmtId="0" fontId="1" fillId="0" borderId="36" xfId="0" applyFont="1" applyBorder="1" applyAlignment="1" applyProtection="1">
      <alignment vertical="center" wrapText="1"/>
      <protection locked="0"/>
    </xf>
    <xf numFmtId="0" fontId="1" fillId="2" borderId="21" xfId="0" applyFont="1" applyFill="1" applyBorder="1" applyAlignment="1" applyProtection="1">
      <alignment horizontal="center" vertical="center" wrapText="1"/>
      <protection locked="0"/>
    </xf>
    <xf numFmtId="0" fontId="1" fillId="2" borderId="22" xfId="0" applyFont="1" applyFill="1" applyBorder="1" applyAlignment="1" applyProtection="1">
      <alignment horizontal="center" vertical="center" wrapText="1"/>
      <protection locked="0"/>
    </xf>
    <xf numFmtId="0" fontId="1" fillId="2" borderId="15" xfId="0" applyFont="1" applyFill="1" applyBorder="1" applyAlignment="1" applyProtection="1">
      <alignment horizontal="center" vertical="center" wrapText="1"/>
      <protection locked="0"/>
    </xf>
    <xf numFmtId="2" fontId="14" fillId="6" borderId="13" xfId="4" applyNumberFormat="1" applyFont="1" applyFill="1" applyBorder="1" applyAlignment="1" applyProtection="1">
      <alignment horizontal="center" vertical="center" wrapText="1"/>
      <protection locked="0"/>
    </xf>
    <xf numFmtId="2" fontId="14" fillId="6" borderId="14" xfId="4" applyNumberFormat="1" applyFont="1" applyFill="1" applyBorder="1" applyAlignment="1" applyProtection="1">
      <alignment horizontal="center" vertical="center" wrapText="1"/>
      <protection locked="0"/>
    </xf>
    <xf numFmtId="2" fontId="14" fillId="6" borderId="33" xfId="4" applyNumberFormat="1" applyFont="1" applyFill="1" applyBorder="1" applyAlignment="1" applyProtection="1">
      <alignment horizontal="center" vertical="center" wrapText="1"/>
      <protection locked="0"/>
    </xf>
    <xf numFmtId="2" fontId="14" fillId="6" borderId="10" xfId="4" applyNumberFormat="1" applyFont="1" applyFill="1" applyBorder="1" applyAlignment="1" applyProtection="1">
      <alignment horizontal="center" vertical="center" wrapText="1"/>
      <protection locked="0"/>
    </xf>
    <xf numFmtId="2" fontId="14" fillId="6" borderId="0" xfId="4" applyNumberFormat="1" applyFont="1" applyFill="1" applyAlignment="1" applyProtection="1">
      <alignment horizontal="center" vertical="center" wrapText="1"/>
      <protection locked="0"/>
    </xf>
    <xf numFmtId="2" fontId="14" fillId="6" borderId="22" xfId="4" applyNumberFormat="1" applyFont="1" applyFill="1" applyBorder="1" applyAlignment="1" applyProtection="1">
      <alignment horizontal="center" vertical="center" wrapText="1"/>
      <protection locked="0"/>
    </xf>
    <xf numFmtId="2" fontId="14" fillId="6" borderId="16" xfId="4" applyNumberFormat="1" applyFont="1" applyFill="1" applyBorder="1" applyAlignment="1" applyProtection="1">
      <alignment horizontal="center" vertical="center" wrapText="1"/>
      <protection locked="0"/>
    </xf>
    <xf numFmtId="2" fontId="14" fillId="6" borderId="17" xfId="4" applyNumberFormat="1" applyFont="1" applyFill="1" applyBorder="1" applyAlignment="1" applyProtection="1">
      <alignment horizontal="center" vertical="center" wrapText="1"/>
      <protection locked="0"/>
    </xf>
    <xf numFmtId="2" fontId="14" fillId="6" borderId="24" xfId="4" applyNumberFormat="1" applyFont="1" applyFill="1" applyBorder="1" applyAlignment="1" applyProtection="1">
      <alignment horizontal="center" vertical="center" wrapText="1"/>
      <protection locked="0"/>
    </xf>
    <xf numFmtId="0" fontId="1" fillId="0" borderId="9" xfId="4" applyFont="1" applyBorder="1" applyAlignment="1" applyProtection="1">
      <alignment horizontal="left" vertical="center" wrapText="1"/>
      <protection locked="0"/>
    </xf>
    <xf numFmtId="0" fontId="1" fillId="0" borderId="23" xfId="4" applyFont="1" applyBorder="1" applyAlignment="1" applyProtection="1">
      <alignment horizontal="left" vertical="center" wrapText="1"/>
      <protection locked="0"/>
    </xf>
    <xf numFmtId="0" fontId="1" fillId="0" borderId="18" xfId="4" applyFont="1" applyBorder="1" applyAlignment="1" applyProtection="1">
      <alignment horizontal="center" vertical="center" wrapText="1"/>
      <protection locked="0"/>
    </xf>
    <xf numFmtId="0" fontId="1" fillId="0" borderId="8" xfId="4" applyFont="1" applyBorder="1" applyAlignment="1" applyProtection="1">
      <alignment horizontal="center" vertical="center" wrapText="1"/>
      <protection locked="0"/>
    </xf>
    <xf numFmtId="0" fontId="1" fillId="0" borderId="21" xfId="4" applyFont="1" applyBorder="1" applyAlignment="1" applyProtection="1">
      <alignment horizontal="center" vertical="center" wrapText="1"/>
      <protection locked="0"/>
    </xf>
    <xf numFmtId="0" fontId="1" fillId="0" borderId="12" xfId="4" applyFont="1" applyBorder="1" applyAlignment="1" applyProtection="1">
      <alignment horizontal="center" vertical="center" wrapText="1"/>
      <protection locked="0"/>
    </xf>
    <xf numFmtId="0" fontId="1" fillId="0" borderId="0" xfId="4" applyFont="1" applyAlignment="1" applyProtection="1">
      <alignment horizontal="center" vertical="center" wrapText="1"/>
      <protection locked="0"/>
    </xf>
    <xf numFmtId="0" fontId="1" fillId="0" borderId="22" xfId="4" applyFont="1" applyBorder="1" applyAlignment="1" applyProtection="1">
      <alignment horizontal="center" vertical="center" wrapText="1"/>
      <protection locked="0"/>
    </xf>
    <xf numFmtId="0" fontId="1" fillId="0" borderId="28" xfId="4" applyFont="1" applyBorder="1" applyAlignment="1" applyProtection="1">
      <alignment horizontal="center" vertical="center" wrapText="1"/>
      <protection locked="0"/>
    </xf>
    <xf numFmtId="0" fontId="1" fillId="0" borderId="6" xfId="4" applyFont="1" applyBorder="1" applyAlignment="1" applyProtection="1">
      <alignment horizontal="center" vertical="center" wrapText="1"/>
      <protection locked="0"/>
    </xf>
    <xf numFmtId="0" fontId="1" fillId="0" borderId="15" xfId="4" applyFont="1" applyBorder="1" applyAlignment="1" applyProtection="1">
      <alignment horizontal="center" vertical="center" wrapText="1"/>
      <protection locked="0"/>
    </xf>
    <xf numFmtId="0" fontId="1" fillId="5" borderId="10" xfId="4" applyFont="1" applyFill="1" applyBorder="1" applyAlignment="1">
      <alignment horizontal="left" vertical="center" wrapText="1"/>
    </xf>
    <xf numFmtId="0" fontId="1" fillId="5" borderId="0" xfId="4" applyFont="1" applyFill="1" applyAlignment="1">
      <alignment horizontal="left" vertical="center" wrapText="1"/>
    </xf>
    <xf numFmtId="0" fontId="1" fillId="20" borderId="11" xfId="0" applyFont="1" applyFill="1" applyBorder="1" applyAlignment="1" applyProtection="1">
      <alignment horizontal="center" vertical="center" wrapText="1"/>
      <protection locked="0"/>
    </xf>
    <xf numFmtId="0" fontId="1" fillId="20" borderId="9" xfId="0" applyFont="1" applyFill="1" applyBorder="1" applyAlignment="1" applyProtection="1">
      <alignment horizontal="center" vertical="center" wrapText="1"/>
      <protection locked="0"/>
    </xf>
    <xf numFmtId="0" fontId="1" fillId="0" borderId="39" xfId="0" applyFont="1" applyBorder="1" applyAlignment="1">
      <alignment horizontal="left" vertical="center" wrapText="1"/>
    </xf>
    <xf numFmtId="0" fontId="1" fillId="0" borderId="40" xfId="0" applyFont="1" applyBorder="1" applyAlignment="1">
      <alignment horizontal="left" vertical="center" wrapText="1"/>
    </xf>
    <xf numFmtId="0" fontId="1" fillId="0" borderId="41" xfId="0" applyFont="1" applyBorder="1" applyAlignment="1">
      <alignment horizontal="left" vertical="center" wrapText="1"/>
    </xf>
    <xf numFmtId="0" fontId="1" fillId="0" borderId="14" xfId="0" applyFont="1" applyBorder="1" applyAlignment="1">
      <alignment horizontal="center" vertical="center" wrapText="1"/>
    </xf>
    <xf numFmtId="0" fontId="1" fillId="0" borderId="11" xfId="4" applyFont="1" applyBorder="1" applyAlignment="1">
      <alignment horizontal="center" vertical="center" wrapText="1"/>
    </xf>
    <xf numFmtId="0" fontId="1" fillId="0" borderId="25" xfId="4" applyFont="1" applyBorder="1" applyAlignment="1">
      <alignment horizontal="center" vertical="center" wrapText="1"/>
    </xf>
    <xf numFmtId="0" fontId="1" fillId="0" borderId="26" xfId="4" applyFont="1" applyBorder="1" applyAlignment="1">
      <alignment horizontal="center" vertical="center" wrapText="1"/>
    </xf>
    <xf numFmtId="0" fontId="1" fillId="0" borderId="27" xfId="4" applyFont="1" applyBorder="1" applyAlignment="1">
      <alignment horizontal="center" vertical="center" wrapText="1"/>
    </xf>
    <xf numFmtId="0" fontId="1" fillId="0" borderId="12" xfId="4" applyFont="1" applyBorder="1" applyAlignment="1">
      <alignment horizontal="center" vertical="center"/>
    </xf>
    <xf numFmtId="0" fontId="1" fillId="0" borderId="28" xfId="4" applyFont="1" applyBorder="1" applyAlignment="1">
      <alignment horizontal="center" vertical="center"/>
    </xf>
    <xf numFmtId="0" fontId="1" fillId="0" borderId="0" xfId="0" applyFont="1" applyAlignment="1">
      <alignment horizontal="center" vertical="center"/>
    </xf>
    <xf numFmtId="0" fontId="1" fillId="0" borderId="6" xfId="0" applyFont="1" applyBorder="1" applyAlignment="1">
      <alignment horizontal="center" vertical="center"/>
    </xf>
    <xf numFmtId="0" fontId="1" fillId="5" borderId="8" xfId="4" applyFont="1" applyFill="1" applyBorder="1" applyAlignment="1">
      <alignment horizontal="center" vertical="center"/>
    </xf>
    <xf numFmtId="0" fontId="1" fillId="5" borderId="0" xfId="4" applyFont="1" applyFill="1" applyAlignment="1">
      <alignment horizontal="center" vertical="center"/>
    </xf>
    <xf numFmtId="0" fontId="1" fillId="0" borderId="0" xfId="4" applyFont="1" applyAlignment="1">
      <alignment horizontal="center" vertical="center" wrapText="1"/>
    </xf>
    <xf numFmtId="0" fontId="1" fillId="0" borderId="6" xfId="4" applyFont="1" applyBorder="1" applyAlignment="1">
      <alignment horizontal="center" vertical="center" wrapText="1"/>
    </xf>
    <xf numFmtId="0" fontId="22" fillId="7" borderId="22" xfId="5" applyFont="1" applyFill="1" applyBorder="1" applyAlignment="1">
      <alignment horizontal="center" vertical="center" wrapText="1"/>
    </xf>
    <xf numFmtId="0" fontId="1" fillId="0" borderId="10" xfId="4" applyFont="1" applyBorder="1" applyAlignment="1">
      <alignment horizontal="center" vertical="center" wrapText="1"/>
    </xf>
    <xf numFmtId="0" fontId="1" fillId="0" borderId="22" xfId="4" applyFont="1" applyBorder="1" applyAlignment="1">
      <alignment horizontal="center" vertical="center" wrapText="1"/>
    </xf>
    <xf numFmtId="0" fontId="13" fillId="9" borderId="3" xfId="4" applyFont="1" applyFill="1" applyBorder="1" applyAlignment="1">
      <alignment horizontal="center" vertical="center"/>
    </xf>
    <xf numFmtId="0" fontId="13" fillId="9" borderId="4" xfId="4" applyFont="1" applyFill="1" applyBorder="1" applyAlignment="1">
      <alignment horizontal="center" vertical="center"/>
    </xf>
    <xf numFmtId="0" fontId="13" fillId="9" borderId="20" xfId="4" applyFont="1" applyFill="1" applyBorder="1" applyAlignment="1">
      <alignment horizontal="center" vertical="center"/>
    </xf>
    <xf numFmtId="0" fontId="1" fillId="0" borderId="9" xfId="4" applyFont="1" applyBorder="1" applyAlignment="1">
      <alignment horizontal="center" vertical="center" wrapText="1"/>
    </xf>
    <xf numFmtId="0" fontId="1" fillId="0" borderId="23" xfId="4" applyFont="1" applyBorder="1" applyAlignment="1">
      <alignment horizontal="center" vertical="center" wrapText="1"/>
    </xf>
    <xf numFmtId="0" fontId="13" fillId="9" borderId="11" xfId="4" applyFont="1" applyFill="1" applyBorder="1" applyAlignment="1">
      <alignment horizontal="center" vertical="center"/>
    </xf>
    <xf numFmtId="0" fontId="1" fillId="20" borderId="23" xfId="0" applyFont="1" applyFill="1" applyBorder="1" applyAlignment="1" applyProtection="1">
      <alignment horizontal="center" vertical="center" wrapText="1"/>
      <protection locked="0"/>
    </xf>
    <xf numFmtId="0" fontId="1" fillId="20" borderId="31" xfId="0" applyFont="1" applyFill="1" applyBorder="1" applyAlignment="1" applyProtection="1">
      <alignment horizontal="center" vertical="center" wrapText="1"/>
      <protection locked="0"/>
    </xf>
    <xf numFmtId="0" fontId="1" fillId="20" borderId="4" xfId="0" applyFont="1" applyFill="1" applyBorder="1" applyAlignment="1" applyProtection="1">
      <alignment horizontal="center" vertical="center" wrapText="1"/>
      <protection locked="0"/>
    </xf>
    <xf numFmtId="0" fontId="1" fillId="20" borderId="20" xfId="0" applyFont="1" applyFill="1" applyBorder="1" applyAlignment="1" applyProtection="1">
      <alignment horizontal="center" vertical="center" wrapText="1"/>
      <protection locked="0"/>
    </xf>
    <xf numFmtId="0" fontId="1" fillId="5" borderId="0" xfId="4" applyFont="1" applyFill="1" applyAlignment="1">
      <alignment horizontal="center" vertical="center" wrapText="1"/>
    </xf>
    <xf numFmtId="0" fontId="1" fillId="7" borderId="6" xfId="4" applyFont="1" applyFill="1" applyBorder="1" applyAlignment="1">
      <alignment horizontal="center" vertical="center" wrapText="1"/>
    </xf>
    <xf numFmtId="0" fontId="13" fillId="9" borderId="9" xfId="4" applyFont="1" applyFill="1" applyBorder="1" applyAlignment="1">
      <alignment horizontal="center" vertical="center"/>
    </xf>
    <xf numFmtId="0" fontId="13" fillId="9" borderId="23" xfId="4" applyFont="1" applyFill="1" applyBorder="1" applyAlignment="1">
      <alignment horizontal="center" vertical="center"/>
    </xf>
    <xf numFmtId="0" fontId="1" fillId="7" borderId="0" xfId="4" applyFont="1" applyFill="1" applyAlignment="1">
      <alignment horizontal="center" vertical="center" wrapText="1"/>
    </xf>
    <xf numFmtId="0" fontId="16" fillId="9" borderId="11" xfId="4" applyFont="1" applyFill="1" applyBorder="1" applyAlignment="1">
      <alignment horizontal="center" vertical="center"/>
    </xf>
    <xf numFmtId="0" fontId="16" fillId="9" borderId="9" xfId="4" applyFont="1" applyFill="1" applyBorder="1" applyAlignment="1">
      <alignment horizontal="center" vertical="center"/>
    </xf>
    <xf numFmtId="0" fontId="16" fillId="9" borderId="23" xfId="4" applyFont="1" applyFill="1" applyBorder="1" applyAlignment="1">
      <alignment horizontal="center" vertical="center"/>
    </xf>
    <xf numFmtId="0" fontId="14" fillId="5" borderId="8" xfId="4" applyFont="1" applyFill="1" applyBorder="1" applyAlignment="1">
      <alignment horizontal="center" vertical="center"/>
    </xf>
    <xf numFmtId="0" fontId="1" fillId="5" borderId="8" xfId="0" applyFont="1" applyFill="1" applyBorder="1" applyAlignment="1">
      <alignment horizontal="center" vertical="center"/>
    </xf>
    <xf numFmtId="0" fontId="1" fillId="5" borderId="21" xfId="0" applyFont="1" applyFill="1" applyBorder="1" applyAlignment="1">
      <alignment horizontal="center" vertical="center"/>
    </xf>
    <xf numFmtId="0" fontId="1" fillId="0" borderId="5" xfId="4" applyFont="1" applyBorder="1" applyAlignment="1" applyProtection="1">
      <alignment horizontal="center" vertical="center" wrapText="1"/>
      <protection locked="0"/>
    </xf>
    <xf numFmtId="0" fontId="1" fillId="7" borderId="10" xfId="4" applyFont="1" applyFill="1" applyBorder="1" applyAlignment="1">
      <alignment horizontal="left" vertical="center" wrapText="1"/>
    </xf>
    <xf numFmtId="0" fontId="1" fillId="7" borderId="0" xfId="4" applyFont="1" applyFill="1" applyAlignment="1">
      <alignment horizontal="left" vertical="center" wrapText="1"/>
    </xf>
    <xf numFmtId="0" fontId="1" fillId="5" borderId="7" xfId="4" applyFont="1" applyFill="1" applyBorder="1" applyAlignment="1">
      <alignment horizontal="center" vertical="center" wrapText="1"/>
    </xf>
    <xf numFmtId="0" fontId="1" fillId="5" borderId="8" xfId="4" applyFont="1" applyFill="1" applyBorder="1" applyAlignment="1">
      <alignment horizontal="center" vertical="center" wrapText="1"/>
    </xf>
    <xf numFmtId="0" fontId="1" fillId="5" borderId="10" xfId="4" applyFont="1" applyFill="1" applyBorder="1" applyAlignment="1">
      <alignment horizontal="left" vertical="center"/>
    </xf>
    <xf numFmtId="0" fontId="1" fillId="5" borderId="0" xfId="4" applyFont="1" applyFill="1" applyAlignment="1">
      <alignment horizontal="left" vertical="center"/>
    </xf>
    <xf numFmtId="0" fontId="1" fillId="7" borderId="10" xfId="4" applyFont="1" applyFill="1" applyBorder="1" applyAlignment="1">
      <alignment horizontal="left" vertical="center"/>
    </xf>
    <xf numFmtId="0" fontId="1" fillId="7" borderId="0" xfId="4" applyFont="1" applyFill="1" applyAlignment="1">
      <alignment horizontal="left" vertical="center"/>
    </xf>
    <xf numFmtId="0" fontId="17" fillId="7" borderId="5" xfId="4" applyFont="1" applyFill="1" applyBorder="1" applyAlignment="1">
      <alignment horizontal="center" vertical="center"/>
    </xf>
    <xf numFmtId="0" fontId="17" fillId="7" borderId="6" xfId="4" applyFont="1" applyFill="1" applyBorder="1" applyAlignment="1">
      <alignment horizontal="center" vertical="center"/>
    </xf>
    <xf numFmtId="0" fontId="1" fillId="5" borderId="7" xfId="4" applyFont="1" applyFill="1" applyBorder="1" applyAlignment="1">
      <alignment horizontal="center" vertical="center"/>
    </xf>
    <xf numFmtId="0" fontId="1" fillId="0" borderId="5" xfId="4" applyFont="1" applyBorder="1" applyAlignment="1">
      <alignment horizontal="center" vertical="center" wrapText="1"/>
    </xf>
    <xf numFmtId="0" fontId="1" fillId="0" borderId="15" xfId="4" applyFont="1" applyBorder="1" applyAlignment="1">
      <alignment horizontal="center" vertical="center" wrapText="1"/>
    </xf>
    <xf numFmtId="0" fontId="1" fillId="0" borderId="7" xfId="4" applyFont="1" applyBorder="1" applyAlignment="1">
      <alignment horizontal="center" vertical="center" wrapText="1"/>
    </xf>
    <xf numFmtId="0" fontId="1" fillId="0" borderId="8" xfId="4" applyFont="1" applyBorder="1" applyAlignment="1">
      <alignment horizontal="center" vertical="center" wrapText="1"/>
    </xf>
    <xf numFmtId="0" fontId="1" fillId="0" borderId="21" xfId="4" applyFont="1" applyBorder="1" applyAlignment="1">
      <alignment horizontal="center" vertical="center" wrapText="1"/>
    </xf>
    <xf numFmtId="0" fontId="17" fillId="5" borderId="8" xfId="4" applyFont="1" applyFill="1" applyBorder="1" applyAlignment="1">
      <alignment horizontal="center" vertical="center"/>
    </xf>
    <xf numFmtId="2" fontId="1" fillId="7" borderId="5" xfId="4" applyNumberFormat="1" applyFont="1" applyFill="1" applyBorder="1" applyAlignment="1">
      <alignment horizontal="center" vertical="center"/>
    </xf>
    <xf numFmtId="2" fontId="1" fillId="0" borderId="6" xfId="4" applyNumberFormat="1" applyFont="1" applyBorder="1" applyAlignment="1">
      <alignment horizontal="center" vertical="center"/>
    </xf>
    <xf numFmtId="0" fontId="1" fillId="0" borderId="6" xfId="0" applyFont="1" applyBorder="1" applyAlignment="1">
      <alignment vertical="center"/>
    </xf>
    <xf numFmtId="2" fontId="21" fillId="6" borderId="6" xfId="4" applyNumberFormat="1" applyFont="1" applyFill="1" applyBorder="1" applyAlignment="1" applyProtection="1">
      <alignment horizontal="center" vertical="center" wrapText="1"/>
      <protection locked="0"/>
    </xf>
    <xf numFmtId="2" fontId="1" fillId="6" borderId="6" xfId="4" applyNumberFormat="1" applyFont="1" applyFill="1" applyBorder="1" applyAlignment="1" applyProtection="1">
      <alignment horizontal="center" vertical="center" wrapText="1"/>
      <protection locked="0"/>
    </xf>
    <xf numFmtId="2" fontId="1" fillId="6" borderId="15" xfId="4" applyNumberFormat="1" applyFont="1" applyFill="1" applyBorder="1" applyAlignment="1" applyProtection="1">
      <alignment horizontal="center" vertical="center" wrapText="1"/>
      <protection locked="0"/>
    </xf>
    <xf numFmtId="0" fontId="1" fillId="5" borderId="21" xfId="4" applyFont="1" applyFill="1" applyBorder="1" applyAlignment="1">
      <alignment horizontal="center" vertical="center" wrapText="1"/>
    </xf>
    <xf numFmtId="2" fontId="1" fillId="7" borderId="10" xfId="4" applyNumberFormat="1" applyFont="1" applyFill="1" applyBorder="1" applyAlignment="1">
      <alignment horizontal="center" vertical="center"/>
    </xf>
    <xf numFmtId="2" fontId="1" fillId="7" borderId="0" xfId="4" applyNumberFormat="1" applyFont="1" applyFill="1" applyAlignment="1">
      <alignment horizontal="center" vertical="center"/>
    </xf>
    <xf numFmtId="2" fontId="1" fillId="5" borderId="10" xfId="4" applyNumberFormat="1" applyFont="1" applyFill="1" applyBorder="1" applyAlignment="1">
      <alignment horizontal="left" vertical="center"/>
    </xf>
    <xf numFmtId="2" fontId="1" fillId="0" borderId="0" xfId="4" applyNumberFormat="1" applyFont="1" applyAlignment="1">
      <alignment horizontal="center" vertical="center"/>
    </xf>
    <xf numFmtId="0" fontId="1" fillId="0" borderId="0" xfId="0" applyFont="1" applyAlignment="1">
      <alignment vertical="center"/>
    </xf>
    <xf numFmtId="0" fontId="1" fillId="7" borderId="5" xfId="4" applyFont="1" applyFill="1" applyBorder="1" applyAlignment="1">
      <alignment horizontal="center" vertical="center"/>
    </xf>
    <xf numFmtId="0" fontId="1" fillId="7" borderId="6" xfId="4" applyFont="1" applyFill="1" applyBorder="1" applyAlignment="1">
      <alignment horizontal="center" vertical="center"/>
    </xf>
    <xf numFmtId="0" fontId="1" fillId="5" borderId="3" xfId="4" applyFont="1" applyFill="1" applyBorder="1" applyAlignment="1">
      <alignment horizontal="center" vertical="center"/>
    </xf>
    <xf numFmtId="0" fontId="1" fillId="0" borderId="4" xfId="4" applyFont="1" applyBorder="1" applyAlignment="1">
      <alignment horizontal="center" vertical="center"/>
    </xf>
    <xf numFmtId="0" fontId="1" fillId="5" borderId="4" xfId="4" applyFont="1" applyFill="1" applyBorder="1" applyAlignment="1">
      <alignment horizontal="center" vertical="center"/>
    </xf>
    <xf numFmtId="0" fontId="1" fillId="5" borderId="29" xfId="4" applyFont="1" applyFill="1" applyBorder="1" applyAlignment="1">
      <alignment horizontal="center" vertical="center"/>
    </xf>
    <xf numFmtId="0" fontId="1" fillId="5" borderId="9" xfId="4" applyFont="1" applyFill="1" applyBorder="1" applyAlignment="1">
      <alignment horizontal="center" vertical="center"/>
    </xf>
    <xf numFmtId="0" fontId="1" fillId="5" borderId="23" xfId="4" applyFont="1" applyFill="1" applyBorder="1" applyAlignment="1">
      <alignment horizontal="center" vertical="center"/>
    </xf>
    <xf numFmtId="0" fontId="17" fillId="4" borderId="3" xfId="4" applyFont="1" applyFill="1" applyBorder="1" applyAlignment="1">
      <alignment horizontal="center" vertical="center"/>
    </xf>
    <xf numFmtId="0" fontId="17" fillId="4" borderId="4" xfId="4" applyFont="1" applyFill="1" applyBorder="1" applyAlignment="1">
      <alignment horizontal="center" vertical="center"/>
    </xf>
    <xf numFmtId="0" fontId="17" fillId="4" borderId="20" xfId="4" applyFont="1" applyFill="1" applyBorder="1" applyAlignment="1">
      <alignment horizontal="center" vertical="center"/>
    </xf>
    <xf numFmtId="0" fontId="17" fillId="7" borderId="11" xfId="4" applyFont="1" applyFill="1" applyBorder="1" applyAlignment="1">
      <alignment horizontal="center" vertical="center"/>
    </xf>
    <xf numFmtId="0" fontId="17" fillId="7" borderId="9" xfId="4" applyFont="1" applyFill="1" applyBorder="1" applyAlignment="1">
      <alignment horizontal="center" vertical="center"/>
    </xf>
    <xf numFmtId="0" fontId="16" fillId="17" borderId="10" xfId="4" applyFont="1" applyFill="1" applyBorder="1" applyAlignment="1">
      <alignment horizontal="center" vertical="center" wrapText="1"/>
    </xf>
    <xf numFmtId="0" fontId="16" fillId="17" borderId="0" xfId="4" applyFont="1" applyFill="1" applyAlignment="1">
      <alignment horizontal="center" vertical="center" wrapText="1"/>
    </xf>
    <xf numFmtId="0" fontId="16" fillId="17" borderId="22" xfId="4" applyFont="1" applyFill="1" applyBorder="1" applyAlignment="1">
      <alignment horizontal="center" vertical="center" wrapText="1"/>
    </xf>
    <xf numFmtId="0" fontId="13" fillId="9" borderId="6" xfId="4" applyFont="1" applyFill="1" applyBorder="1" applyAlignment="1">
      <alignment horizontal="center" vertical="center"/>
    </xf>
    <xf numFmtId="0" fontId="13" fillId="9" borderId="29" xfId="4" applyFont="1" applyFill="1" applyBorder="1" applyAlignment="1">
      <alignment horizontal="center" vertical="center"/>
    </xf>
    <xf numFmtId="0" fontId="13" fillId="9" borderId="31" xfId="4" applyFont="1" applyFill="1" applyBorder="1" applyAlignment="1">
      <alignment horizontal="center" vertical="center"/>
    </xf>
    <xf numFmtId="0" fontId="15" fillId="11" borderId="29" xfId="0" applyFont="1" applyFill="1" applyBorder="1" applyAlignment="1" applyProtection="1">
      <alignment horizontal="center" vertical="center" wrapText="1"/>
      <protection locked="0"/>
    </xf>
    <xf numFmtId="0" fontId="15" fillId="11" borderId="9" xfId="0" applyFont="1" applyFill="1" applyBorder="1" applyAlignment="1" applyProtection="1">
      <alignment horizontal="center" vertical="center" wrapText="1"/>
      <protection locked="0"/>
    </xf>
    <xf numFmtId="0" fontId="1" fillId="16" borderId="10" xfId="4" applyFont="1" applyFill="1" applyBorder="1" applyAlignment="1">
      <alignment horizontal="center" vertical="center" wrapText="1"/>
    </xf>
    <xf numFmtId="0" fontId="1" fillId="16" borderId="0" xfId="4" applyFont="1" applyFill="1" applyAlignment="1">
      <alignment horizontal="center" vertical="center" wrapText="1"/>
    </xf>
    <xf numFmtId="0" fontId="1" fillId="16" borderId="22" xfId="4" applyFont="1" applyFill="1" applyBorder="1" applyAlignment="1">
      <alignment horizontal="center" vertical="center" wrapText="1"/>
    </xf>
    <xf numFmtId="0" fontId="1" fillId="0" borderId="12" xfId="4" applyFont="1" applyBorder="1" applyAlignment="1">
      <alignment horizontal="center" vertical="center" wrapText="1"/>
    </xf>
    <xf numFmtId="0" fontId="1" fillId="0" borderId="6" xfId="0" applyFont="1" applyBorder="1" applyAlignment="1" applyProtection="1">
      <alignment horizontal="left" vertical="center" wrapText="1"/>
      <protection locked="0"/>
    </xf>
    <xf numFmtId="0" fontId="1" fillId="0" borderId="15" xfId="0" applyFont="1" applyBorder="1" applyAlignment="1" applyProtection="1">
      <alignment horizontal="left" vertical="center" wrapText="1"/>
      <protection locked="0"/>
    </xf>
    <xf numFmtId="0" fontId="13" fillId="3" borderId="3" xfId="4" applyFont="1" applyFill="1" applyBorder="1" applyAlignment="1">
      <alignment horizontal="center" vertical="center"/>
    </xf>
    <xf numFmtId="0" fontId="13" fillId="3" borderId="4" xfId="4" applyFont="1" applyFill="1" applyBorder="1" applyAlignment="1">
      <alignment horizontal="center" vertical="center"/>
    </xf>
    <xf numFmtId="0" fontId="13" fillId="3" borderId="20" xfId="4" applyFont="1" applyFill="1" applyBorder="1" applyAlignment="1">
      <alignment horizontal="center" vertical="center"/>
    </xf>
    <xf numFmtId="0" fontId="1" fillId="10" borderId="4" xfId="4" applyFont="1" applyFill="1" applyBorder="1" applyAlignment="1" applyProtection="1">
      <alignment horizontal="left" vertical="center" wrapText="1"/>
      <protection hidden="1"/>
    </xf>
    <xf numFmtId="0" fontId="1" fillId="10" borderId="20" xfId="4" applyFont="1" applyFill="1" applyBorder="1" applyAlignment="1" applyProtection="1">
      <alignment horizontal="left" vertical="center" wrapText="1"/>
      <protection hidden="1"/>
    </xf>
    <xf numFmtId="0" fontId="1" fillId="10" borderId="6" xfId="4" applyFont="1" applyFill="1" applyBorder="1" applyAlignment="1" applyProtection="1">
      <alignment horizontal="left" vertical="center" wrapText="1"/>
      <protection hidden="1"/>
    </xf>
    <xf numFmtId="0" fontId="1" fillId="10" borderId="15" xfId="4" applyFont="1" applyFill="1" applyBorder="1" applyAlignment="1" applyProtection="1">
      <alignment horizontal="left" vertical="center" wrapText="1"/>
      <protection hidden="1"/>
    </xf>
    <xf numFmtId="0" fontId="1" fillId="5" borderId="10" xfId="4" applyFont="1" applyFill="1" applyBorder="1" applyAlignment="1">
      <alignment horizontal="center" vertical="center" wrapText="1"/>
    </xf>
    <xf numFmtId="0" fontId="1" fillId="5" borderId="5" xfId="4" applyFont="1" applyFill="1" applyBorder="1" applyAlignment="1">
      <alignment horizontal="center" vertical="center" wrapText="1"/>
    </xf>
    <xf numFmtId="0" fontId="1" fillId="5" borderId="6" xfId="4" applyFont="1" applyFill="1" applyBorder="1" applyAlignment="1">
      <alignment horizontal="center" vertical="center" wrapText="1"/>
    </xf>
    <xf numFmtId="0" fontId="12" fillId="0" borderId="6" xfId="4" applyFont="1" applyBorder="1" applyAlignment="1" applyProtection="1">
      <alignment horizontal="left" vertical="center" wrapText="1"/>
      <protection locked="0"/>
    </xf>
    <xf numFmtId="0" fontId="12" fillId="0" borderId="15" xfId="4" applyFont="1" applyBorder="1" applyAlignment="1" applyProtection="1">
      <alignment horizontal="left" vertical="center" wrapText="1"/>
      <protection locked="0"/>
    </xf>
    <xf numFmtId="0" fontId="7" fillId="9" borderId="11" xfId="4" applyFont="1" applyFill="1" applyBorder="1" applyAlignment="1">
      <alignment horizontal="center" vertical="center"/>
    </xf>
    <xf numFmtId="0" fontId="7" fillId="9" borderId="9" xfId="4" applyFont="1" applyFill="1" applyBorder="1" applyAlignment="1">
      <alignment horizontal="center" vertical="center"/>
    </xf>
    <xf numFmtId="0" fontId="7" fillId="9" borderId="23" xfId="4" applyFont="1" applyFill="1" applyBorder="1" applyAlignment="1">
      <alignment horizontal="center" vertical="center"/>
    </xf>
    <xf numFmtId="0" fontId="10" fillId="5" borderId="9" xfId="4" applyFont="1" applyFill="1" applyBorder="1" applyAlignment="1">
      <alignment vertical="center" wrapText="1"/>
    </xf>
    <xf numFmtId="0" fontId="11" fillId="0" borderId="9" xfId="4" applyFont="1" applyBorder="1" applyAlignment="1">
      <alignment vertical="center"/>
    </xf>
    <xf numFmtId="0" fontId="2" fillId="6" borderId="9" xfId="4" applyFont="1" applyFill="1" applyBorder="1" applyAlignment="1">
      <alignment vertical="center"/>
    </xf>
    <xf numFmtId="0" fontId="2" fillId="6" borderId="9" xfId="4" applyFont="1" applyFill="1" applyBorder="1" applyAlignment="1" applyProtection="1">
      <alignment horizontal="center" vertical="top" wrapText="1"/>
      <protection locked="0"/>
    </xf>
    <xf numFmtId="0" fontId="2" fillId="8" borderId="9" xfId="4" applyFont="1" applyFill="1" applyBorder="1" applyAlignment="1" applyProtection="1">
      <alignment horizontal="center" vertical="top" wrapText="1"/>
      <protection locked="0"/>
    </xf>
    <xf numFmtId="0" fontId="7" fillId="9" borderId="3" xfId="4" applyFont="1" applyFill="1" applyBorder="1" applyAlignment="1">
      <alignment horizontal="center" vertical="center"/>
    </xf>
    <xf numFmtId="0" fontId="7" fillId="9" borderId="4" xfId="4" applyFont="1" applyFill="1" applyBorder="1" applyAlignment="1">
      <alignment horizontal="center" vertical="center"/>
    </xf>
    <xf numFmtId="0" fontId="7" fillId="9" borderId="20" xfId="4" applyFont="1" applyFill="1" applyBorder="1" applyAlignment="1">
      <alignment horizontal="center" vertical="center"/>
    </xf>
    <xf numFmtId="0" fontId="1" fillId="0" borderId="6" xfId="4" applyFont="1" applyBorder="1" applyAlignment="1" applyProtection="1">
      <alignment vertical="center" wrapText="1"/>
      <protection locked="0"/>
    </xf>
    <xf numFmtId="0" fontId="1" fillId="0" borderId="15" xfId="4" applyFont="1" applyBorder="1" applyAlignment="1" applyProtection="1">
      <alignment vertical="center" wrapText="1"/>
      <protection locked="0"/>
    </xf>
    <xf numFmtId="0" fontId="4" fillId="0" borderId="1" xfId="0" applyFont="1" applyBorder="1" applyAlignment="1" applyProtection="1">
      <alignment horizontal="center" vertical="center" wrapText="1"/>
      <protection locked="0" hidden="1"/>
    </xf>
    <xf numFmtId="0" fontId="4" fillId="0" borderId="2" xfId="0" applyFont="1" applyBorder="1" applyAlignment="1" applyProtection="1">
      <alignment horizontal="center" vertical="center" wrapText="1"/>
      <protection locked="0" hidden="1"/>
    </xf>
    <xf numFmtId="0" fontId="4" fillId="0" borderId="19" xfId="0" applyFont="1" applyBorder="1" applyAlignment="1" applyProtection="1">
      <alignment horizontal="center" vertical="center" wrapText="1"/>
      <protection locked="0" hidden="1"/>
    </xf>
    <xf numFmtId="0" fontId="5" fillId="2" borderId="3" xfId="0" applyFont="1" applyFill="1" applyBorder="1" applyAlignment="1">
      <alignment horizontal="left" vertical="center" wrapText="1"/>
    </xf>
    <xf numFmtId="0" fontId="5" fillId="2" borderId="4" xfId="0" applyFont="1" applyFill="1" applyBorder="1" applyAlignment="1">
      <alignment horizontal="left" vertical="center" wrapText="1"/>
    </xf>
    <xf numFmtId="0" fontId="5" fillId="2" borderId="20" xfId="0" applyFont="1" applyFill="1" applyBorder="1" applyAlignment="1">
      <alignment horizontal="left" vertical="center" wrapText="1"/>
    </xf>
    <xf numFmtId="0" fontId="6" fillId="2" borderId="4" xfId="4" applyFont="1" applyFill="1" applyBorder="1" applyAlignment="1">
      <alignment horizontal="center" vertical="center"/>
    </xf>
    <xf numFmtId="0" fontId="6" fillId="2" borderId="20" xfId="4" applyFont="1" applyFill="1" applyBorder="1" applyAlignment="1">
      <alignment horizontal="center" vertical="center"/>
    </xf>
    <xf numFmtId="0" fontId="8" fillId="3" borderId="3" xfId="4" applyFont="1" applyFill="1" applyBorder="1" applyAlignment="1">
      <alignment horizontal="center" vertical="center" wrapText="1"/>
    </xf>
    <xf numFmtId="0" fontId="8" fillId="3" borderId="4"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9" fillId="4" borderId="3" xfId="4" applyFont="1" applyFill="1" applyBorder="1" applyAlignment="1">
      <alignment horizontal="center" vertical="center"/>
    </xf>
    <xf numFmtId="0" fontId="9" fillId="4" borderId="4" xfId="4" applyFont="1" applyFill="1" applyBorder="1" applyAlignment="1">
      <alignment horizontal="center" vertical="center"/>
    </xf>
    <xf numFmtId="0" fontId="9" fillId="4" borderId="20" xfId="4" applyFont="1" applyFill="1" applyBorder="1" applyAlignment="1">
      <alignment horizontal="center" vertical="center"/>
    </xf>
    <xf numFmtId="4" fontId="2" fillId="6" borderId="6" xfId="4" applyNumberFormat="1" applyFont="1" applyFill="1" applyBorder="1" applyAlignment="1" applyProtection="1">
      <alignment horizontal="center" vertical="top" wrapText="1"/>
      <protection locked="0"/>
    </xf>
    <xf numFmtId="0" fontId="2" fillId="8" borderId="6" xfId="4" applyFont="1" applyFill="1" applyBorder="1" applyAlignment="1" applyProtection="1">
      <alignment horizontal="center" vertical="top" wrapText="1"/>
      <protection locked="0"/>
    </xf>
    <xf numFmtId="0" fontId="2" fillId="6" borderId="6" xfId="4" applyFont="1" applyFill="1" applyBorder="1" applyAlignment="1" applyProtection="1">
      <alignment horizontal="center" vertical="top" wrapText="1"/>
      <protection locked="0"/>
    </xf>
    <xf numFmtId="0" fontId="2" fillId="6" borderId="9" xfId="4" applyFont="1" applyFill="1" applyBorder="1" applyAlignment="1" applyProtection="1">
      <alignment horizontal="center" vertical="center" wrapText="1"/>
      <protection locked="0"/>
    </xf>
  </cellXfs>
  <cellStyles count="7">
    <cellStyle name="Comma" xfId="1" builtinId="3"/>
    <cellStyle name="Comma 2" xfId="3"/>
    <cellStyle name="Normal" xfId="0" builtinId="0"/>
    <cellStyle name="Normal 2" xfId="4"/>
    <cellStyle name="Normal 2_Sheet1" xfId="5"/>
    <cellStyle name="Normal_Sheet1" xfId="6"/>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png"/><Relationship Id="rId2" Type="http://schemas.openxmlformats.org/officeDocument/2006/relationships/image" Target="../media/image2.jpe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15.pn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4</xdr:col>
      <xdr:colOff>0</xdr:colOff>
      <xdr:row>58</xdr:row>
      <xdr:rowOff>0</xdr:rowOff>
    </xdr:from>
    <xdr:to>
      <xdr:col>4</xdr:col>
      <xdr:colOff>0</xdr:colOff>
      <xdr:row>58</xdr:row>
      <xdr:rowOff>0</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4343400" y="13695680"/>
          <a:ext cx="0" cy="0"/>
        </a:xfrm>
        <a:prstGeom prst="rect">
          <a:avLst/>
        </a:prstGeom>
        <a:solidFill>
          <a:sysClr val="window" lastClr="FFFFFF"/>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overflow" lIns="90170" tIns="46990" rIns="90170" bIns="46990" anchor="ctr"/>
        <a:lstStyle/>
        <a:p>
          <a:pPr algn="ctr">
            <a:lnSpc>
              <a:spcPct val="100000"/>
            </a:lnSpc>
          </a:pPr>
          <a:endParaRPr/>
        </a:p>
      </xdr:txBody>
    </xdr:sp>
    <xdr:clientData/>
  </xdr:twoCellAnchor>
  <xdr:twoCellAnchor>
    <xdr:from>
      <xdr:col>10</xdr:col>
      <xdr:colOff>0</xdr:colOff>
      <xdr:row>12</xdr:row>
      <xdr:rowOff>0</xdr:rowOff>
    </xdr:from>
    <xdr:to>
      <xdr:col>10</xdr:col>
      <xdr:colOff>0</xdr:colOff>
      <xdr:row>12</xdr:row>
      <xdr:rowOff>0</xdr:rowOff>
    </xdr:to>
    <xdr:sp macro="" textlink="">
      <xdr:nvSpPr>
        <xdr:cNvPr id="3" name="Rectangle 2">
          <a:extLst>
            <a:ext uri="{FF2B5EF4-FFF2-40B4-BE49-F238E27FC236}">
              <a16:creationId xmlns:a16="http://schemas.microsoft.com/office/drawing/2014/main" id="{00000000-0008-0000-0000-000003000000}"/>
            </a:ext>
          </a:extLst>
        </xdr:cNvPr>
        <xdr:cNvSpPr/>
      </xdr:nvSpPr>
      <xdr:spPr>
        <a:xfrm>
          <a:off x="11020425" y="3463290"/>
          <a:ext cx="0" cy="0"/>
        </a:xfrm>
        <a:prstGeom prst="rect">
          <a:avLst/>
        </a:prstGeom>
        <a:solidFill>
          <a:sysClr val="window" lastClr="FFFFFF"/>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overflow" lIns="90170" tIns="46990" rIns="90170" bIns="46990" anchor="ctr"/>
        <a:lstStyle/>
        <a:p>
          <a:pPr algn="ctr">
            <a:lnSpc>
              <a:spcPct val="100000"/>
            </a:lnSpc>
          </a:pPr>
          <a:endParaRPr/>
        </a:p>
      </xdr:txBody>
    </xdr:sp>
    <xdr:clientData/>
  </xdr:twoCellAnchor>
  <xdr:twoCellAnchor>
    <xdr:from>
      <xdr:col>10</xdr:col>
      <xdr:colOff>0</xdr:colOff>
      <xdr:row>12</xdr:row>
      <xdr:rowOff>0</xdr:rowOff>
    </xdr:from>
    <xdr:to>
      <xdr:col>10</xdr:col>
      <xdr:colOff>0</xdr:colOff>
      <xdr:row>12</xdr:row>
      <xdr:rowOff>0</xdr:rowOff>
    </xdr:to>
    <xdr:sp macro="" textlink="">
      <xdr:nvSpPr>
        <xdr:cNvPr id="4" name="Rectangle 3">
          <a:extLst>
            <a:ext uri="{FF2B5EF4-FFF2-40B4-BE49-F238E27FC236}">
              <a16:creationId xmlns:a16="http://schemas.microsoft.com/office/drawing/2014/main" id="{00000000-0008-0000-0000-000004000000}"/>
            </a:ext>
          </a:extLst>
        </xdr:cNvPr>
        <xdr:cNvSpPr/>
      </xdr:nvSpPr>
      <xdr:spPr>
        <a:xfrm>
          <a:off x="11020425" y="3463290"/>
          <a:ext cx="0" cy="0"/>
        </a:xfrm>
        <a:prstGeom prst="rect">
          <a:avLst/>
        </a:prstGeom>
        <a:solidFill>
          <a:sysClr val="window" lastClr="FFFFFF"/>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overflow" lIns="90170" tIns="46990" rIns="90170" bIns="46990" anchor="ctr"/>
        <a:lstStyle/>
        <a:p>
          <a:pPr algn="ctr">
            <a:lnSpc>
              <a:spcPct val="100000"/>
            </a:lnSpc>
          </a:pPr>
          <a:endParaRPr/>
        </a:p>
      </xdr:txBody>
    </xdr:sp>
    <xdr:clientData/>
  </xdr:twoCellAnchor>
  <xdr:twoCellAnchor>
    <xdr:from>
      <xdr:col>4</xdr:col>
      <xdr:colOff>0</xdr:colOff>
      <xdr:row>58</xdr:row>
      <xdr:rowOff>0</xdr:rowOff>
    </xdr:from>
    <xdr:to>
      <xdr:col>4</xdr:col>
      <xdr:colOff>0</xdr:colOff>
      <xdr:row>58</xdr:row>
      <xdr:rowOff>0</xdr:rowOff>
    </xdr:to>
    <xdr:sp macro="" textlink="">
      <xdr:nvSpPr>
        <xdr:cNvPr id="5" name="Rectangle 4">
          <a:extLst>
            <a:ext uri="{FF2B5EF4-FFF2-40B4-BE49-F238E27FC236}">
              <a16:creationId xmlns:a16="http://schemas.microsoft.com/office/drawing/2014/main" id="{00000000-0008-0000-0000-000005000000}"/>
            </a:ext>
          </a:extLst>
        </xdr:cNvPr>
        <xdr:cNvSpPr/>
      </xdr:nvSpPr>
      <xdr:spPr>
        <a:xfrm>
          <a:off x="4343400" y="13695680"/>
          <a:ext cx="0" cy="0"/>
        </a:xfrm>
        <a:prstGeom prst="rect">
          <a:avLst/>
        </a:prstGeom>
        <a:solidFill>
          <a:sysClr val="window" lastClr="FFFFFF"/>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overflow" lIns="90170" tIns="46990" rIns="90170" bIns="46990" anchor="ctr"/>
        <a:lstStyle/>
        <a:p>
          <a:pPr algn="ctr">
            <a:lnSpc>
              <a:spcPct val="100000"/>
            </a:lnSpc>
          </a:pPr>
          <a:endParaRPr/>
        </a:p>
      </xdr:txBody>
    </xdr:sp>
    <xdr:clientData/>
  </xdr:twoCellAnchor>
  <xdr:twoCellAnchor>
    <xdr:from>
      <xdr:col>4</xdr:col>
      <xdr:colOff>0</xdr:colOff>
      <xdr:row>58</xdr:row>
      <xdr:rowOff>0</xdr:rowOff>
    </xdr:from>
    <xdr:to>
      <xdr:col>4</xdr:col>
      <xdr:colOff>0</xdr:colOff>
      <xdr:row>58</xdr:row>
      <xdr:rowOff>0</xdr:rowOff>
    </xdr:to>
    <xdr:sp macro="" textlink="">
      <xdr:nvSpPr>
        <xdr:cNvPr id="6" name="Rectangle 5">
          <a:extLst>
            <a:ext uri="{FF2B5EF4-FFF2-40B4-BE49-F238E27FC236}">
              <a16:creationId xmlns:a16="http://schemas.microsoft.com/office/drawing/2014/main" id="{00000000-0008-0000-0000-000006000000}"/>
            </a:ext>
          </a:extLst>
        </xdr:cNvPr>
        <xdr:cNvSpPr/>
      </xdr:nvSpPr>
      <xdr:spPr>
        <a:xfrm>
          <a:off x="4343400" y="13695680"/>
          <a:ext cx="0" cy="0"/>
        </a:xfrm>
        <a:prstGeom prst="rect">
          <a:avLst/>
        </a:prstGeom>
        <a:solidFill>
          <a:sysClr val="window" lastClr="FFFFFF"/>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overflow" lIns="90170" tIns="46990" rIns="90170" bIns="46990" anchor="ctr"/>
        <a:lstStyle/>
        <a:p>
          <a:pPr algn="ctr">
            <a:lnSpc>
              <a:spcPct val="100000"/>
            </a:lnSpc>
          </a:pPr>
          <a:endParaRPr/>
        </a:p>
      </xdr:txBody>
    </xdr:sp>
    <xdr:clientData/>
  </xdr:twoCellAnchor>
  <xdr:twoCellAnchor>
    <xdr:from>
      <xdr:col>4</xdr:col>
      <xdr:colOff>0</xdr:colOff>
      <xdr:row>58</xdr:row>
      <xdr:rowOff>0</xdr:rowOff>
    </xdr:from>
    <xdr:to>
      <xdr:col>4</xdr:col>
      <xdr:colOff>0</xdr:colOff>
      <xdr:row>58</xdr:row>
      <xdr:rowOff>0</xdr:rowOff>
    </xdr:to>
    <xdr:sp macro="" textlink="">
      <xdr:nvSpPr>
        <xdr:cNvPr id="7" name="Rectangle 6">
          <a:extLst>
            <a:ext uri="{FF2B5EF4-FFF2-40B4-BE49-F238E27FC236}">
              <a16:creationId xmlns:a16="http://schemas.microsoft.com/office/drawing/2014/main" id="{00000000-0008-0000-0000-000007000000}"/>
            </a:ext>
          </a:extLst>
        </xdr:cNvPr>
        <xdr:cNvSpPr/>
      </xdr:nvSpPr>
      <xdr:spPr>
        <a:xfrm>
          <a:off x="4343400" y="13695680"/>
          <a:ext cx="0" cy="0"/>
        </a:xfrm>
        <a:prstGeom prst="rect">
          <a:avLst/>
        </a:prstGeom>
        <a:solidFill>
          <a:sysClr val="window" lastClr="FFFFFF"/>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overflow" lIns="90170" tIns="46990" rIns="90170" bIns="46990" anchor="ctr"/>
        <a:lstStyle/>
        <a:p>
          <a:pPr algn="ctr">
            <a:lnSpc>
              <a:spcPct val="100000"/>
            </a:lnSpc>
          </a:pPr>
          <a:endParaRPr/>
        </a:p>
      </xdr:txBody>
    </xdr:sp>
    <xdr:clientData/>
  </xdr:twoCellAnchor>
  <xdr:twoCellAnchor>
    <xdr:from>
      <xdr:col>4</xdr:col>
      <xdr:colOff>0</xdr:colOff>
      <xdr:row>58</xdr:row>
      <xdr:rowOff>0</xdr:rowOff>
    </xdr:from>
    <xdr:to>
      <xdr:col>4</xdr:col>
      <xdr:colOff>0</xdr:colOff>
      <xdr:row>58</xdr:row>
      <xdr:rowOff>0</xdr:rowOff>
    </xdr:to>
    <xdr:sp macro="" textlink="">
      <xdr:nvSpPr>
        <xdr:cNvPr id="8" name="Rectangle 7">
          <a:extLst>
            <a:ext uri="{FF2B5EF4-FFF2-40B4-BE49-F238E27FC236}">
              <a16:creationId xmlns:a16="http://schemas.microsoft.com/office/drawing/2014/main" id="{00000000-0008-0000-0000-000008000000}"/>
            </a:ext>
          </a:extLst>
        </xdr:cNvPr>
        <xdr:cNvSpPr/>
      </xdr:nvSpPr>
      <xdr:spPr>
        <a:xfrm>
          <a:off x="4343400" y="13695680"/>
          <a:ext cx="0" cy="0"/>
        </a:xfrm>
        <a:prstGeom prst="rect">
          <a:avLst/>
        </a:prstGeom>
        <a:solidFill>
          <a:sysClr val="window" lastClr="FFFFFF"/>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overflow" lIns="90170" tIns="46990" rIns="90170" bIns="46990" anchor="ctr"/>
        <a:lstStyle/>
        <a:p>
          <a:pPr algn="ctr">
            <a:lnSpc>
              <a:spcPct val="100000"/>
            </a:lnSpc>
          </a:pPr>
          <a:endParaRPr/>
        </a:p>
      </xdr:txBody>
    </xdr:sp>
    <xdr:clientData/>
  </xdr:twoCellAnchor>
  <xdr:twoCellAnchor>
    <xdr:from>
      <xdr:col>4</xdr:col>
      <xdr:colOff>0</xdr:colOff>
      <xdr:row>58</xdr:row>
      <xdr:rowOff>0</xdr:rowOff>
    </xdr:from>
    <xdr:to>
      <xdr:col>4</xdr:col>
      <xdr:colOff>0</xdr:colOff>
      <xdr:row>58</xdr:row>
      <xdr:rowOff>0</xdr:rowOff>
    </xdr:to>
    <xdr:sp macro="" textlink="">
      <xdr:nvSpPr>
        <xdr:cNvPr id="9" name="Rectangle 8">
          <a:extLst>
            <a:ext uri="{FF2B5EF4-FFF2-40B4-BE49-F238E27FC236}">
              <a16:creationId xmlns:a16="http://schemas.microsoft.com/office/drawing/2014/main" id="{00000000-0008-0000-0000-000009000000}"/>
            </a:ext>
          </a:extLst>
        </xdr:cNvPr>
        <xdr:cNvSpPr/>
      </xdr:nvSpPr>
      <xdr:spPr>
        <a:xfrm>
          <a:off x="4343400" y="13695680"/>
          <a:ext cx="0" cy="0"/>
        </a:xfrm>
        <a:prstGeom prst="rect">
          <a:avLst/>
        </a:prstGeom>
        <a:solidFill>
          <a:sysClr val="window" lastClr="FFFFFF"/>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overflow" lIns="90170" tIns="46990" rIns="90170" bIns="46990" anchor="ctr"/>
        <a:lstStyle/>
        <a:p>
          <a:pPr algn="ctr">
            <a:lnSpc>
              <a:spcPct val="100000"/>
            </a:lnSpc>
          </a:pPr>
          <a:endParaRPr/>
        </a:p>
      </xdr:txBody>
    </xdr:sp>
    <xdr:clientData/>
  </xdr:twoCellAnchor>
  <xdr:twoCellAnchor>
    <xdr:from>
      <xdr:col>4</xdr:col>
      <xdr:colOff>0</xdr:colOff>
      <xdr:row>58</xdr:row>
      <xdr:rowOff>0</xdr:rowOff>
    </xdr:from>
    <xdr:to>
      <xdr:col>4</xdr:col>
      <xdr:colOff>0</xdr:colOff>
      <xdr:row>58</xdr:row>
      <xdr:rowOff>0</xdr:rowOff>
    </xdr:to>
    <xdr:sp macro="" textlink="">
      <xdr:nvSpPr>
        <xdr:cNvPr id="10" name="Rectangle 9">
          <a:extLst>
            <a:ext uri="{FF2B5EF4-FFF2-40B4-BE49-F238E27FC236}">
              <a16:creationId xmlns:a16="http://schemas.microsoft.com/office/drawing/2014/main" id="{00000000-0008-0000-0000-00000A000000}"/>
            </a:ext>
          </a:extLst>
        </xdr:cNvPr>
        <xdr:cNvSpPr/>
      </xdr:nvSpPr>
      <xdr:spPr>
        <a:xfrm>
          <a:off x="4343400" y="13695680"/>
          <a:ext cx="0" cy="0"/>
        </a:xfrm>
        <a:prstGeom prst="rect">
          <a:avLst/>
        </a:prstGeom>
        <a:solidFill>
          <a:sysClr val="window" lastClr="FFFFFF"/>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overflow" lIns="90170" tIns="46990" rIns="90170" bIns="46990" anchor="ctr"/>
        <a:lstStyle/>
        <a:p>
          <a:pPr algn="ctr">
            <a:lnSpc>
              <a:spcPct val="100000"/>
            </a:lnSpc>
          </a:pPr>
          <a:endParaRPr/>
        </a:p>
      </xdr:txBody>
    </xdr:sp>
    <xdr:clientData/>
  </xdr:twoCellAnchor>
  <xdr:twoCellAnchor>
    <xdr:from>
      <xdr:col>4</xdr:col>
      <xdr:colOff>0</xdr:colOff>
      <xdr:row>58</xdr:row>
      <xdr:rowOff>0</xdr:rowOff>
    </xdr:from>
    <xdr:to>
      <xdr:col>4</xdr:col>
      <xdr:colOff>0</xdr:colOff>
      <xdr:row>58</xdr:row>
      <xdr:rowOff>0</xdr:rowOff>
    </xdr:to>
    <xdr:sp macro="" textlink="">
      <xdr:nvSpPr>
        <xdr:cNvPr id="11" name="Rectangle 10">
          <a:extLst>
            <a:ext uri="{FF2B5EF4-FFF2-40B4-BE49-F238E27FC236}">
              <a16:creationId xmlns:a16="http://schemas.microsoft.com/office/drawing/2014/main" id="{00000000-0008-0000-0000-00000B000000}"/>
            </a:ext>
          </a:extLst>
        </xdr:cNvPr>
        <xdr:cNvSpPr/>
      </xdr:nvSpPr>
      <xdr:spPr>
        <a:xfrm>
          <a:off x="4343400" y="13695680"/>
          <a:ext cx="0" cy="0"/>
        </a:xfrm>
        <a:prstGeom prst="rect">
          <a:avLst/>
        </a:prstGeom>
        <a:solidFill>
          <a:sysClr val="window" lastClr="FFFFFF"/>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overflow" lIns="90170" tIns="46990" rIns="90170" bIns="46990" anchor="ctr"/>
        <a:lstStyle/>
        <a:p>
          <a:pPr algn="ctr">
            <a:lnSpc>
              <a:spcPct val="100000"/>
            </a:lnSpc>
          </a:pPr>
          <a:endParaRPr/>
        </a:p>
      </xdr:txBody>
    </xdr:sp>
    <xdr:clientData/>
  </xdr:twoCellAnchor>
  <xdr:twoCellAnchor>
    <xdr:from>
      <xdr:col>4</xdr:col>
      <xdr:colOff>0</xdr:colOff>
      <xdr:row>58</xdr:row>
      <xdr:rowOff>0</xdr:rowOff>
    </xdr:from>
    <xdr:to>
      <xdr:col>4</xdr:col>
      <xdr:colOff>0</xdr:colOff>
      <xdr:row>58</xdr:row>
      <xdr:rowOff>0</xdr:rowOff>
    </xdr:to>
    <xdr:sp macro="" textlink="">
      <xdr:nvSpPr>
        <xdr:cNvPr id="21" name="Rectangle 20">
          <a:extLst>
            <a:ext uri="{FF2B5EF4-FFF2-40B4-BE49-F238E27FC236}">
              <a16:creationId xmlns:a16="http://schemas.microsoft.com/office/drawing/2014/main" id="{00000000-0008-0000-0000-000015000000}"/>
            </a:ext>
          </a:extLst>
        </xdr:cNvPr>
        <xdr:cNvSpPr/>
      </xdr:nvSpPr>
      <xdr:spPr>
        <a:xfrm>
          <a:off x="4343400" y="13695680"/>
          <a:ext cx="0" cy="0"/>
        </a:xfrm>
        <a:prstGeom prst="rect">
          <a:avLst/>
        </a:prstGeom>
        <a:solidFill>
          <a:sysClr val="window" lastClr="FFFFFF"/>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overflow" lIns="90170" tIns="46990" rIns="90170" bIns="46990" anchor="ctr"/>
        <a:lstStyle/>
        <a:p>
          <a:pPr algn="ctr">
            <a:lnSpc>
              <a:spcPct val="100000"/>
            </a:lnSpc>
          </a:pPr>
          <a:endParaRPr/>
        </a:p>
      </xdr:txBody>
    </xdr:sp>
    <xdr:clientData/>
  </xdr:twoCellAnchor>
  <xdr:twoCellAnchor>
    <xdr:from>
      <xdr:col>10</xdr:col>
      <xdr:colOff>0</xdr:colOff>
      <xdr:row>12</xdr:row>
      <xdr:rowOff>0</xdr:rowOff>
    </xdr:from>
    <xdr:to>
      <xdr:col>10</xdr:col>
      <xdr:colOff>0</xdr:colOff>
      <xdr:row>12</xdr:row>
      <xdr:rowOff>0</xdr:rowOff>
    </xdr:to>
    <xdr:sp macro="" textlink="">
      <xdr:nvSpPr>
        <xdr:cNvPr id="22" name="Rectangle 21">
          <a:extLst>
            <a:ext uri="{FF2B5EF4-FFF2-40B4-BE49-F238E27FC236}">
              <a16:creationId xmlns:a16="http://schemas.microsoft.com/office/drawing/2014/main" id="{00000000-0008-0000-0000-000016000000}"/>
            </a:ext>
          </a:extLst>
        </xdr:cNvPr>
        <xdr:cNvSpPr/>
      </xdr:nvSpPr>
      <xdr:spPr>
        <a:xfrm>
          <a:off x="11020425" y="3463290"/>
          <a:ext cx="0" cy="0"/>
        </a:xfrm>
        <a:prstGeom prst="rect">
          <a:avLst/>
        </a:prstGeom>
        <a:solidFill>
          <a:sysClr val="window" lastClr="FFFFFF"/>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overflow" lIns="90170" tIns="46990" rIns="90170" bIns="46990" anchor="ctr"/>
        <a:lstStyle/>
        <a:p>
          <a:pPr algn="ctr">
            <a:lnSpc>
              <a:spcPct val="100000"/>
            </a:lnSpc>
          </a:pPr>
          <a:endParaRPr/>
        </a:p>
      </xdr:txBody>
    </xdr:sp>
    <xdr:clientData/>
  </xdr:twoCellAnchor>
  <xdr:twoCellAnchor>
    <xdr:from>
      <xdr:col>10</xdr:col>
      <xdr:colOff>0</xdr:colOff>
      <xdr:row>12</xdr:row>
      <xdr:rowOff>0</xdr:rowOff>
    </xdr:from>
    <xdr:to>
      <xdr:col>10</xdr:col>
      <xdr:colOff>0</xdr:colOff>
      <xdr:row>12</xdr:row>
      <xdr:rowOff>0</xdr:rowOff>
    </xdr:to>
    <xdr:sp macro="" textlink="">
      <xdr:nvSpPr>
        <xdr:cNvPr id="23" name="Rectangle 22">
          <a:extLst>
            <a:ext uri="{FF2B5EF4-FFF2-40B4-BE49-F238E27FC236}">
              <a16:creationId xmlns:a16="http://schemas.microsoft.com/office/drawing/2014/main" id="{00000000-0008-0000-0000-000017000000}"/>
            </a:ext>
          </a:extLst>
        </xdr:cNvPr>
        <xdr:cNvSpPr/>
      </xdr:nvSpPr>
      <xdr:spPr>
        <a:xfrm>
          <a:off x="11020425" y="3463290"/>
          <a:ext cx="0" cy="0"/>
        </a:xfrm>
        <a:prstGeom prst="rect">
          <a:avLst/>
        </a:prstGeom>
        <a:solidFill>
          <a:sysClr val="window" lastClr="FFFFFF"/>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overflow" lIns="90170" tIns="46990" rIns="90170" bIns="46990" anchor="ctr"/>
        <a:lstStyle/>
        <a:p>
          <a:pPr algn="ctr">
            <a:lnSpc>
              <a:spcPct val="100000"/>
            </a:lnSpc>
          </a:pPr>
          <a:endParaRPr/>
        </a:p>
      </xdr:txBody>
    </xdr:sp>
    <xdr:clientData/>
  </xdr:twoCellAnchor>
  <xdr:twoCellAnchor>
    <xdr:from>
      <xdr:col>4</xdr:col>
      <xdr:colOff>0</xdr:colOff>
      <xdr:row>58</xdr:row>
      <xdr:rowOff>0</xdr:rowOff>
    </xdr:from>
    <xdr:to>
      <xdr:col>4</xdr:col>
      <xdr:colOff>0</xdr:colOff>
      <xdr:row>58</xdr:row>
      <xdr:rowOff>0</xdr:rowOff>
    </xdr:to>
    <xdr:sp macro="" textlink="">
      <xdr:nvSpPr>
        <xdr:cNvPr id="24" name="Rectangle 23">
          <a:extLst>
            <a:ext uri="{FF2B5EF4-FFF2-40B4-BE49-F238E27FC236}">
              <a16:creationId xmlns:a16="http://schemas.microsoft.com/office/drawing/2014/main" id="{00000000-0008-0000-0000-000018000000}"/>
            </a:ext>
          </a:extLst>
        </xdr:cNvPr>
        <xdr:cNvSpPr/>
      </xdr:nvSpPr>
      <xdr:spPr>
        <a:xfrm>
          <a:off x="4343400" y="13695680"/>
          <a:ext cx="0" cy="0"/>
        </a:xfrm>
        <a:prstGeom prst="rect">
          <a:avLst/>
        </a:prstGeom>
        <a:solidFill>
          <a:sysClr val="window" lastClr="FFFFFF"/>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overflow" lIns="90170" tIns="46990" rIns="90170" bIns="46990" anchor="ctr"/>
        <a:lstStyle/>
        <a:p>
          <a:pPr algn="ctr">
            <a:lnSpc>
              <a:spcPct val="100000"/>
            </a:lnSpc>
          </a:pPr>
          <a:endParaRPr/>
        </a:p>
      </xdr:txBody>
    </xdr:sp>
    <xdr:clientData/>
  </xdr:twoCellAnchor>
  <xdr:twoCellAnchor>
    <xdr:from>
      <xdr:col>4</xdr:col>
      <xdr:colOff>0</xdr:colOff>
      <xdr:row>58</xdr:row>
      <xdr:rowOff>0</xdr:rowOff>
    </xdr:from>
    <xdr:to>
      <xdr:col>4</xdr:col>
      <xdr:colOff>0</xdr:colOff>
      <xdr:row>58</xdr:row>
      <xdr:rowOff>0</xdr:rowOff>
    </xdr:to>
    <xdr:sp macro="" textlink="">
      <xdr:nvSpPr>
        <xdr:cNvPr id="25" name="Rectangle 24">
          <a:extLst>
            <a:ext uri="{FF2B5EF4-FFF2-40B4-BE49-F238E27FC236}">
              <a16:creationId xmlns:a16="http://schemas.microsoft.com/office/drawing/2014/main" id="{00000000-0008-0000-0000-000019000000}"/>
            </a:ext>
          </a:extLst>
        </xdr:cNvPr>
        <xdr:cNvSpPr/>
      </xdr:nvSpPr>
      <xdr:spPr>
        <a:xfrm>
          <a:off x="4343400" y="13695680"/>
          <a:ext cx="0" cy="0"/>
        </a:xfrm>
        <a:prstGeom prst="rect">
          <a:avLst/>
        </a:prstGeom>
        <a:solidFill>
          <a:sysClr val="window" lastClr="FFFFFF"/>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overflow" lIns="90170" tIns="46990" rIns="90170" bIns="46990" anchor="ctr"/>
        <a:lstStyle/>
        <a:p>
          <a:pPr algn="ctr">
            <a:lnSpc>
              <a:spcPct val="100000"/>
            </a:lnSpc>
          </a:pPr>
          <a:endParaRPr/>
        </a:p>
      </xdr:txBody>
    </xdr:sp>
    <xdr:clientData/>
  </xdr:twoCellAnchor>
  <xdr:twoCellAnchor>
    <xdr:from>
      <xdr:col>4</xdr:col>
      <xdr:colOff>0</xdr:colOff>
      <xdr:row>58</xdr:row>
      <xdr:rowOff>0</xdr:rowOff>
    </xdr:from>
    <xdr:to>
      <xdr:col>4</xdr:col>
      <xdr:colOff>0</xdr:colOff>
      <xdr:row>58</xdr:row>
      <xdr:rowOff>0</xdr:rowOff>
    </xdr:to>
    <xdr:sp macro="" textlink="">
      <xdr:nvSpPr>
        <xdr:cNvPr id="26" name="Rectangle 25">
          <a:extLst>
            <a:ext uri="{FF2B5EF4-FFF2-40B4-BE49-F238E27FC236}">
              <a16:creationId xmlns:a16="http://schemas.microsoft.com/office/drawing/2014/main" id="{00000000-0008-0000-0000-00001A000000}"/>
            </a:ext>
          </a:extLst>
        </xdr:cNvPr>
        <xdr:cNvSpPr/>
      </xdr:nvSpPr>
      <xdr:spPr>
        <a:xfrm>
          <a:off x="4343400" y="13695680"/>
          <a:ext cx="0" cy="0"/>
        </a:xfrm>
        <a:prstGeom prst="rect">
          <a:avLst/>
        </a:prstGeom>
        <a:solidFill>
          <a:sysClr val="window" lastClr="FFFFFF"/>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overflow" lIns="90170" tIns="46990" rIns="90170" bIns="46990" anchor="ctr"/>
        <a:lstStyle/>
        <a:p>
          <a:pPr algn="ctr">
            <a:lnSpc>
              <a:spcPct val="100000"/>
            </a:lnSpc>
          </a:pPr>
          <a:endParaRPr/>
        </a:p>
      </xdr:txBody>
    </xdr:sp>
    <xdr:clientData/>
  </xdr:twoCellAnchor>
  <xdr:twoCellAnchor>
    <xdr:from>
      <xdr:col>4</xdr:col>
      <xdr:colOff>0</xdr:colOff>
      <xdr:row>58</xdr:row>
      <xdr:rowOff>0</xdr:rowOff>
    </xdr:from>
    <xdr:to>
      <xdr:col>4</xdr:col>
      <xdr:colOff>0</xdr:colOff>
      <xdr:row>58</xdr:row>
      <xdr:rowOff>0</xdr:rowOff>
    </xdr:to>
    <xdr:sp macro="" textlink="">
      <xdr:nvSpPr>
        <xdr:cNvPr id="27" name="Rectangle 26">
          <a:extLst>
            <a:ext uri="{FF2B5EF4-FFF2-40B4-BE49-F238E27FC236}">
              <a16:creationId xmlns:a16="http://schemas.microsoft.com/office/drawing/2014/main" id="{00000000-0008-0000-0000-00001B000000}"/>
            </a:ext>
          </a:extLst>
        </xdr:cNvPr>
        <xdr:cNvSpPr/>
      </xdr:nvSpPr>
      <xdr:spPr>
        <a:xfrm>
          <a:off x="4343400" y="13695680"/>
          <a:ext cx="0" cy="0"/>
        </a:xfrm>
        <a:prstGeom prst="rect">
          <a:avLst/>
        </a:prstGeom>
        <a:solidFill>
          <a:sysClr val="window" lastClr="FFFFFF"/>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overflow" lIns="90170" tIns="46990" rIns="90170" bIns="46990" anchor="ctr"/>
        <a:lstStyle/>
        <a:p>
          <a:pPr algn="ctr">
            <a:lnSpc>
              <a:spcPct val="100000"/>
            </a:lnSpc>
          </a:pPr>
          <a:endParaRPr/>
        </a:p>
      </xdr:txBody>
    </xdr:sp>
    <xdr:clientData/>
  </xdr:twoCellAnchor>
  <xdr:twoCellAnchor>
    <xdr:from>
      <xdr:col>4</xdr:col>
      <xdr:colOff>0</xdr:colOff>
      <xdr:row>58</xdr:row>
      <xdr:rowOff>0</xdr:rowOff>
    </xdr:from>
    <xdr:to>
      <xdr:col>4</xdr:col>
      <xdr:colOff>0</xdr:colOff>
      <xdr:row>58</xdr:row>
      <xdr:rowOff>0</xdr:rowOff>
    </xdr:to>
    <xdr:sp macro="" textlink="">
      <xdr:nvSpPr>
        <xdr:cNvPr id="28" name="Rectangle 27">
          <a:extLst>
            <a:ext uri="{FF2B5EF4-FFF2-40B4-BE49-F238E27FC236}">
              <a16:creationId xmlns:a16="http://schemas.microsoft.com/office/drawing/2014/main" id="{00000000-0008-0000-0000-00001C000000}"/>
            </a:ext>
          </a:extLst>
        </xdr:cNvPr>
        <xdr:cNvSpPr/>
      </xdr:nvSpPr>
      <xdr:spPr>
        <a:xfrm>
          <a:off x="4343400" y="13695680"/>
          <a:ext cx="0" cy="0"/>
        </a:xfrm>
        <a:prstGeom prst="rect">
          <a:avLst/>
        </a:prstGeom>
        <a:solidFill>
          <a:sysClr val="window" lastClr="FFFFFF"/>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overflow" lIns="90170" tIns="46990" rIns="90170" bIns="46990" anchor="ctr"/>
        <a:lstStyle/>
        <a:p>
          <a:pPr algn="ctr">
            <a:lnSpc>
              <a:spcPct val="100000"/>
            </a:lnSpc>
          </a:pPr>
          <a:endParaRPr/>
        </a:p>
      </xdr:txBody>
    </xdr:sp>
    <xdr:clientData/>
  </xdr:twoCellAnchor>
  <xdr:twoCellAnchor>
    <xdr:from>
      <xdr:col>4</xdr:col>
      <xdr:colOff>0</xdr:colOff>
      <xdr:row>58</xdr:row>
      <xdr:rowOff>0</xdr:rowOff>
    </xdr:from>
    <xdr:to>
      <xdr:col>4</xdr:col>
      <xdr:colOff>0</xdr:colOff>
      <xdr:row>58</xdr:row>
      <xdr:rowOff>0</xdr:rowOff>
    </xdr:to>
    <xdr:sp macro="" textlink="">
      <xdr:nvSpPr>
        <xdr:cNvPr id="29" name="Rectangle 28">
          <a:extLst>
            <a:ext uri="{FF2B5EF4-FFF2-40B4-BE49-F238E27FC236}">
              <a16:creationId xmlns:a16="http://schemas.microsoft.com/office/drawing/2014/main" id="{00000000-0008-0000-0000-00001D000000}"/>
            </a:ext>
          </a:extLst>
        </xdr:cNvPr>
        <xdr:cNvSpPr/>
      </xdr:nvSpPr>
      <xdr:spPr>
        <a:xfrm>
          <a:off x="4343400" y="13695680"/>
          <a:ext cx="0" cy="0"/>
        </a:xfrm>
        <a:prstGeom prst="rect">
          <a:avLst/>
        </a:prstGeom>
        <a:solidFill>
          <a:sysClr val="window" lastClr="FFFFFF"/>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overflow" lIns="90170" tIns="46990" rIns="90170" bIns="46990" anchor="ctr"/>
        <a:lstStyle/>
        <a:p>
          <a:pPr algn="ctr">
            <a:lnSpc>
              <a:spcPct val="100000"/>
            </a:lnSpc>
          </a:pPr>
          <a:endParaRPr/>
        </a:p>
      </xdr:txBody>
    </xdr:sp>
    <xdr:clientData/>
  </xdr:twoCellAnchor>
  <xdr:twoCellAnchor>
    <xdr:from>
      <xdr:col>4</xdr:col>
      <xdr:colOff>0</xdr:colOff>
      <xdr:row>58</xdr:row>
      <xdr:rowOff>0</xdr:rowOff>
    </xdr:from>
    <xdr:to>
      <xdr:col>4</xdr:col>
      <xdr:colOff>0</xdr:colOff>
      <xdr:row>58</xdr:row>
      <xdr:rowOff>0</xdr:rowOff>
    </xdr:to>
    <xdr:sp macro="" textlink="">
      <xdr:nvSpPr>
        <xdr:cNvPr id="30" name="Rectangle 29">
          <a:extLst>
            <a:ext uri="{FF2B5EF4-FFF2-40B4-BE49-F238E27FC236}">
              <a16:creationId xmlns:a16="http://schemas.microsoft.com/office/drawing/2014/main" id="{00000000-0008-0000-0000-00001E000000}"/>
            </a:ext>
          </a:extLst>
        </xdr:cNvPr>
        <xdr:cNvSpPr/>
      </xdr:nvSpPr>
      <xdr:spPr>
        <a:xfrm>
          <a:off x="4343400" y="13695680"/>
          <a:ext cx="0" cy="0"/>
        </a:xfrm>
        <a:prstGeom prst="rect">
          <a:avLst/>
        </a:prstGeom>
        <a:solidFill>
          <a:sysClr val="window" lastClr="FFFFFF"/>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overflow" lIns="90170" tIns="46990" rIns="90170" bIns="46990" anchor="ctr"/>
        <a:lstStyle/>
        <a:p>
          <a:pPr algn="ctr">
            <a:lnSpc>
              <a:spcPct val="100000"/>
            </a:lnSpc>
          </a:pPr>
          <a:endParaRPr/>
        </a:p>
      </xdr:txBody>
    </xdr:sp>
    <xdr:clientData/>
  </xdr:twoCellAnchor>
  <xdr:twoCellAnchor editAs="oneCell">
    <xdr:from>
      <xdr:col>0</xdr:col>
      <xdr:colOff>37259</xdr:colOff>
      <xdr:row>0</xdr:row>
      <xdr:rowOff>0</xdr:rowOff>
    </xdr:from>
    <xdr:to>
      <xdr:col>0</xdr:col>
      <xdr:colOff>761879</xdr:colOff>
      <xdr:row>0</xdr:row>
      <xdr:rowOff>885234</xdr:rowOff>
    </xdr:to>
    <xdr:pic>
      <xdr:nvPicPr>
        <xdr:cNvPr id="46" name="Picture 45" descr="C:\Documents and Settings\kvr\Desktop\untitled.bmp">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lum contrast="-3000"/>
        </a:blip>
        <a:stretch>
          <a:fillRect/>
        </a:stretch>
      </xdr:blipFill>
      <xdr:spPr>
        <a:xfrm>
          <a:off x="36830" y="0"/>
          <a:ext cx="724535" cy="885190"/>
        </a:xfrm>
        <a:prstGeom prst="rect">
          <a:avLst/>
        </a:prstGeom>
        <a:noFill/>
        <a:ln>
          <a:noFill/>
        </a:ln>
      </xdr:spPr>
    </xdr:pic>
    <xdr:clientData/>
  </xdr:twoCellAnchor>
  <xdr:twoCellAnchor>
    <xdr:from>
      <xdr:col>3</xdr:col>
      <xdr:colOff>76200</xdr:colOff>
      <xdr:row>365</xdr:row>
      <xdr:rowOff>0</xdr:rowOff>
    </xdr:from>
    <xdr:to>
      <xdr:col>6</xdr:col>
      <xdr:colOff>2124075</xdr:colOff>
      <xdr:row>365</xdr:row>
      <xdr:rowOff>4572000</xdr:rowOff>
    </xdr:to>
    <xdr:pic>
      <xdr:nvPicPr>
        <xdr:cNvPr id="41" name="Picture 40" descr="WhatsApp Image 2024-12-11 at 10.11.37 PM">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2"/>
        <a:stretch>
          <a:fillRect/>
        </a:stretch>
      </xdr:blipFill>
      <xdr:spPr>
        <a:xfrm>
          <a:off x="14011275" y="77530325"/>
          <a:ext cx="4495800" cy="4572000"/>
        </a:xfrm>
        <a:prstGeom prst="rect">
          <a:avLst/>
        </a:prstGeom>
      </xdr:spPr>
    </xdr:pic>
    <xdr:clientData/>
  </xdr:twoCellAnchor>
  <xdr:twoCellAnchor>
    <xdr:from>
      <xdr:col>0</xdr:col>
      <xdr:colOff>0</xdr:colOff>
      <xdr:row>365</xdr:row>
      <xdr:rowOff>0</xdr:rowOff>
    </xdr:from>
    <xdr:to>
      <xdr:col>3</xdr:col>
      <xdr:colOff>66675</xdr:colOff>
      <xdr:row>365</xdr:row>
      <xdr:rowOff>4572000</xdr:rowOff>
    </xdr:to>
    <xdr:pic>
      <xdr:nvPicPr>
        <xdr:cNvPr id="18" name="Picture 17" descr="WhatsApp Image 2024-12-20 at 10.46.27 PM">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3"/>
        <a:stretch>
          <a:fillRect/>
        </a:stretch>
      </xdr:blipFill>
      <xdr:spPr>
        <a:xfrm>
          <a:off x="14011275" y="77346175"/>
          <a:ext cx="4486275" cy="4572000"/>
        </a:xfrm>
        <a:prstGeom prst="rect">
          <a:avLst/>
        </a:prstGeom>
      </xdr:spPr>
    </xdr:pic>
    <xdr:clientData/>
  </xdr:twoCellAnchor>
  <xdr:twoCellAnchor>
    <xdr:from>
      <xdr:col>0</xdr:col>
      <xdr:colOff>0</xdr:colOff>
      <xdr:row>367</xdr:row>
      <xdr:rowOff>0</xdr:rowOff>
    </xdr:from>
    <xdr:to>
      <xdr:col>3</xdr:col>
      <xdr:colOff>66675</xdr:colOff>
      <xdr:row>367</xdr:row>
      <xdr:rowOff>4572000</xdr:rowOff>
    </xdr:to>
    <xdr:pic>
      <xdr:nvPicPr>
        <xdr:cNvPr id="12" name="Picture 11"/>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689" y="79671874"/>
          <a:ext cx="4486275" cy="4572000"/>
        </a:xfrm>
        <a:prstGeom prst="rect">
          <a:avLst/>
        </a:prstGeom>
      </xdr:spPr>
    </xdr:pic>
    <xdr:clientData/>
  </xdr:twoCellAnchor>
  <xdr:twoCellAnchor>
    <xdr:from>
      <xdr:col>0</xdr:col>
      <xdr:colOff>0</xdr:colOff>
      <xdr:row>359</xdr:row>
      <xdr:rowOff>0</xdr:rowOff>
    </xdr:from>
    <xdr:to>
      <xdr:col>3</xdr:col>
      <xdr:colOff>66675</xdr:colOff>
      <xdr:row>359</xdr:row>
      <xdr:rowOff>4572000</xdr:rowOff>
    </xdr:to>
    <xdr:pic>
      <xdr:nvPicPr>
        <xdr:cNvPr id="15" name="Picture 14"/>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377155" y="73461549"/>
          <a:ext cx="4486275" cy="4572000"/>
        </a:xfrm>
        <a:prstGeom prst="rect">
          <a:avLst/>
        </a:prstGeom>
      </xdr:spPr>
    </xdr:pic>
    <xdr:clientData/>
  </xdr:twoCellAnchor>
  <xdr:twoCellAnchor>
    <xdr:from>
      <xdr:col>3</xdr:col>
      <xdr:colOff>76200</xdr:colOff>
      <xdr:row>367</xdr:row>
      <xdr:rowOff>0</xdr:rowOff>
    </xdr:from>
    <xdr:to>
      <xdr:col>6</xdr:col>
      <xdr:colOff>2124075</xdr:colOff>
      <xdr:row>367</xdr:row>
      <xdr:rowOff>4572000</xdr:rowOff>
    </xdr:to>
    <xdr:pic>
      <xdr:nvPicPr>
        <xdr:cNvPr id="17" name="Picture 16"/>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369463" y="79672130"/>
          <a:ext cx="4495800" cy="4572000"/>
        </a:xfrm>
        <a:prstGeom prst="rect">
          <a:avLst/>
        </a:prstGeom>
      </xdr:spPr>
    </xdr:pic>
    <xdr:clientData/>
  </xdr:twoCellAnchor>
  <xdr:twoCellAnchor>
    <xdr:from>
      <xdr:col>6</xdr:col>
      <xdr:colOff>2133600</xdr:colOff>
      <xdr:row>365</xdr:row>
      <xdr:rowOff>0</xdr:rowOff>
    </xdr:from>
    <xdr:to>
      <xdr:col>10</xdr:col>
      <xdr:colOff>2152650</xdr:colOff>
      <xdr:row>365</xdr:row>
      <xdr:rowOff>4572000</xdr:rowOff>
    </xdr:to>
    <xdr:pic>
      <xdr:nvPicPr>
        <xdr:cNvPr id="34" name="Picture 33"/>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794357" y="79666528"/>
          <a:ext cx="4552950" cy="4572000"/>
        </a:xfrm>
        <a:prstGeom prst="rect">
          <a:avLst/>
        </a:prstGeom>
      </xdr:spPr>
    </xdr:pic>
    <xdr:clientData/>
  </xdr:twoCellAnchor>
  <xdr:twoCellAnchor>
    <xdr:from>
      <xdr:col>0</xdr:col>
      <xdr:colOff>0</xdr:colOff>
      <xdr:row>369</xdr:row>
      <xdr:rowOff>0</xdr:rowOff>
    </xdr:from>
    <xdr:to>
      <xdr:col>3</xdr:col>
      <xdr:colOff>66675</xdr:colOff>
      <xdr:row>369</xdr:row>
      <xdr:rowOff>4572000</xdr:rowOff>
    </xdr:to>
    <xdr:pic>
      <xdr:nvPicPr>
        <xdr:cNvPr id="35" name="Picture 34"/>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0407" y="84622608"/>
          <a:ext cx="4486275" cy="4572000"/>
        </a:xfrm>
        <a:prstGeom prst="rect">
          <a:avLst/>
        </a:prstGeom>
      </xdr:spPr>
    </xdr:pic>
    <xdr:clientData/>
  </xdr:twoCellAnchor>
  <xdr:twoCellAnchor>
    <xdr:from>
      <xdr:col>6</xdr:col>
      <xdr:colOff>2133600</xdr:colOff>
      <xdr:row>367</xdr:row>
      <xdr:rowOff>0</xdr:rowOff>
    </xdr:from>
    <xdr:to>
      <xdr:col>10</xdr:col>
      <xdr:colOff>2152650</xdr:colOff>
      <xdr:row>367</xdr:row>
      <xdr:rowOff>4572000</xdr:rowOff>
    </xdr:to>
    <xdr:pic>
      <xdr:nvPicPr>
        <xdr:cNvPr id="36" name="Picture 35"/>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366079" y="84621200"/>
          <a:ext cx="4552950" cy="4572000"/>
        </a:xfrm>
        <a:prstGeom prst="rect">
          <a:avLst/>
        </a:prstGeom>
      </xdr:spPr>
    </xdr:pic>
    <xdr:clientData/>
  </xdr:twoCellAnchor>
  <xdr:twoCellAnchor>
    <xdr:from>
      <xdr:col>3</xdr:col>
      <xdr:colOff>76200</xdr:colOff>
      <xdr:row>369</xdr:row>
      <xdr:rowOff>0</xdr:rowOff>
    </xdr:from>
    <xdr:to>
      <xdr:col>6</xdr:col>
      <xdr:colOff>2124075</xdr:colOff>
      <xdr:row>369</xdr:row>
      <xdr:rowOff>4572000</xdr:rowOff>
    </xdr:to>
    <xdr:pic>
      <xdr:nvPicPr>
        <xdr:cNvPr id="37" name="Picture 36"/>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779536" y="84624874"/>
          <a:ext cx="4495800" cy="4572000"/>
        </a:xfrm>
        <a:prstGeom prst="rect">
          <a:avLst/>
        </a:prstGeom>
      </xdr:spPr>
    </xdr:pic>
    <xdr:clientData/>
  </xdr:twoCellAnchor>
  <xdr:twoCellAnchor>
    <xdr:from>
      <xdr:col>0</xdr:col>
      <xdr:colOff>0</xdr:colOff>
      <xdr:row>373</xdr:row>
      <xdr:rowOff>0</xdr:rowOff>
    </xdr:from>
    <xdr:to>
      <xdr:col>3</xdr:col>
      <xdr:colOff>66675</xdr:colOff>
      <xdr:row>373</xdr:row>
      <xdr:rowOff>4572000</xdr:rowOff>
    </xdr:to>
    <xdr:pic>
      <xdr:nvPicPr>
        <xdr:cNvPr id="38" name="Picture 37"/>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8733" y="89588770"/>
          <a:ext cx="4486275" cy="4572000"/>
        </a:xfrm>
        <a:prstGeom prst="rect">
          <a:avLst/>
        </a:prstGeom>
      </xdr:spPr>
    </xdr:pic>
    <xdr:clientData/>
  </xdr:twoCellAnchor>
  <xdr:twoCellAnchor>
    <xdr:from>
      <xdr:col>6</xdr:col>
      <xdr:colOff>2133600</xdr:colOff>
      <xdr:row>369</xdr:row>
      <xdr:rowOff>0</xdr:rowOff>
    </xdr:from>
    <xdr:to>
      <xdr:col>10</xdr:col>
      <xdr:colOff>2152650</xdr:colOff>
      <xdr:row>369</xdr:row>
      <xdr:rowOff>4572000</xdr:rowOff>
    </xdr:to>
    <xdr:pic>
      <xdr:nvPicPr>
        <xdr:cNvPr id="40" name="Picture 39"/>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4334729" y="89577226"/>
          <a:ext cx="4552950" cy="4572000"/>
        </a:xfrm>
        <a:prstGeom prst="rect">
          <a:avLst/>
        </a:prstGeom>
      </xdr:spPr>
    </xdr:pic>
    <xdr:clientData/>
  </xdr:twoCellAnchor>
  <xdr:twoCellAnchor>
    <xdr:from>
      <xdr:col>0</xdr:col>
      <xdr:colOff>0</xdr:colOff>
      <xdr:row>361</xdr:row>
      <xdr:rowOff>0</xdr:rowOff>
    </xdr:from>
    <xdr:to>
      <xdr:col>10</xdr:col>
      <xdr:colOff>2152650</xdr:colOff>
      <xdr:row>361</xdr:row>
      <xdr:rowOff>4572000</xdr:rowOff>
    </xdr:to>
    <xdr:pic>
      <xdr:nvPicPr>
        <xdr:cNvPr id="48" name="Picture 47"/>
        <xdr:cNvPicPr>
          <a:picLocks noChangeAspect="1"/>
        </xdr:cNvPicPr>
      </xdr:nvPicPr>
      <xdr:blipFill>
        <a:blip xmlns:r="http://schemas.openxmlformats.org/officeDocument/2006/relationships" r:embed="rId13"/>
        <a:stretch>
          <a:fillRect/>
        </a:stretch>
      </xdr:blipFill>
      <xdr:spPr>
        <a:xfrm>
          <a:off x="8799077" y="73462919"/>
          <a:ext cx="13554075" cy="4572000"/>
        </a:xfrm>
        <a:prstGeom prst="rect">
          <a:avLst/>
        </a:prstGeom>
      </xdr:spPr>
    </xdr:pic>
    <xdr:clientData/>
  </xdr:twoCellAnchor>
  <xdr:twoCellAnchor>
    <xdr:from>
      <xdr:col>0</xdr:col>
      <xdr:colOff>0</xdr:colOff>
      <xdr:row>363</xdr:row>
      <xdr:rowOff>0</xdr:rowOff>
    </xdr:from>
    <xdr:to>
      <xdr:col>10</xdr:col>
      <xdr:colOff>2152650</xdr:colOff>
      <xdr:row>363</xdr:row>
      <xdr:rowOff>4572000</xdr:rowOff>
    </xdr:to>
    <xdr:pic>
      <xdr:nvPicPr>
        <xdr:cNvPr id="49" name="Picture 48"/>
        <xdr:cNvPicPr>
          <a:picLocks noChangeAspect="1"/>
        </xdr:cNvPicPr>
      </xdr:nvPicPr>
      <xdr:blipFill>
        <a:blip xmlns:r="http://schemas.openxmlformats.org/officeDocument/2006/relationships" r:embed="rId14"/>
        <a:stretch>
          <a:fillRect/>
        </a:stretch>
      </xdr:blipFill>
      <xdr:spPr>
        <a:xfrm>
          <a:off x="50595" y="73469680"/>
          <a:ext cx="13554075" cy="4572000"/>
        </a:xfrm>
        <a:prstGeom prst="rect">
          <a:avLst/>
        </a:prstGeom>
      </xdr:spPr>
    </xdr:pic>
    <xdr:clientData/>
  </xdr:twoCellAnchor>
  <xdr:twoCellAnchor>
    <xdr:from>
      <xdr:col>0</xdr:col>
      <xdr:colOff>0</xdr:colOff>
      <xdr:row>371</xdr:row>
      <xdr:rowOff>0</xdr:rowOff>
    </xdr:from>
    <xdr:to>
      <xdr:col>10</xdr:col>
      <xdr:colOff>2152650</xdr:colOff>
      <xdr:row>371</xdr:row>
      <xdr:rowOff>4572000</xdr:rowOff>
    </xdr:to>
    <xdr:pic>
      <xdr:nvPicPr>
        <xdr:cNvPr id="50" name="Picture 49"/>
        <xdr:cNvPicPr>
          <a:picLocks noChangeAspect="1"/>
        </xdr:cNvPicPr>
      </xdr:nvPicPr>
      <xdr:blipFill>
        <a:blip xmlns:r="http://schemas.openxmlformats.org/officeDocument/2006/relationships" r:embed="rId15"/>
        <a:stretch>
          <a:fillRect/>
        </a:stretch>
      </xdr:blipFill>
      <xdr:spPr>
        <a:xfrm>
          <a:off x="8779811" y="89584049"/>
          <a:ext cx="13554075" cy="4572000"/>
        </a:xfrm>
        <a:prstGeom prst="rect">
          <a:avLst/>
        </a:prstGeom>
      </xdr:spPr>
    </xdr:pic>
    <xdr:clientData/>
  </xdr:twoCellAnchor>
  <xdr:twoCellAnchor>
    <xdr:from>
      <xdr:col>0</xdr:col>
      <xdr:colOff>0</xdr:colOff>
      <xdr:row>377</xdr:row>
      <xdr:rowOff>0</xdr:rowOff>
    </xdr:from>
    <xdr:to>
      <xdr:col>10</xdr:col>
      <xdr:colOff>2152650</xdr:colOff>
      <xdr:row>377</xdr:row>
      <xdr:rowOff>4572000</xdr:rowOff>
    </xdr:to>
    <xdr:pic>
      <xdr:nvPicPr>
        <xdr:cNvPr id="54" name="Picture 53"/>
        <xdr:cNvPicPr>
          <a:picLocks noChangeAspect="1"/>
        </xdr:cNvPicPr>
      </xdr:nvPicPr>
      <xdr:blipFill>
        <a:blip xmlns:r="http://schemas.openxmlformats.org/officeDocument/2006/relationships" r:embed="rId16"/>
        <a:stretch>
          <a:fillRect/>
        </a:stretch>
      </xdr:blipFill>
      <xdr:spPr>
        <a:xfrm>
          <a:off x="43795" y="94349661"/>
          <a:ext cx="13554075" cy="4572000"/>
        </a:xfrm>
        <a:prstGeom prst="rect">
          <a:avLst/>
        </a:prstGeom>
      </xdr:spPr>
    </xdr:pic>
    <xdr:clientData/>
  </xdr:twoCellAnchor>
  <xdr:twoCellAnchor>
    <xdr:from>
      <xdr:col>0</xdr:col>
      <xdr:colOff>0</xdr:colOff>
      <xdr:row>375</xdr:row>
      <xdr:rowOff>0</xdr:rowOff>
    </xdr:from>
    <xdr:to>
      <xdr:col>10</xdr:col>
      <xdr:colOff>2152650</xdr:colOff>
      <xdr:row>375</xdr:row>
      <xdr:rowOff>4572000</xdr:rowOff>
    </xdr:to>
    <xdr:pic>
      <xdr:nvPicPr>
        <xdr:cNvPr id="55" name="Picture 54"/>
        <xdr:cNvPicPr>
          <a:picLocks noChangeAspect="1"/>
        </xdr:cNvPicPr>
      </xdr:nvPicPr>
      <xdr:blipFill>
        <a:blip xmlns:r="http://schemas.openxmlformats.org/officeDocument/2006/relationships" r:embed="rId17"/>
        <a:stretch>
          <a:fillRect/>
        </a:stretch>
      </xdr:blipFill>
      <xdr:spPr>
        <a:xfrm>
          <a:off x="4390381" y="94318752"/>
          <a:ext cx="13554075" cy="4572000"/>
        </a:xfrm>
        <a:prstGeom prst="rect">
          <a:avLst/>
        </a:prstGeom>
      </xdr:spPr>
    </xdr:pic>
    <xdr:clientData/>
  </xdr:twoCellAnchor>
  <xdr:twoCellAnchor>
    <xdr:from>
      <xdr:col>0</xdr:col>
      <xdr:colOff>0</xdr:colOff>
      <xdr:row>379</xdr:row>
      <xdr:rowOff>0</xdr:rowOff>
    </xdr:from>
    <xdr:to>
      <xdr:col>10</xdr:col>
      <xdr:colOff>2152650</xdr:colOff>
      <xdr:row>379</xdr:row>
      <xdr:rowOff>4572000</xdr:rowOff>
    </xdr:to>
    <xdr:pic>
      <xdr:nvPicPr>
        <xdr:cNvPr id="56" name="Picture 55"/>
        <xdr:cNvPicPr>
          <a:picLocks noChangeAspect="1"/>
        </xdr:cNvPicPr>
      </xdr:nvPicPr>
      <xdr:blipFill>
        <a:blip xmlns:r="http://schemas.openxmlformats.org/officeDocument/2006/relationships" r:embed="rId18"/>
        <a:stretch>
          <a:fillRect/>
        </a:stretch>
      </xdr:blipFill>
      <xdr:spPr>
        <a:xfrm>
          <a:off x="8817617" y="94352236"/>
          <a:ext cx="13554075" cy="4572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hemassociates-my.sharepoint.com\Mahesh%20Folder\JM%20Policy\Technical%20Report%20format%20-%20Propos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SR Format"/>
      <sheetName val="Dropdown"/>
    </sheetNames>
    <sheetDataSet>
      <sheetData sheetId="0"/>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EX1093"/>
  <sheetViews>
    <sheetView showGridLines="0" tabSelected="1" showRuler="0" topLeftCell="A55" zoomScale="85" zoomScaleNormal="85" zoomScalePageLayoutView="17" workbookViewId="0">
      <selection activeCell="I67" sqref="I67"/>
    </sheetView>
  </sheetViews>
  <sheetFormatPr defaultColWidth="0" defaultRowHeight="15" customHeight="1" zeroHeight="1"/>
  <cols>
    <col min="1" max="1" width="30.140625" style="4" customWidth="1"/>
    <col min="2" max="2" width="0.5703125" style="7" customWidth="1"/>
    <col min="3" max="3" width="33.85546875" style="5" customWidth="1"/>
    <col min="4" max="4" width="0.5703125" style="7" customWidth="1"/>
    <col min="5" max="5" width="33.85546875" style="4" customWidth="1"/>
    <col min="6" max="6" width="0.5703125" style="7" customWidth="1"/>
    <col min="7" max="7" width="31.42578125" style="5" customWidth="1"/>
    <col min="8" max="8" width="0.5703125" style="7" customWidth="1"/>
    <col min="9" max="9" width="33.140625" style="7" customWidth="1"/>
    <col min="10" max="10" width="0.5703125" style="7" customWidth="1"/>
    <col min="11" max="11" width="31.85546875" style="8" customWidth="1"/>
    <col min="12" max="12" width="0.85546875" style="7" hidden="1" customWidth="1"/>
    <col min="13" max="13" width="17" style="7" hidden="1" customWidth="1"/>
    <col min="14" max="14" width="13" style="7" customWidth="1"/>
    <col min="15" max="96" width="27.85546875" style="7" hidden="1" customWidth="1"/>
    <col min="97" max="97" width="0" style="7" hidden="1" customWidth="1"/>
    <col min="98" max="16384" width="0" style="7" hidden="1"/>
  </cols>
  <sheetData>
    <row r="1" spans="1:14" s="1" customFormat="1" ht="72" customHeight="1">
      <c r="A1" s="551" t="s">
        <v>0</v>
      </c>
      <c r="B1" s="552"/>
      <c r="C1" s="552"/>
      <c r="D1" s="552"/>
      <c r="E1" s="552"/>
      <c r="F1" s="552"/>
      <c r="G1" s="552"/>
      <c r="H1" s="552"/>
      <c r="I1" s="552"/>
      <c r="J1" s="552"/>
      <c r="K1" s="553"/>
      <c r="L1" s="71"/>
    </row>
    <row r="2" spans="1:14" s="1" customFormat="1" ht="32.1" customHeight="1">
      <c r="A2" s="554" t="str">
        <f>CONCATENATE(E31,E33,E35)</f>
        <v>Door. No.1-197 (As per Doc &amp; Tax), Sy No 100, Asst No.197, Seesali Viilage &amp; Grama Panchayat, Kalla Mandal,West Godavari District, Andhra Pradesh, Pin- 534237.</v>
      </c>
      <c r="B2" s="555"/>
      <c r="C2" s="555"/>
      <c r="D2" s="555"/>
      <c r="E2" s="555"/>
      <c r="F2" s="555"/>
      <c r="G2" s="555"/>
      <c r="H2" s="555"/>
      <c r="I2" s="555"/>
      <c r="J2" s="555"/>
      <c r="K2" s="556"/>
      <c r="L2" s="71"/>
    </row>
    <row r="3" spans="1:14" s="1" customFormat="1" ht="18" customHeight="1">
      <c r="A3" s="9" t="s">
        <v>615</v>
      </c>
      <c r="B3" s="10"/>
      <c r="C3" s="10"/>
      <c r="D3" s="10"/>
      <c r="E3" s="10"/>
      <c r="F3" s="10"/>
      <c r="G3" s="10"/>
      <c r="H3" s="10"/>
      <c r="I3" s="557" t="s">
        <v>610</v>
      </c>
      <c r="J3" s="557"/>
      <c r="K3" s="558"/>
      <c r="L3" s="71"/>
    </row>
    <row r="4" spans="1:14" s="2" customFormat="1" ht="14.25" customHeight="1">
      <c r="A4" s="559" t="s">
        <v>1</v>
      </c>
      <c r="B4" s="560"/>
      <c r="C4" s="560"/>
      <c r="D4" s="560"/>
      <c r="E4" s="560"/>
      <c r="F4" s="560"/>
      <c r="G4" s="560"/>
      <c r="H4" s="560"/>
      <c r="I4" s="560"/>
      <c r="J4" s="560"/>
      <c r="K4" s="561"/>
      <c r="L4" s="72"/>
      <c r="N4" s="1"/>
    </row>
    <row r="5" spans="1:14" ht="20.100000000000001" customHeight="1">
      <c r="A5" s="562" t="s">
        <v>2</v>
      </c>
      <c r="B5" s="563"/>
      <c r="C5" s="563"/>
      <c r="D5" s="563"/>
      <c r="E5" s="563"/>
      <c r="F5" s="563"/>
      <c r="G5" s="563"/>
      <c r="H5" s="563"/>
      <c r="I5" s="563"/>
      <c r="J5" s="563"/>
      <c r="K5" s="564"/>
      <c r="L5" s="73"/>
      <c r="M5" s="4"/>
    </row>
    <row r="6" spans="1:14" ht="3" customHeight="1">
      <c r="A6" s="483"/>
      <c r="B6" s="484"/>
      <c r="C6" s="484"/>
      <c r="D6" s="484"/>
      <c r="E6" s="484"/>
      <c r="F6" s="484"/>
      <c r="G6" s="484"/>
      <c r="H6" s="484"/>
      <c r="I6" s="484"/>
      <c r="J6" s="484"/>
      <c r="K6" s="485"/>
      <c r="L6" s="73"/>
    </row>
    <row r="7" spans="1:14" s="3" customFormat="1" ht="33.75" customHeight="1">
      <c r="A7" s="11" t="s">
        <v>3</v>
      </c>
      <c r="B7" s="12"/>
      <c r="C7" s="13" t="s">
        <v>597</v>
      </c>
      <c r="D7" s="14"/>
      <c r="E7" s="15" t="s">
        <v>4</v>
      </c>
      <c r="F7" s="14"/>
      <c r="G7" s="13" t="s">
        <v>611</v>
      </c>
      <c r="H7" s="14"/>
      <c r="I7" s="15" t="s">
        <v>5</v>
      </c>
      <c r="J7" s="14"/>
      <c r="K7" s="565" t="s">
        <v>613</v>
      </c>
      <c r="L7" s="566"/>
      <c r="M7" s="567"/>
    </row>
    <row r="8" spans="1:14" s="3" customFormat="1" ht="3" customHeight="1">
      <c r="A8" s="446"/>
      <c r="B8" s="443"/>
      <c r="C8" s="443"/>
      <c r="D8" s="443"/>
      <c r="E8" s="443"/>
      <c r="F8" s="443"/>
      <c r="G8" s="443"/>
      <c r="H8" s="443"/>
      <c r="I8" s="443"/>
      <c r="J8" s="443"/>
      <c r="K8" s="447"/>
      <c r="L8" s="73"/>
    </row>
    <row r="9" spans="1:14" s="3" customFormat="1" ht="27" customHeight="1">
      <c r="A9" s="18" t="s">
        <v>6</v>
      </c>
      <c r="B9" s="19"/>
      <c r="C9" s="568" t="s">
        <v>612</v>
      </c>
      <c r="D9" s="568"/>
      <c r="E9" s="568"/>
      <c r="F9" s="568"/>
      <c r="G9" s="568"/>
      <c r="H9" s="20"/>
      <c r="I9" s="74" t="s">
        <v>7</v>
      </c>
      <c r="J9" s="75"/>
      <c r="K9" s="76" t="s">
        <v>492</v>
      </c>
      <c r="L9" s="73"/>
    </row>
    <row r="10" spans="1:14" s="3" customFormat="1" ht="3" customHeight="1">
      <c r="A10" s="446"/>
      <c r="B10" s="443"/>
      <c r="C10" s="443"/>
      <c r="D10" s="443"/>
      <c r="E10" s="443"/>
      <c r="F10" s="443"/>
      <c r="G10" s="443"/>
      <c r="H10" s="443"/>
      <c r="I10" s="443"/>
      <c r="J10" s="443"/>
      <c r="K10" s="447"/>
      <c r="L10" s="73"/>
    </row>
    <row r="11" spans="1:14" s="3" customFormat="1" ht="50.25" customHeight="1">
      <c r="A11" s="541" t="s">
        <v>8</v>
      </c>
      <c r="B11" s="542"/>
      <c r="C11" s="543"/>
      <c r="D11" s="21"/>
      <c r="E11" s="544" t="s">
        <v>614</v>
      </c>
      <c r="F11" s="545"/>
      <c r="G11" s="544"/>
      <c r="H11" s="22"/>
      <c r="I11" s="77" t="s">
        <v>9</v>
      </c>
      <c r="J11" s="78"/>
      <c r="K11" s="76" t="s">
        <v>616</v>
      </c>
      <c r="L11" s="73"/>
    </row>
    <row r="12" spans="1:14" ht="3" customHeight="1">
      <c r="A12" s="446"/>
      <c r="B12" s="443"/>
      <c r="C12" s="443"/>
      <c r="D12" s="443"/>
      <c r="E12" s="443"/>
      <c r="F12" s="443"/>
      <c r="G12" s="443"/>
      <c r="H12" s="443"/>
      <c r="I12" s="443"/>
      <c r="J12" s="443"/>
      <c r="K12" s="447"/>
      <c r="L12" s="73"/>
    </row>
    <row r="13" spans="1:14" ht="20.100000000000001" customHeight="1">
      <c r="A13" s="546" t="s">
        <v>10</v>
      </c>
      <c r="B13" s="547"/>
      <c r="C13" s="547"/>
      <c r="D13" s="547"/>
      <c r="E13" s="547"/>
      <c r="F13" s="547"/>
      <c r="G13" s="547"/>
      <c r="H13" s="547"/>
      <c r="I13" s="547"/>
      <c r="J13" s="547"/>
      <c r="K13" s="548"/>
      <c r="L13" s="73"/>
    </row>
    <row r="14" spans="1:14" ht="3" customHeight="1">
      <c r="A14" s="446"/>
      <c r="B14" s="443"/>
      <c r="C14" s="443"/>
      <c r="D14" s="443"/>
      <c r="E14" s="443"/>
      <c r="F14" s="443"/>
      <c r="G14" s="443"/>
      <c r="H14" s="443"/>
      <c r="I14" s="443"/>
      <c r="J14" s="443"/>
      <c r="K14" s="447"/>
      <c r="L14" s="73"/>
    </row>
    <row r="15" spans="1:14" ht="15" customHeight="1">
      <c r="A15" s="23" t="s">
        <v>11</v>
      </c>
      <c r="B15" s="24"/>
      <c r="C15" s="25" t="s">
        <v>12</v>
      </c>
      <c r="D15" s="24"/>
      <c r="E15" s="26" t="s">
        <v>13</v>
      </c>
      <c r="F15" s="24"/>
      <c r="G15" s="27" t="s">
        <v>14</v>
      </c>
      <c r="H15" s="24"/>
      <c r="I15" s="26" t="s">
        <v>15</v>
      </c>
      <c r="J15" s="24"/>
      <c r="K15" s="79" t="s">
        <v>14</v>
      </c>
      <c r="L15" s="73"/>
    </row>
    <row r="16" spans="1:14" ht="3" customHeight="1">
      <c r="A16" s="446"/>
      <c r="B16" s="443"/>
      <c r="C16" s="443"/>
      <c r="D16" s="443"/>
      <c r="E16" s="443"/>
      <c r="F16" s="443"/>
      <c r="G16" s="443"/>
      <c r="H16" s="443"/>
      <c r="I16" s="443"/>
      <c r="J16" s="443"/>
      <c r="K16" s="447"/>
      <c r="L16" s="73"/>
    </row>
    <row r="17" spans="1:12" ht="26.45" customHeight="1">
      <c r="A17" s="28" t="s">
        <v>16</v>
      </c>
      <c r="B17" s="29"/>
      <c r="C17" s="30" t="s">
        <v>14</v>
      </c>
      <c r="D17" s="29"/>
      <c r="E17" s="31" t="s">
        <v>17</v>
      </c>
      <c r="F17" s="29"/>
      <c r="G17" s="30" t="s">
        <v>14</v>
      </c>
      <c r="H17" s="29"/>
      <c r="I17" s="31" t="s">
        <v>18</v>
      </c>
      <c r="J17" s="29"/>
      <c r="K17" s="80" t="s">
        <v>14</v>
      </c>
      <c r="L17" s="73"/>
    </row>
    <row r="18" spans="1:12" ht="3" customHeight="1">
      <c r="A18" s="446"/>
      <c r="B18" s="443"/>
      <c r="C18" s="443"/>
      <c r="D18" s="443"/>
      <c r="E18" s="443"/>
      <c r="F18" s="443"/>
      <c r="G18" s="443"/>
      <c r="H18" s="443"/>
      <c r="I18" s="443"/>
      <c r="J18" s="443"/>
      <c r="K18" s="447"/>
      <c r="L18" s="73"/>
    </row>
    <row r="19" spans="1:12" ht="33.6" customHeight="1">
      <c r="A19" s="32" t="s">
        <v>19</v>
      </c>
      <c r="B19" s="29"/>
      <c r="C19" s="423" t="s">
        <v>14</v>
      </c>
      <c r="D19" s="549"/>
      <c r="E19" s="549"/>
      <c r="F19" s="17"/>
      <c r="G19" s="34" t="s">
        <v>20</v>
      </c>
      <c r="H19" s="29"/>
      <c r="I19" s="423" t="s">
        <v>14</v>
      </c>
      <c r="J19" s="549"/>
      <c r="K19" s="550"/>
      <c r="L19" s="73"/>
    </row>
    <row r="20" spans="1:12" ht="3" customHeight="1">
      <c r="A20" s="446"/>
      <c r="B20" s="443"/>
      <c r="C20" s="443"/>
      <c r="D20" s="443"/>
      <c r="E20" s="443"/>
      <c r="F20" s="443"/>
      <c r="G20" s="443"/>
      <c r="H20" s="443"/>
      <c r="I20" s="443"/>
      <c r="J20" s="443"/>
      <c r="K20" s="447"/>
      <c r="L20" s="73"/>
    </row>
    <row r="21" spans="1:12" ht="27" customHeight="1">
      <c r="A21" s="35" t="s">
        <v>21</v>
      </c>
      <c r="B21" s="36"/>
      <c r="C21" s="536" t="s">
        <v>14</v>
      </c>
      <c r="D21" s="536"/>
      <c r="E21" s="536"/>
      <c r="F21" s="536"/>
      <c r="G21" s="536"/>
      <c r="H21" s="536"/>
      <c r="I21" s="536"/>
      <c r="J21" s="536"/>
      <c r="K21" s="537"/>
      <c r="L21" s="73"/>
    </row>
    <row r="22" spans="1:12" ht="3" customHeight="1">
      <c r="A22" s="446"/>
      <c r="B22" s="443"/>
      <c r="C22" s="443"/>
      <c r="D22" s="443"/>
      <c r="E22" s="443"/>
      <c r="F22" s="443"/>
      <c r="G22" s="443"/>
      <c r="H22" s="443"/>
      <c r="I22" s="443"/>
      <c r="J22" s="443"/>
      <c r="K22" s="447"/>
      <c r="L22" s="73"/>
    </row>
    <row r="23" spans="1:12" ht="20.100000000000001" customHeight="1">
      <c r="A23" s="538" t="s">
        <v>22</v>
      </c>
      <c r="B23" s="539"/>
      <c r="C23" s="539"/>
      <c r="D23" s="539"/>
      <c r="E23" s="539"/>
      <c r="F23" s="539"/>
      <c r="G23" s="539"/>
      <c r="H23" s="539"/>
      <c r="I23" s="539"/>
      <c r="J23" s="539"/>
      <c r="K23" s="540"/>
      <c r="L23" s="73"/>
    </row>
    <row r="24" spans="1:12" ht="3" customHeight="1">
      <c r="A24" s="483"/>
      <c r="B24" s="484"/>
      <c r="C24" s="484"/>
      <c r="D24" s="484"/>
      <c r="E24" s="484"/>
      <c r="F24" s="484"/>
      <c r="G24" s="484"/>
      <c r="H24" s="484"/>
      <c r="I24" s="484"/>
      <c r="J24" s="484"/>
      <c r="K24" s="485"/>
      <c r="L24" s="73"/>
    </row>
    <row r="25" spans="1:12" ht="30" customHeight="1">
      <c r="A25" s="37" t="s">
        <v>23</v>
      </c>
      <c r="B25" s="38"/>
      <c r="C25" s="39" t="s">
        <v>24</v>
      </c>
      <c r="D25" s="24"/>
      <c r="E25" s="26" t="s">
        <v>25</v>
      </c>
      <c r="F25" s="24"/>
      <c r="G25" s="40" t="s">
        <v>26</v>
      </c>
      <c r="H25" s="38"/>
      <c r="I25" s="26" t="s">
        <v>27</v>
      </c>
      <c r="J25" s="38"/>
      <c r="K25" s="81" t="s">
        <v>14</v>
      </c>
      <c r="L25" s="73"/>
    </row>
    <row r="26" spans="1:12" ht="3" customHeight="1">
      <c r="A26" s="446"/>
      <c r="B26" s="443"/>
      <c r="C26" s="443"/>
      <c r="D26" s="443"/>
      <c r="E26" s="443"/>
      <c r="F26" s="443"/>
      <c r="G26" s="443"/>
      <c r="H26" s="443"/>
      <c r="I26" s="443"/>
      <c r="J26" s="443"/>
      <c r="K26" s="447"/>
      <c r="L26" s="73"/>
    </row>
    <row r="27" spans="1:12" ht="30" customHeight="1">
      <c r="A27" s="35" t="s">
        <v>28</v>
      </c>
      <c r="B27" s="41"/>
      <c r="C27" s="42" t="s">
        <v>24</v>
      </c>
      <c r="D27" s="41"/>
      <c r="E27" s="43" t="s">
        <v>29</v>
      </c>
      <c r="F27" s="41"/>
      <c r="G27" s="376" t="s">
        <v>14</v>
      </c>
      <c r="H27" s="376"/>
      <c r="I27" s="376"/>
      <c r="J27" s="376"/>
      <c r="K27" s="377"/>
      <c r="L27" s="73"/>
    </row>
    <row r="28" spans="1:12" ht="3" customHeight="1">
      <c r="A28" s="446"/>
      <c r="B28" s="443"/>
      <c r="C28" s="443"/>
      <c r="D28" s="443"/>
      <c r="E28" s="443"/>
      <c r="F28" s="443"/>
      <c r="G28" s="443"/>
      <c r="H28" s="443"/>
      <c r="I28" s="443"/>
      <c r="J28" s="443"/>
      <c r="K28" s="447"/>
      <c r="L28" s="73"/>
    </row>
    <row r="29" spans="1:12" ht="20.100000000000001" customHeight="1">
      <c r="A29" s="453" t="s">
        <v>30</v>
      </c>
      <c r="B29" s="460"/>
      <c r="C29" s="460"/>
      <c r="D29" s="460"/>
      <c r="E29" s="460"/>
      <c r="F29" s="460"/>
      <c r="G29" s="460"/>
      <c r="H29" s="460"/>
      <c r="I29" s="460"/>
      <c r="J29" s="460"/>
      <c r="K29" s="461"/>
      <c r="L29" s="73"/>
    </row>
    <row r="30" spans="1:12" ht="3" customHeight="1">
      <c r="A30" s="446"/>
      <c r="B30" s="443"/>
      <c r="C30" s="443"/>
      <c r="D30" s="443"/>
      <c r="E30" s="443"/>
      <c r="F30" s="443"/>
      <c r="G30" s="443"/>
      <c r="H30" s="443"/>
      <c r="I30" s="443"/>
      <c r="J30" s="443"/>
      <c r="K30" s="447"/>
      <c r="L30" s="73"/>
    </row>
    <row r="31" spans="1:12" ht="35.25" customHeight="1">
      <c r="A31" s="472" t="s">
        <v>31</v>
      </c>
      <c r="B31" s="473"/>
      <c r="C31" s="473"/>
      <c r="D31" s="47"/>
      <c r="E31" s="529" t="s">
        <v>617</v>
      </c>
      <c r="F31" s="529"/>
      <c r="G31" s="529"/>
      <c r="H31" s="529"/>
      <c r="I31" s="529"/>
      <c r="J31" s="529"/>
      <c r="K31" s="530"/>
      <c r="L31" s="73"/>
    </row>
    <row r="32" spans="1:12" ht="3" customHeight="1">
      <c r="A32" s="533"/>
      <c r="B32" s="458"/>
      <c r="C32" s="458"/>
      <c r="D32" s="50"/>
      <c r="E32" s="443"/>
      <c r="F32" s="443"/>
      <c r="G32" s="443"/>
      <c r="H32" s="443"/>
      <c r="I32" s="443"/>
      <c r="J32" s="443"/>
      <c r="K32" s="447"/>
      <c r="L32" s="73"/>
    </row>
    <row r="33" spans="1:13" ht="24.75" customHeight="1">
      <c r="A33" s="533"/>
      <c r="B33" s="458"/>
      <c r="C33" s="458"/>
      <c r="D33" s="50"/>
      <c r="E33" s="531" t="s">
        <v>618</v>
      </c>
      <c r="F33" s="531"/>
      <c r="G33" s="531"/>
      <c r="H33" s="531"/>
      <c r="I33" s="531"/>
      <c r="J33" s="531"/>
      <c r="K33" s="532"/>
      <c r="L33" s="73"/>
    </row>
    <row r="34" spans="1:13" ht="3" customHeight="1">
      <c r="A34" s="533"/>
      <c r="B34" s="458"/>
      <c r="C34" s="458"/>
      <c r="D34" s="50"/>
      <c r="E34" s="443"/>
      <c r="F34" s="443"/>
      <c r="G34" s="443"/>
      <c r="H34" s="443"/>
      <c r="I34" s="443"/>
      <c r="J34" s="443"/>
      <c r="K34" s="447"/>
      <c r="L34" s="73"/>
    </row>
    <row r="35" spans="1:13" ht="23.25" customHeight="1">
      <c r="A35" s="534"/>
      <c r="B35" s="535"/>
      <c r="C35" s="535"/>
      <c r="D35" s="51"/>
      <c r="E35" s="531" t="s">
        <v>598</v>
      </c>
      <c r="F35" s="531"/>
      <c r="G35" s="531"/>
      <c r="H35" s="531"/>
      <c r="I35" s="531"/>
      <c r="J35" s="83"/>
      <c r="K35" s="84"/>
      <c r="L35" s="73"/>
    </row>
    <row r="36" spans="1:13" ht="3" customHeight="1">
      <c r="A36" s="446"/>
      <c r="B36" s="443"/>
      <c r="C36" s="443"/>
      <c r="D36" s="443"/>
      <c r="E36" s="443"/>
      <c r="F36" s="443"/>
      <c r="G36" s="443"/>
      <c r="H36" s="443"/>
      <c r="I36" s="443"/>
      <c r="J36" s="443"/>
      <c r="K36" s="447"/>
      <c r="L36" s="73"/>
    </row>
    <row r="37" spans="1:13" ht="20.100000000000001" customHeight="1">
      <c r="A37" s="448" t="s">
        <v>32</v>
      </c>
      <c r="B37" s="449"/>
      <c r="C37" s="449"/>
      <c r="D37" s="449"/>
      <c r="E37" s="449"/>
      <c r="F37" s="449"/>
      <c r="G37" s="449"/>
      <c r="H37" s="449"/>
      <c r="I37" s="449"/>
      <c r="J37" s="449"/>
      <c r="K37" s="450"/>
      <c r="L37" s="73"/>
    </row>
    <row r="38" spans="1:13" ht="3" customHeight="1">
      <c r="A38" s="483"/>
      <c r="B38" s="484"/>
      <c r="C38" s="484"/>
      <c r="D38" s="484"/>
      <c r="E38" s="484"/>
      <c r="F38" s="484"/>
      <c r="G38" s="484"/>
      <c r="H38" s="484"/>
      <c r="I38" s="484"/>
      <c r="J38" s="484"/>
      <c r="K38" s="485"/>
      <c r="L38" s="73"/>
    </row>
    <row r="39" spans="1:13" ht="52.5" customHeight="1">
      <c r="A39" s="52" t="s">
        <v>33</v>
      </c>
      <c r="B39" s="24"/>
      <c r="C39" s="39" t="s">
        <v>619</v>
      </c>
      <c r="D39" s="53"/>
      <c r="E39" s="26" t="s">
        <v>34</v>
      </c>
      <c r="F39" s="38"/>
      <c r="G39" s="39" t="s">
        <v>14</v>
      </c>
      <c r="H39" s="38"/>
      <c r="I39" s="85" t="s">
        <v>17</v>
      </c>
      <c r="J39" s="24"/>
      <c r="K39" s="86" t="s">
        <v>35</v>
      </c>
      <c r="L39" s="73"/>
    </row>
    <row r="40" spans="1:13" ht="3" customHeight="1">
      <c r="A40" s="446"/>
      <c r="B40" s="443"/>
      <c r="C40" s="443"/>
      <c r="D40" s="443"/>
      <c r="E40" s="443"/>
      <c r="F40" s="443"/>
      <c r="G40" s="443"/>
      <c r="H40" s="443"/>
      <c r="I40" s="443"/>
      <c r="J40" s="443"/>
      <c r="K40" s="447"/>
      <c r="L40" s="73"/>
    </row>
    <row r="41" spans="1:13" ht="33.75" customHeight="1">
      <c r="A41" s="28" t="s">
        <v>16</v>
      </c>
      <c r="B41" s="29"/>
      <c r="C41" s="42" t="s">
        <v>14</v>
      </c>
      <c r="D41" s="54"/>
      <c r="E41" s="31" t="s">
        <v>36</v>
      </c>
      <c r="F41" s="29"/>
      <c r="G41" s="42" t="s">
        <v>14</v>
      </c>
      <c r="I41" s="87" t="s">
        <v>37</v>
      </c>
      <c r="K41" s="58" t="s">
        <v>14</v>
      </c>
      <c r="L41" s="73"/>
      <c r="M41" s="88"/>
    </row>
    <row r="42" spans="1:13" ht="3" customHeight="1">
      <c r="A42" s="446"/>
      <c r="B42" s="443"/>
      <c r="C42" s="443"/>
      <c r="D42" s="443"/>
      <c r="E42" s="443"/>
      <c r="F42" s="443"/>
      <c r="G42" s="443"/>
      <c r="H42" s="443"/>
      <c r="I42" s="443"/>
      <c r="J42" s="443"/>
      <c r="K42" s="447"/>
      <c r="L42" s="73"/>
    </row>
    <row r="43" spans="1:13" ht="33" customHeight="1">
      <c r="A43" s="32" t="s">
        <v>38</v>
      </c>
      <c r="B43" s="29"/>
      <c r="C43" s="42" t="s">
        <v>620</v>
      </c>
      <c r="D43" s="54"/>
      <c r="E43" s="34" t="s">
        <v>39</v>
      </c>
      <c r="F43" s="29"/>
      <c r="G43" s="42" t="s">
        <v>14</v>
      </c>
      <c r="I43" s="89" t="s">
        <v>40</v>
      </c>
      <c r="J43" s="29"/>
      <c r="K43" s="58" t="s">
        <v>14</v>
      </c>
      <c r="L43" s="73"/>
    </row>
    <row r="44" spans="1:13" ht="3" customHeight="1">
      <c r="A44" s="446"/>
      <c r="B44" s="443"/>
      <c r="C44" s="443"/>
      <c r="D44" s="443"/>
      <c r="E44" s="443"/>
      <c r="F44" s="443"/>
      <c r="G44" s="443"/>
      <c r="H44" s="443"/>
      <c r="I44" s="443"/>
      <c r="J44" s="443"/>
      <c r="K44" s="447"/>
      <c r="L44" s="73"/>
    </row>
    <row r="45" spans="1:13" ht="51" customHeight="1">
      <c r="A45" s="28" t="s">
        <v>41</v>
      </c>
      <c r="B45" s="29"/>
      <c r="C45" s="42" t="s">
        <v>621</v>
      </c>
      <c r="E45" s="31" t="s">
        <v>42</v>
      </c>
      <c r="G45" s="42" t="s">
        <v>622</v>
      </c>
      <c r="H45" s="29"/>
      <c r="I45" s="31" t="s">
        <v>43</v>
      </c>
      <c r="K45" s="90" t="s">
        <v>14</v>
      </c>
      <c r="L45" s="73"/>
    </row>
    <row r="46" spans="1:13" ht="3" customHeight="1">
      <c r="A46" s="446"/>
      <c r="B46" s="443"/>
      <c r="C46" s="443"/>
      <c r="D46" s="443"/>
      <c r="E46" s="443"/>
      <c r="F46" s="443"/>
      <c r="G46" s="443"/>
      <c r="H46" s="443"/>
      <c r="I46" s="443"/>
      <c r="J46" s="443"/>
      <c r="K46" s="447"/>
      <c r="L46" s="73"/>
    </row>
    <row r="47" spans="1:13" ht="33" customHeight="1">
      <c r="A47" s="32" t="s">
        <v>44</v>
      </c>
      <c r="B47" s="29"/>
      <c r="C47" s="42" t="s">
        <v>599</v>
      </c>
      <c r="D47" s="54"/>
      <c r="E47" s="55" t="s">
        <v>45</v>
      </c>
      <c r="F47" s="29"/>
      <c r="G47" s="42" t="s">
        <v>621</v>
      </c>
      <c r="H47" s="29"/>
      <c r="I47" s="91" t="s">
        <v>46</v>
      </c>
      <c r="J47" s="92"/>
      <c r="K47" s="42" t="s">
        <v>621</v>
      </c>
      <c r="L47" s="73"/>
    </row>
    <row r="48" spans="1:13" ht="3" customHeight="1">
      <c r="A48" s="446"/>
      <c r="B48" s="443"/>
      <c r="C48" s="443"/>
      <c r="D48" s="443"/>
      <c r="E48" s="443"/>
      <c r="F48" s="443"/>
      <c r="G48" s="443"/>
      <c r="H48" s="443"/>
      <c r="I48" s="443"/>
      <c r="J48" s="443"/>
      <c r="K48" s="447"/>
      <c r="L48" s="73"/>
    </row>
    <row r="49" spans="1:12" ht="20.25" customHeight="1">
      <c r="A49" s="28" t="s">
        <v>47</v>
      </c>
      <c r="B49" s="29"/>
      <c r="C49" s="42" t="s">
        <v>600</v>
      </c>
      <c r="D49" s="439"/>
      <c r="E49" s="56" t="s">
        <v>48</v>
      </c>
      <c r="F49" s="57"/>
      <c r="G49" s="58" t="s">
        <v>624</v>
      </c>
      <c r="H49" s="57"/>
      <c r="I49" s="93" t="s">
        <v>49</v>
      </c>
      <c r="J49" s="94"/>
      <c r="K49" s="58" t="s">
        <v>623</v>
      </c>
      <c r="L49" s="73"/>
    </row>
    <row r="50" spans="1:12" ht="3" customHeight="1">
      <c r="A50" s="446"/>
      <c r="B50" s="443"/>
      <c r="C50" s="443"/>
      <c r="D50" s="439"/>
      <c r="E50" s="446"/>
      <c r="F50" s="443"/>
      <c r="G50" s="443"/>
      <c r="H50" s="443"/>
      <c r="I50" s="443"/>
      <c r="J50" s="443"/>
      <c r="K50" s="447"/>
      <c r="L50" s="73"/>
    </row>
    <row r="51" spans="1:12" ht="30.75" customHeight="1">
      <c r="A51" s="59" t="s">
        <v>50</v>
      </c>
      <c r="B51" s="36"/>
      <c r="C51" s="42" t="s">
        <v>51</v>
      </c>
      <c r="D51" s="440"/>
      <c r="E51" s="60" t="s">
        <v>52</v>
      </c>
      <c r="F51" s="61"/>
      <c r="G51" s="62" t="s">
        <v>601</v>
      </c>
      <c r="H51" s="63"/>
      <c r="I51" s="95" t="s">
        <v>53</v>
      </c>
      <c r="J51" s="96"/>
      <c r="K51" s="97" t="s">
        <v>625</v>
      </c>
      <c r="L51" s="73"/>
    </row>
    <row r="52" spans="1:12" ht="3" customHeight="1">
      <c r="A52" s="446"/>
      <c r="B52" s="443"/>
      <c r="C52" s="443"/>
      <c r="D52" s="443"/>
      <c r="E52" s="443"/>
      <c r="F52" s="443"/>
      <c r="G52" s="443"/>
      <c r="H52" s="443"/>
      <c r="I52" s="443"/>
      <c r="J52" s="443"/>
      <c r="K52" s="447"/>
      <c r="L52" s="73"/>
    </row>
    <row r="53" spans="1:12" ht="15" customHeight="1">
      <c r="A53" s="526" t="s">
        <v>54</v>
      </c>
      <c r="B53" s="527"/>
      <c r="C53" s="527"/>
      <c r="D53" s="527"/>
      <c r="E53" s="527"/>
      <c r="F53" s="527"/>
      <c r="G53" s="527"/>
      <c r="H53" s="527"/>
      <c r="I53" s="527"/>
      <c r="J53" s="527"/>
      <c r="K53" s="528"/>
      <c r="L53" s="73"/>
    </row>
    <row r="54" spans="1:12" ht="3" customHeight="1">
      <c r="A54" s="483"/>
      <c r="B54" s="484"/>
      <c r="C54" s="484"/>
      <c r="D54" s="484"/>
      <c r="E54" s="484"/>
      <c r="F54" s="484"/>
      <c r="G54" s="484"/>
      <c r="H54" s="484"/>
      <c r="I54" s="484"/>
      <c r="J54" s="484"/>
      <c r="K54" s="485"/>
      <c r="L54" s="73"/>
    </row>
    <row r="55" spans="1:12" ht="53.25" customHeight="1">
      <c r="A55" s="64" t="s">
        <v>55</v>
      </c>
      <c r="B55" s="50"/>
      <c r="C55" s="524" t="s">
        <v>626</v>
      </c>
      <c r="D55" s="524"/>
      <c r="E55" s="524"/>
      <c r="F55" s="524"/>
      <c r="G55" s="524"/>
      <c r="H55" s="524"/>
      <c r="I55" s="524"/>
      <c r="J55" s="524"/>
      <c r="K55" s="525"/>
      <c r="L55" s="73"/>
    </row>
    <row r="56" spans="1:12" ht="3" customHeight="1">
      <c r="A56" s="446"/>
      <c r="B56" s="443"/>
      <c r="C56" s="443"/>
      <c r="D56" s="443"/>
      <c r="E56" s="443"/>
      <c r="F56" s="443"/>
      <c r="G56" s="443"/>
      <c r="H56" s="443"/>
      <c r="I56" s="443"/>
      <c r="J56" s="443"/>
      <c r="K56" s="447"/>
      <c r="L56" s="73"/>
    </row>
    <row r="57" spans="1:12" ht="49.5" customHeight="1">
      <c r="A57" s="65" t="s">
        <v>56</v>
      </c>
      <c r="B57" s="66"/>
      <c r="C57" s="524" t="s">
        <v>626</v>
      </c>
      <c r="D57" s="524"/>
      <c r="E57" s="524"/>
      <c r="F57" s="524"/>
      <c r="G57" s="524"/>
      <c r="H57" s="524"/>
      <c r="I57" s="524"/>
      <c r="J57" s="524"/>
      <c r="K57" s="525"/>
      <c r="L57" s="73"/>
    </row>
    <row r="58" spans="1:12" ht="51" customHeight="1">
      <c r="A58" s="32" t="s">
        <v>57</v>
      </c>
      <c r="B58" s="29"/>
      <c r="C58" s="524" t="s">
        <v>626</v>
      </c>
      <c r="D58" s="524"/>
      <c r="E58" s="524"/>
      <c r="F58" s="524"/>
      <c r="G58" s="524"/>
      <c r="H58" s="524"/>
      <c r="I58" s="524"/>
      <c r="J58" s="524"/>
      <c r="K58" s="525"/>
      <c r="L58" s="73"/>
    </row>
    <row r="59" spans="1:12" ht="3" customHeight="1">
      <c r="A59" s="446"/>
      <c r="B59" s="443"/>
      <c r="C59" s="443"/>
      <c r="D59" s="443"/>
      <c r="E59" s="443"/>
      <c r="F59" s="443"/>
      <c r="G59" s="443"/>
      <c r="H59" s="443"/>
      <c r="I59" s="443"/>
      <c r="J59" s="443"/>
      <c r="K59" s="447"/>
      <c r="L59" s="73"/>
    </row>
    <row r="60" spans="1:12" ht="14.25" customHeight="1">
      <c r="A60" s="448" t="s">
        <v>58</v>
      </c>
      <c r="B60" s="449"/>
      <c r="C60" s="449"/>
      <c r="D60" s="449"/>
      <c r="E60" s="449"/>
      <c r="F60" s="449"/>
      <c r="G60" s="449"/>
      <c r="H60" s="449"/>
      <c r="I60" s="449"/>
      <c r="J60" s="449"/>
      <c r="K60" s="450"/>
      <c r="L60" s="73"/>
    </row>
    <row r="61" spans="1:12" ht="3" customHeight="1">
      <c r="A61" s="483"/>
      <c r="B61" s="484"/>
      <c r="C61" s="484"/>
      <c r="D61" s="484"/>
      <c r="E61" s="484"/>
      <c r="F61" s="484"/>
      <c r="G61" s="484"/>
      <c r="H61" s="484"/>
      <c r="I61" s="484"/>
      <c r="J61" s="484"/>
      <c r="K61" s="485"/>
      <c r="L61" s="73"/>
    </row>
    <row r="62" spans="1:12" ht="15" customHeight="1">
      <c r="A62" s="433"/>
      <c r="B62" s="29"/>
      <c r="C62" s="67" t="s">
        <v>59</v>
      </c>
      <c r="D62" s="24"/>
      <c r="E62" s="46" t="s">
        <v>60</v>
      </c>
      <c r="F62" s="38"/>
      <c r="G62" s="68" t="s">
        <v>61</v>
      </c>
      <c r="H62" s="38"/>
      <c r="I62" s="68" t="s">
        <v>62</v>
      </c>
      <c r="J62" s="98"/>
      <c r="K62" s="99" t="s">
        <v>63</v>
      </c>
      <c r="L62" s="73"/>
    </row>
    <row r="63" spans="1:12" ht="3" customHeight="1">
      <c r="A63" s="433"/>
      <c r="B63" s="69"/>
      <c r="C63" s="523"/>
      <c r="D63" s="443"/>
      <c r="E63" s="443"/>
      <c r="F63" s="443"/>
      <c r="G63" s="443"/>
      <c r="H63" s="443"/>
      <c r="I63" s="443"/>
      <c r="J63" s="443"/>
      <c r="K63" s="447"/>
      <c r="L63" s="73"/>
    </row>
    <row r="64" spans="1:12" ht="15" customHeight="1">
      <c r="A64" s="433"/>
      <c r="B64" s="29"/>
      <c r="C64" s="70" t="s">
        <v>64</v>
      </c>
      <c r="D64" s="29"/>
      <c r="E64" s="33" t="s">
        <v>14</v>
      </c>
      <c r="G64" s="33" t="s">
        <v>14</v>
      </c>
      <c r="I64" s="33" t="s">
        <v>14</v>
      </c>
      <c r="J64" s="54"/>
      <c r="K64" s="100" t="s">
        <v>14</v>
      </c>
      <c r="L64" s="73"/>
    </row>
    <row r="65" spans="1:12" ht="3" customHeight="1">
      <c r="A65" s="433"/>
      <c r="B65" s="69"/>
      <c r="C65" s="523"/>
      <c r="D65" s="443"/>
      <c r="E65" s="443"/>
      <c r="F65" s="443"/>
      <c r="G65" s="443"/>
      <c r="H65" s="443"/>
      <c r="I65" s="443"/>
      <c r="J65" s="443"/>
      <c r="K65" s="447"/>
      <c r="L65" s="73"/>
    </row>
    <row r="66" spans="1:12" ht="36.75" customHeight="1">
      <c r="A66" s="433"/>
      <c r="B66" s="29"/>
      <c r="C66" s="101" t="s">
        <v>65</v>
      </c>
      <c r="D66" s="29"/>
      <c r="E66" s="102" t="s">
        <v>632</v>
      </c>
      <c r="G66" s="103" t="s">
        <v>633</v>
      </c>
      <c r="I66" s="147" t="s">
        <v>630</v>
      </c>
      <c r="J66" s="54"/>
      <c r="K66" s="147" t="s">
        <v>631</v>
      </c>
      <c r="L66" s="73"/>
    </row>
    <row r="67" spans="1:12" ht="41.25" customHeight="1">
      <c r="A67" s="433"/>
      <c r="B67" s="29"/>
      <c r="C67" s="104" t="s">
        <v>66</v>
      </c>
      <c r="D67" s="29"/>
      <c r="E67" s="102" t="s">
        <v>628</v>
      </c>
      <c r="G67" s="103" t="s">
        <v>629</v>
      </c>
      <c r="I67" s="147" t="s">
        <v>645</v>
      </c>
      <c r="J67" s="54"/>
      <c r="K67" s="147" t="s">
        <v>627</v>
      </c>
      <c r="L67" s="73"/>
    </row>
    <row r="68" spans="1:12" ht="3" customHeight="1">
      <c r="A68" s="483"/>
      <c r="B68" s="443"/>
      <c r="C68" s="443"/>
      <c r="D68" s="443"/>
      <c r="E68" s="443"/>
      <c r="F68" s="443"/>
      <c r="G68" s="443"/>
      <c r="H68" s="443"/>
      <c r="I68" s="443"/>
      <c r="J68" s="443"/>
      <c r="K68" s="447"/>
      <c r="L68" s="73"/>
    </row>
    <row r="69" spans="1:12" ht="15" customHeight="1">
      <c r="A69" s="448" t="s">
        <v>67</v>
      </c>
      <c r="B69" s="449"/>
      <c r="C69" s="449"/>
      <c r="D69" s="449"/>
      <c r="E69" s="449"/>
      <c r="F69" s="449"/>
      <c r="G69" s="449"/>
      <c r="H69" s="449"/>
      <c r="I69" s="449"/>
      <c r="J69" s="449"/>
      <c r="K69" s="450"/>
      <c r="L69" s="73"/>
    </row>
    <row r="70" spans="1:12" ht="2.1" customHeight="1">
      <c r="A70" s="483"/>
      <c r="B70" s="484"/>
      <c r="C70" s="484"/>
      <c r="D70" s="484"/>
      <c r="E70" s="484"/>
      <c r="F70" s="484"/>
      <c r="G70" s="484"/>
      <c r="H70" s="484"/>
      <c r="I70" s="484"/>
      <c r="J70" s="484"/>
      <c r="K70" s="485"/>
      <c r="L70" s="73"/>
    </row>
    <row r="71" spans="1:12" ht="15" customHeight="1">
      <c r="A71" s="434" t="s">
        <v>602</v>
      </c>
      <c r="B71" s="437"/>
      <c r="C71" s="67"/>
      <c r="D71" s="24"/>
      <c r="E71" s="46" t="s">
        <v>68</v>
      </c>
      <c r="F71" s="38"/>
      <c r="G71" s="68" t="s">
        <v>69</v>
      </c>
      <c r="H71" s="38"/>
      <c r="I71" s="68" t="s">
        <v>70</v>
      </c>
      <c r="J71" s="98"/>
      <c r="K71" s="99" t="s">
        <v>71</v>
      </c>
      <c r="L71" s="73"/>
    </row>
    <row r="72" spans="1:12" ht="2.1" customHeight="1">
      <c r="A72" s="435"/>
      <c r="B72" s="437"/>
      <c r="C72" s="523"/>
      <c r="D72" s="443"/>
      <c r="E72" s="443"/>
      <c r="F72" s="443"/>
      <c r="G72" s="443"/>
      <c r="H72" s="443"/>
      <c r="I72" s="443"/>
      <c r="J72" s="443"/>
      <c r="K72" s="447"/>
      <c r="L72" s="73"/>
    </row>
    <row r="73" spans="1:12" ht="15" customHeight="1">
      <c r="A73" s="435"/>
      <c r="B73" s="437"/>
      <c r="C73" s="70" t="s">
        <v>64</v>
      </c>
      <c r="D73" s="29"/>
      <c r="E73" s="33" t="s">
        <v>14</v>
      </c>
      <c r="F73" s="50"/>
      <c r="G73" s="105" t="s">
        <v>14</v>
      </c>
      <c r="I73" s="105" t="s">
        <v>14</v>
      </c>
      <c r="J73" s="54"/>
      <c r="K73" s="100" t="s">
        <v>14</v>
      </c>
      <c r="L73" s="73"/>
    </row>
    <row r="74" spans="1:12" ht="2.1" customHeight="1">
      <c r="A74" s="435"/>
      <c r="B74" s="437"/>
      <c r="C74" s="523"/>
      <c r="D74" s="443"/>
      <c r="E74" s="443"/>
      <c r="F74" s="443"/>
      <c r="G74" s="443"/>
      <c r="H74" s="443"/>
      <c r="I74" s="443"/>
      <c r="J74" s="443"/>
      <c r="K74" s="447"/>
      <c r="L74" s="73"/>
    </row>
    <row r="75" spans="1:12" ht="15" customHeight="1">
      <c r="A75" s="436"/>
      <c r="B75" s="438"/>
      <c r="C75" s="106" t="s">
        <v>65</v>
      </c>
      <c r="D75" s="36"/>
      <c r="E75" s="107"/>
      <c r="F75" s="51"/>
      <c r="G75" s="105"/>
      <c r="H75" s="41"/>
      <c r="I75" s="105"/>
      <c r="J75" s="105"/>
      <c r="K75" s="100"/>
      <c r="L75" s="73"/>
    </row>
    <row r="76" spans="1:12" ht="2.1" customHeight="1">
      <c r="A76" s="483"/>
      <c r="B76" s="484"/>
      <c r="C76" s="443"/>
      <c r="D76" s="443"/>
      <c r="E76" s="443"/>
      <c r="F76" s="443"/>
      <c r="G76" s="443"/>
      <c r="H76" s="443"/>
      <c r="I76" s="443"/>
      <c r="J76" s="443"/>
      <c r="K76" s="447"/>
      <c r="L76" s="73"/>
    </row>
    <row r="77" spans="1:12" ht="14.25" customHeight="1">
      <c r="A77" s="448" t="s">
        <v>72</v>
      </c>
      <c r="B77" s="449"/>
      <c r="C77" s="449"/>
      <c r="D77" s="449"/>
      <c r="E77" s="449"/>
      <c r="F77" s="449"/>
      <c r="G77" s="449"/>
      <c r="H77" s="449"/>
      <c r="I77" s="449"/>
      <c r="J77" s="449"/>
      <c r="K77" s="450"/>
      <c r="L77" s="73"/>
    </row>
    <row r="78" spans="1:12" ht="3" hidden="1" customHeight="1">
      <c r="A78" s="483"/>
      <c r="B78" s="484"/>
      <c r="C78" s="484"/>
      <c r="D78" s="484"/>
      <c r="E78" s="484"/>
      <c r="F78" s="484"/>
      <c r="G78" s="484"/>
      <c r="H78" s="484"/>
      <c r="I78" s="484"/>
      <c r="J78" s="484"/>
      <c r="K78" s="485"/>
      <c r="L78" s="73"/>
    </row>
    <row r="79" spans="1:12" ht="32.450000000000003" customHeight="1">
      <c r="A79" s="37" t="s">
        <v>73</v>
      </c>
      <c r="B79" s="24"/>
      <c r="C79" s="25" t="s">
        <v>413</v>
      </c>
      <c r="D79" s="53"/>
      <c r="E79" s="26" t="s">
        <v>74</v>
      </c>
      <c r="F79" s="24"/>
      <c r="G79" s="25" t="s">
        <v>621</v>
      </c>
      <c r="H79" s="53"/>
      <c r="I79" s="85" t="s">
        <v>75</v>
      </c>
      <c r="J79" s="38">
        <v>2018</v>
      </c>
      <c r="K79" s="148">
        <v>2024</v>
      </c>
      <c r="L79" s="73"/>
    </row>
    <row r="80" spans="1:12" ht="3" customHeight="1">
      <c r="A80" s="446"/>
      <c r="B80" s="443"/>
      <c r="C80" s="443"/>
      <c r="D80" s="443"/>
      <c r="E80" s="443"/>
      <c r="F80" s="443"/>
      <c r="G80" s="443"/>
      <c r="H80" s="443"/>
      <c r="I80" s="443"/>
      <c r="J80" s="443"/>
      <c r="K80" s="447"/>
      <c r="L80" s="73"/>
    </row>
    <row r="81" spans="1:13" ht="30" customHeight="1">
      <c r="A81" s="28" t="s">
        <v>76</v>
      </c>
      <c r="C81" s="108" t="s">
        <v>609</v>
      </c>
      <c r="D81" s="54"/>
      <c r="E81" s="31" t="s">
        <v>77</v>
      </c>
      <c r="G81" s="33" t="s">
        <v>603</v>
      </c>
      <c r="H81" s="54"/>
      <c r="I81" s="87" t="s">
        <v>78</v>
      </c>
      <c r="K81" s="58" t="s">
        <v>79</v>
      </c>
      <c r="L81" s="73"/>
      <c r="M81" s="88"/>
    </row>
    <row r="82" spans="1:13" ht="3" customHeight="1">
      <c r="A82" s="446"/>
      <c r="B82" s="443"/>
      <c r="C82" s="443"/>
      <c r="D82" s="443"/>
      <c r="E82" s="443"/>
      <c r="F82" s="443"/>
      <c r="G82" s="443"/>
      <c r="H82" s="443"/>
      <c r="I82" s="443"/>
      <c r="J82" s="443"/>
      <c r="K82" s="447"/>
      <c r="L82" s="73"/>
    </row>
    <row r="83" spans="1:13" ht="30">
      <c r="A83" s="32" t="s">
        <v>80</v>
      </c>
      <c r="B83" s="29"/>
      <c r="C83" s="109" t="s">
        <v>393</v>
      </c>
      <c r="E83" s="34" t="s">
        <v>82</v>
      </c>
      <c r="G83" s="33" t="s">
        <v>83</v>
      </c>
      <c r="H83" s="54"/>
      <c r="I83" s="34" t="s">
        <v>84</v>
      </c>
      <c r="K83" s="100" t="s">
        <v>634</v>
      </c>
      <c r="L83" s="73"/>
    </row>
    <row r="84" spans="1:13" ht="3" customHeight="1">
      <c r="A84" s="446"/>
      <c r="B84" s="443"/>
      <c r="C84" s="443"/>
      <c r="D84" s="443"/>
      <c r="E84" s="443"/>
      <c r="F84" s="443"/>
      <c r="G84" s="443"/>
      <c r="H84" s="443"/>
      <c r="I84" s="443"/>
      <c r="J84" s="443"/>
      <c r="K84" s="447"/>
      <c r="L84" s="73"/>
    </row>
    <row r="85" spans="1:13" ht="30">
      <c r="A85" s="28" t="s">
        <v>85</v>
      </c>
      <c r="B85" s="69"/>
      <c r="C85" s="33" t="s">
        <v>86</v>
      </c>
      <c r="D85" s="110"/>
      <c r="E85" s="31" t="s">
        <v>87</v>
      </c>
      <c r="F85" s="4"/>
      <c r="G85" s="33" t="s">
        <v>86</v>
      </c>
      <c r="H85" s="54"/>
      <c r="I85" s="124" t="s">
        <v>88</v>
      </c>
      <c r="K85" s="100" t="s">
        <v>89</v>
      </c>
      <c r="L85" s="73"/>
    </row>
    <row r="86" spans="1:13" ht="2.1" customHeight="1">
      <c r="A86" s="446"/>
      <c r="B86" s="443"/>
      <c r="C86" s="443"/>
      <c r="D86" s="443"/>
      <c r="E86" s="443"/>
      <c r="F86" s="443"/>
      <c r="G86" s="443"/>
      <c r="H86" s="443"/>
      <c r="I86" s="443"/>
      <c r="J86" s="443"/>
      <c r="K86" s="447"/>
      <c r="L86" s="73"/>
    </row>
    <row r="87" spans="1:13" ht="30">
      <c r="A87" s="111" t="s">
        <v>90</v>
      </c>
      <c r="B87" s="29"/>
      <c r="C87" s="112" t="s">
        <v>91</v>
      </c>
      <c r="E87" s="113" t="s">
        <v>92</v>
      </c>
      <c r="F87" s="29"/>
      <c r="G87" s="44" t="s">
        <v>476</v>
      </c>
      <c r="I87" s="89" t="s">
        <v>94</v>
      </c>
      <c r="J87" s="29"/>
      <c r="K87" s="100" t="s">
        <v>14</v>
      </c>
      <c r="L87" s="73"/>
    </row>
    <row r="88" spans="1:13" ht="2.1" customHeight="1">
      <c r="A88" s="446"/>
      <c r="B88" s="443"/>
      <c r="C88" s="443"/>
      <c r="D88" s="443"/>
      <c r="E88" s="443"/>
      <c r="F88" s="443"/>
      <c r="G88" s="443"/>
      <c r="H88" s="443"/>
      <c r="I88" s="443"/>
      <c r="J88" s="443"/>
      <c r="K88" s="447"/>
      <c r="L88" s="73"/>
    </row>
    <row r="89" spans="1:13" ht="50.25" customHeight="1">
      <c r="A89" s="114" t="s">
        <v>95</v>
      </c>
      <c r="B89" s="115"/>
      <c r="C89" s="346" t="str">
        <f>E11</f>
        <v xml:space="preserve"> 
GANTA LAZARU
7660083272</v>
      </c>
      <c r="D89" s="346"/>
      <c r="E89" s="346"/>
      <c r="F89" s="116"/>
      <c r="G89" s="117" t="s">
        <v>96</v>
      </c>
      <c r="H89" s="54"/>
      <c r="I89" s="376" t="s">
        <v>14</v>
      </c>
      <c r="J89" s="376"/>
      <c r="K89" s="377"/>
      <c r="L89" s="73"/>
    </row>
    <row r="90" spans="1:13" ht="6.75" hidden="1" customHeight="1">
      <c r="A90" s="446"/>
      <c r="B90" s="443"/>
      <c r="C90" s="443"/>
      <c r="D90" s="443"/>
      <c r="E90" s="443"/>
      <c r="F90" s="443"/>
      <c r="G90" s="443"/>
      <c r="H90" s="443"/>
      <c r="I90" s="443"/>
      <c r="J90" s="443"/>
      <c r="K90" s="447"/>
      <c r="L90" s="73"/>
    </row>
    <row r="91" spans="1:13" ht="45">
      <c r="A91" s="111" t="s">
        <v>97</v>
      </c>
      <c r="C91" s="44" t="s">
        <v>98</v>
      </c>
      <c r="E91" s="113" t="s">
        <v>99</v>
      </c>
      <c r="G91" s="44" t="s">
        <v>14</v>
      </c>
      <c r="H91" s="54"/>
      <c r="I91" s="113" t="s">
        <v>100</v>
      </c>
      <c r="K91" s="82" t="s">
        <v>14</v>
      </c>
      <c r="L91" s="73"/>
    </row>
    <row r="92" spans="1:13" ht="2.1" customHeight="1">
      <c r="A92" s="446"/>
      <c r="B92" s="443"/>
      <c r="C92" s="443"/>
      <c r="D92" s="443"/>
      <c r="E92" s="443"/>
      <c r="F92" s="443"/>
      <c r="G92" s="443"/>
      <c r="H92" s="443"/>
      <c r="I92" s="443"/>
      <c r="J92" s="443"/>
      <c r="K92" s="447"/>
      <c r="L92" s="73"/>
    </row>
    <row r="93" spans="1:13" ht="32.450000000000003" customHeight="1">
      <c r="A93" s="118" t="s">
        <v>101</v>
      </c>
      <c r="B93" s="119"/>
      <c r="C93" s="120" t="s">
        <v>14</v>
      </c>
      <c r="D93" s="121"/>
      <c r="E93" s="122" t="s">
        <v>102</v>
      </c>
      <c r="F93" s="121"/>
      <c r="G93" s="518" t="s">
        <v>14</v>
      </c>
      <c r="H93" s="519"/>
      <c r="I93" s="122" t="s">
        <v>103</v>
      </c>
      <c r="J93" s="149"/>
      <c r="K93" s="150" t="s">
        <v>104</v>
      </c>
      <c r="L93" s="73"/>
    </row>
    <row r="94" spans="1:13" ht="2.1" customHeight="1">
      <c r="A94" s="520"/>
      <c r="B94" s="521"/>
      <c r="C94" s="521"/>
      <c r="D94" s="521"/>
      <c r="E94" s="521"/>
      <c r="F94" s="521"/>
      <c r="G94" s="521"/>
      <c r="H94" s="521"/>
      <c r="I94" s="521"/>
      <c r="J94" s="521"/>
      <c r="K94" s="522"/>
      <c r="L94" s="73"/>
    </row>
    <row r="95" spans="1:13" ht="15" customHeight="1">
      <c r="A95" s="448" t="s">
        <v>105</v>
      </c>
      <c r="B95" s="449"/>
      <c r="C95" s="449"/>
      <c r="D95" s="449"/>
      <c r="E95" s="449"/>
      <c r="F95" s="449"/>
      <c r="G95" s="449"/>
      <c r="H95" s="449"/>
      <c r="I95" s="449"/>
      <c r="J95" s="449"/>
      <c r="K95" s="450"/>
      <c r="L95" s="73"/>
    </row>
    <row r="96" spans="1:13" ht="2.1" customHeight="1">
      <c r="A96" s="483"/>
      <c r="B96" s="484"/>
      <c r="C96" s="484"/>
      <c r="D96" s="484"/>
      <c r="E96" s="484"/>
      <c r="F96" s="484"/>
      <c r="G96" s="484"/>
      <c r="H96" s="484"/>
      <c r="I96" s="484"/>
      <c r="J96" s="484"/>
      <c r="K96" s="485"/>
      <c r="L96" s="73"/>
    </row>
    <row r="97" spans="1:12" ht="2.1" customHeight="1">
      <c r="A97" s="446"/>
      <c r="B97" s="443"/>
      <c r="C97" s="443"/>
      <c r="D97" s="443"/>
      <c r="E97" s="443"/>
      <c r="F97" s="443"/>
      <c r="G97" s="443"/>
      <c r="H97" s="443"/>
      <c r="I97" s="443"/>
      <c r="J97" s="443"/>
      <c r="K97" s="447"/>
      <c r="L97" s="73"/>
    </row>
    <row r="98" spans="1:12" ht="45">
      <c r="A98" s="123" t="s">
        <v>106</v>
      </c>
      <c r="C98" s="44" t="s">
        <v>14</v>
      </c>
      <c r="E98" s="124" t="s">
        <v>107</v>
      </c>
      <c r="G98" s="33" t="s">
        <v>14</v>
      </c>
      <c r="H98" s="54"/>
      <c r="I98" s="124" t="s">
        <v>108</v>
      </c>
      <c r="J98" s="54"/>
      <c r="K98" s="100" t="s">
        <v>109</v>
      </c>
      <c r="L98" s="73"/>
    </row>
    <row r="99" spans="1:12" ht="2.1" customHeight="1">
      <c r="A99" s="446"/>
      <c r="B99" s="443"/>
      <c r="C99" s="443"/>
      <c r="D99" s="443"/>
      <c r="E99" s="443"/>
      <c r="F99" s="443"/>
      <c r="G99" s="443"/>
      <c r="H99" s="443"/>
      <c r="I99" s="443"/>
      <c r="J99" s="443"/>
      <c r="K99" s="447"/>
      <c r="L99" s="73"/>
    </row>
    <row r="100" spans="1:12" ht="30" customHeight="1">
      <c r="A100" s="111" t="s">
        <v>110</v>
      </c>
      <c r="B100" s="29"/>
      <c r="C100" s="42" t="s">
        <v>24</v>
      </c>
      <c r="D100" s="54"/>
      <c r="E100" s="113" t="s">
        <v>111</v>
      </c>
      <c r="G100" s="33" t="s">
        <v>14</v>
      </c>
      <c r="H100" s="54"/>
      <c r="I100" s="113" t="s">
        <v>112</v>
      </c>
      <c r="J100" s="29"/>
      <c r="K100" s="100" t="s">
        <v>14</v>
      </c>
      <c r="L100" s="73"/>
    </row>
    <row r="101" spans="1:12" ht="3" customHeight="1">
      <c r="A101" s="446"/>
      <c r="B101" s="443"/>
      <c r="C101" s="443"/>
      <c r="D101" s="443"/>
      <c r="E101" s="443"/>
      <c r="F101" s="443"/>
      <c r="G101" s="443"/>
      <c r="H101" s="443"/>
      <c r="I101" s="443"/>
      <c r="J101" s="443"/>
      <c r="K101" s="447"/>
      <c r="L101" s="73"/>
    </row>
    <row r="102" spans="1:12" ht="30" customHeight="1">
      <c r="A102" s="123" t="s">
        <v>113</v>
      </c>
      <c r="B102" s="29"/>
      <c r="C102" s="42" t="s">
        <v>24</v>
      </c>
      <c r="D102" s="125"/>
      <c r="E102" s="124" t="s">
        <v>114</v>
      </c>
      <c r="F102" s="1"/>
      <c r="G102" s="33" t="s">
        <v>14</v>
      </c>
      <c r="H102" s="125"/>
      <c r="I102" s="124" t="s">
        <v>115</v>
      </c>
      <c r="J102" s="115"/>
      <c r="K102" s="100" t="s">
        <v>14</v>
      </c>
      <c r="L102" s="73"/>
    </row>
    <row r="103" spans="1:12" ht="3" customHeight="1">
      <c r="A103" s="446"/>
      <c r="B103" s="443"/>
      <c r="C103" s="443"/>
      <c r="D103" s="443"/>
      <c r="E103" s="443"/>
      <c r="F103" s="443"/>
      <c r="G103" s="443"/>
      <c r="H103" s="443"/>
      <c r="I103" s="443"/>
      <c r="J103" s="443"/>
      <c r="K103" s="447"/>
      <c r="L103" s="73"/>
    </row>
    <row r="104" spans="1:12" ht="30" customHeight="1">
      <c r="A104" s="111" t="s">
        <v>116</v>
      </c>
      <c r="B104" s="17"/>
      <c r="C104" s="42" t="s">
        <v>24</v>
      </c>
      <c r="D104" s="17"/>
      <c r="E104" s="113" t="s">
        <v>117</v>
      </c>
      <c r="F104" s="17"/>
      <c r="G104" s="33" t="s">
        <v>86</v>
      </c>
      <c r="H104" s="17"/>
      <c r="I104" s="113" t="s">
        <v>118</v>
      </c>
      <c r="J104" s="17"/>
      <c r="K104" s="100" t="s">
        <v>14</v>
      </c>
      <c r="L104" s="73"/>
    </row>
    <row r="105" spans="1:12" ht="3" customHeight="1">
      <c r="A105" s="446"/>
      <c r="B105" s="443"/>
      <c r="C105" s="443"/>
      <c r="D105" s="443"/>
      <c r="E105" s="443"/>
      <c r="F105" s="443"/>
      <c r="G105" s="443"/>
      <c r="H105" s="443"/>
      <c r="I105" s="443"/>
      <c r="J105" s="443"/>
      <c r="K105" s="447"/>
      <c r="L105" s="73"/>
    </row>
    <row r="106" spans="1:12" ht="50.25" customHeight="1">
      <c r="A106" s="123" t="s">
        <v>119</v>
      </c>
      <c r="B106" s="17"/>
      <c r="C106" s="42" t="s">
        <v>24</v>
      </c>
      <c r="D106" s="17"/>
      <c r="E106" s="124" t="s">
        <v>120</v>
      </c>
      <c r="F106" s="17"/>
      <c r="G106" s="42" t="s">
        <v>24</v>
      </c>
      <c r="H106" s="17"/>
      <c r="I106" s="124" t="s">
        <v>121</v>
      </c>
      <c r="J106" s="124"/>
      <c r="K106" s="151" t="s">
        <v>14</v>
      </c>
      <c r="L106" s="73"/>
    </row>
    <row r="107" spans="1:12" ht="3" customHeight="1">
      <c r="A107" s="446"/>
      <c r="B107" s="443"/>
      <c r="C107" s="443"/>
      <c r="D107" s="443"/>
      <c r="E107" s="443"/>
      <c r="F107" s="443"/>
      <c r="G107" s="443"/>
      <c r="H107" s="443"/>
      <c r="I107" s="443"/>
      <c r="J107" s="443"/>
      <c r="K107" s="447"/>
      <c r="L107" s="73"/>
    </row>
    <row r="108" spans="1:12" ht="48.75" customHeight="1">
      <c r="A108" s="111" t="s">
        <v>122</v>
      </c>
      <c r="B108" s="69"/>
      <c r="C108" s="126">
        <v>0.7</v>
      </c>
      <c r="D108" s="17"/>
      <c r="E108" s="113" t="s">
        <v>123</v>
      </c>
      <c r="F108" s="69"/>
      <c r="G108" s="127" t="s">
        <v>14</v>
      </c>
      <c r="H108" s="443"/>
      <c r="I108" s="152"/>
      <c r="J108" s="153"/>
      <c r="K108" s="154"/>
      <c r="L108" s="73"/>
    </row>
    <row r="109" spans="1:12" s="4" customFormat="1" ht="2.1" customHeight="1">
      <c r="A109" s="446"/>
      <c r="B109" s="443"/>
      <c r="C109" s="443"/>
      <c r="D109" s="443"/>
      <c r="E109" s="443"/>
      <c r="F109" s="443"/>
      <c r="G109" s="443"/>
      <c r="H109" s="443"/>
      <c r="I109" s="155"/>
      <c r="J109" s="156"/>
      <c r="K109" s="157"/>
      <c r="L109" s="73"/>
    </row>
    <row r="110" spans="1:12" s="4" customFormat="1" ht="101.25" customHeight="1">
      <c r="A110" s="128" t="s">
        <v>124</v>
      </c>
      <c r="B110" s="129"/>
      <c r="C110" s="33" t="s">
        <v>24</v>
      </c>
      <c r="D110" s="33"/>
      <c r="E110" s="130" t="s">
        <v>125</v>
      </c>
      <c r="F110" s="131"/>
      <c r="G110" s="33" t="s">
        <v>14</v>
      </c>
      <c r="H110" s="444"/>
      <c r="I110" s="158" t="s">
        <v>126</v>
      </c>
      <c r="J110" s="159"/>
      <c r="K110" s="160">
        <v>0.3</v>
      </c>
      <c r="L110" s="73"/>
    </row>
    <row r="111" spans="1:12" ht="3" hidden="1" customHeight="1">
      <c r="A111" s="446"/>
      <c r="B111" s="443"/>
      <c r="C111" s="443"/>
      <c r="D111" s="443"/>
      <c r="E111" s="443"/>
      <c r="F111" s="443"/>
      <c r="G111" s="443"/>
      <c r="H111" s="443"/>
      <c r="I111" s="443"/>
      <c r="J111" s="443"/>
      <c r="K111" s="447"/>
      <c r="L111" s="73"/>
    </row>
    <row r="112" spans="1:12" ht="24" customHeight="1">
      <c r="A112" s="512" t="s">
        <v>127</v>
      </c>
      <c r="B112" s="513"/>
      <c r="C112" s="513"/>
      <c r="D112" s="513"/>
      <c r="E112" s="513"/>
      <c r="F112" s="513"/>
      <c r="G112" s="513"/>
      <c r="H112" s="513"/>
      <c r="I112" s="513"/>
      <c r="J112" s="513"/>
      <c r="K112" s="514"/>
      <c r="L112" s="73"/>
    </row>
    <row r="113" spans="1:12" s="1" customFormat="1" ht="24" customHeight="1">
      <c r="A113" s="132" t="s">
        <v>128</v>
      </c>
      <c r="B113" s="133"/>
      <c r="C113" s="134" t="s">
        <v>129</v>
      </c>
      <c r="D113" s="133"/>
      <c r="E113" s="135" t="s">
        <v>130</v>
      </c>
      <c r="F113" s="136"/>
      <c r="G113" s="134" t="s">
        <v>24</v>
      </c>
      <c r="H113" s="121"/>
      <c r="I113" s="135" t="s">
        <v>131</v>
      </c>
      <c r="J113" s="121"/>
      <c r="K113" s="161" t="s">
        <v>132</v>
      </c>
      <c r="L113" s="71"/>
    </row>
    <row r="114" spans="1:12" s="1" customFormat="1" ht="24" customHeight="1">
      <c r="A114" s="137" t="s">
        <v>133</v>
      </c>
      <c r="B114" s="136"/>
      <c r="C114" s="138" t="s">
        <v>134</v>
      </c>
      <c r="D114" s="133"/>
      <c r="E114" s="139" t="s">
        <v>135</v>
      </c>
      <c r="F114" s="121"/>
      <c r="G114" s="140" t="s">
        <v>136</v>
      </c>
      <c r="H114" s="121"/>
      <c r="I114" s="139" t="s">
        <v>137</v>
      </c>
      <c r="J114" s="121"/>
      <c r="K114" s="150" t="s">
        <v>104</v>
      </c>
      <c r="L114" s="71"/>
    </row>
    <row r="115" spans="1:12" s="1" customFormat="1" ht="24" customHeight="1">
      <c r="A115" s="132" t="s">
        <v>138</v>
      </c>
      <c r="B115" s="121"/>
      <c r="C115" s="141" t="s">
        <v>139</v>
      </c>
      <c r="D115" s="121"/>
      <c r="E115" s="135" t="s">
        <v>140</v>
      </c>
      <c r="F115" s="136"/>
      <c r="G115" s="141" t="s">
        <v>141</v>
      </c>
      <c r="H115" s="121"/>
      <c r="I115" s="162" t="s">
        <v>142</v>
      </c>
      <c r="J115" s="121"/>
      <c r="K115" s="163" t="s">
        <v>143</v>
      </c>
      <c r="L115" s="71"/>
    </row>
    <row r="116" spans="1:12" s="1" customFormat="1" ht="24" customHeight="1">
      <c r="A116" s="132" t="s">
        <v>144</v>
      </c>
      <c r="B116" s="121"/>
      <c r="C116" s="141" t="s">
        <v>109</v>
      </c>
      <c r="D116" s="121"/>
      <c r="E116" s="135" t="s">
        <v>145</v>
      </c>
      <c r="F116" s="136"/>
      <c r="G116" s="141" t="s">
        <v>146</v>
      </c>
      <c r="H116" s="121"/>
      <c r="I116" s="135" t="s">
        <v>130</v>
      </c>
      <c r="J116" s="121"/>
      <c r="K116" s="163" t="s">
        <v>109</v>
      </c>
      <c r="L116" s="71"/>
    </row>
    <row r="117" spans="1:12" s="1" customFormat="1" ht="24" customHeight="1">
      <c r="A117" s="132" t="s">
        <v>147</v>
      </c>
      <c r="B117" s="121"/>
      <c r="C117" s="141" t="s">
        <v>14</v>
      </c>
      <c r="D117" s="121"/>
      <c r="E117" s="135" t="s">
        <v>148</v>
      </c>
      <c r="F117" s="136"/>
      <c r="G117" s="141" t="s">
        <v>109</v>
      </c>
      <c r="H117" s="121"/>
      <c r="I117" s="135" t="s">
        <v>149</v>
      </c>
      <c r="J117" s="121"/>
      <c r="K117" s="163" t="s">
        <v>150</v>
      </c>
      <c r="L117" s="71"/>
    </row>
    <row r="118" spans="1:12" s="1" customFormat="1" ht="24" customHeight="1">
      <c r="A118" s="132" t="s">
        <v>151</v>
      </c>
      <c r="B118" s="121"/>
      <c r="C118" s="141" t="s">
        <v>109</v>
      </c>
      <c r="D118" s="121"/>
      <c r="E118" s="135" t="s">
        <v>152</v>
      </c>
      <c r="F118" s="136"/>
      <c r="G118" s="141" t="s">
        <v>153</v>
      </c>
      <c r="H118" s="121"/>
      <c r="I118" s="135" t="s">
        <v>154</v>
      </c>
      <c r="J118" s="121"/>
      <c r="K118" s="163" t="s">
        <v>155</v>
      </c>
      <c r="L118" s="71"/>
    </row>
    <row r="119" spans="1:12" s="1" customFormat="1" ht="24" customHeight="1">
      <c r="A119" s="132" t="s">
        <v>156</v>
      </c>
      <c r="B119" s="121"/>
      <c r="C119" s="141" t="s">
        <v>109</v>
      </c>
      <c r="D119" s="121"/>
      <c r="E119" s="135" t="s">
        <v>157</v>
      </c>
      <c r="F119" s="136"/>
      <c r="G119" s="141" t="s">
        <v>158</v>
      </c>
      <c r="H119" s="121"/>
      <c r="I119" s="135" t="s">
        <v>159</v>
      </c>
      <c r="J119" s="121"/>
      <c r="K119" s="161"/>
      <c r="L119" s="71"/>
    </row>
    <row r="120" spans="1:12" s="1" customFormat="1" ht="24" customHeight="1">
      <c r="A120" s="132" t="s">
        <v>160</v>
      </c>
      <c r="B120" s="121"/>
      <c r="C120" s="141" t="s">
        <v>109</v>
      </c>
      <c r="D120" s="121"/>
      <c r="E120" s="135" t="s">
        <v>161</v>
      </c>
      <c r="F120" s="136"/>
      <c r="G120" s="141"/>
      <c r="H120" s="121"/>
      <c r="I120" s="135" t="s">
        <v>162</v>
      </c>
      <c r="J120" s="121"/>
      <c r="K120" s="163"/>
      <c r="L120" s="71"/>
    </row>
    <row r="121" spans="1:12" ht="18" customHeight="1">
      <c r="A121" s="448" t="s">
        <v>163</v>
      </c>
      <c r="B121" s="515"/>
      <c r="C121" s="449"/>
      <c r="D121" s="515"/>
      <c r="E121" s="449"/>
      <c r="F121" s="515"/>
      <c r="G121" s="516"/>
      <c r="I121" s="517" t="s">
        <v>164</v>
      </c>
      <c r="J121" s="515"/>
      <c r="K121" s="450"/>
      <c r="L121" s="73"/>
    </row>
    <row r="122" spans="1:12" ht="0.75" customHeight="1">
      <c r="A122" s="483"/>
      <c r="B122" s="484"/>
      <c r="C122" s="484"/>
      <c r="D122" s="484"/>
      <c r="E122" s="484"/>
      <c r="F122" s="484"/>
      <c r="G122" s="484"/>
      <c r="H122" s="484"/>
      <c r="I122" s="484"/>
      <c r="J122" s="484"/>
      <c r="K122" s="485"/>
      <c r="L122" s="73"/>
    </row>
    <row r="123" spans="1:12" ht="30" customHeight="1">
      <c r="A123" s="142" t="s">
        <v>165</v>
      </c>
      <c r="B123" s="47"/>
      <c r="C123" s="46" t="s">
        <v>166</v>
      </c>
      <c r="D123" s="24" t="s">
        <v>167</v>
      </c>
      <c r="E123" s="68" t="s">
        <v>168</v>
      </c>
      <c r="F123" s="68"/>
      <c r="G123" s="26" t="s">
        <v>169</v>
      </c>
      <c r="H123" s="38"/>
      <c r="I123" s="473" t="s">
        <v>170</v>
      </c>
      <c r="J123" s="473"/>
      <c r="K123" s="493"/>
      <c r="L123" s="73"/>
    </row>
    <row r="124" spans="1:12" ht="3" customHeight="1">
      <c r="A124" s="446"/>
      <c r="B124" s="443"/>
      <c r="C124" s="443"/>
      <c r="D124" s="443"/>
      <c r="E124" s="443"/>
      <c r="F124" s="443"/>
      <c r="G124" s="443"/>
      <c r="H124" s="443"/>
      <c r="I124" s="443"/>
      <c r="J124" s="443"/>
      <c r="K124" s="447"/>
      <c r="L124" s="73"/>
    </row>
    <row r="125" spans="1:12" ht="27.75" customHeight="1">
      <c r="A125" s="143" t="s">
        <v>171</v>
      </c>
      <c r="B125" s="92"/>
      <c r="C125" s="33" t="s">
        <v>175</v>
      </c>
      <c r="D125" s="144"/>
      <c r="E125" s="33" t="s">
        <v>593</v>
      </c>
      <c r="F125" s="144"/>
      <c r="G125" s="145" t="s">
        <v>173</v>
      </c>
      <c r="I125" s="376"/>
      <c r="J125" s="376"/>
      <c r="K125" s="377"/>
      <c r="L125" s="73"/>
    </row>
    <row r="126" spans="1:12" ht="3" customHeight="1">
      <c r="A126" s="446"/>
      <c r="B126" s="443"/>
      <c r="C126" s="443"/>
      <c r="D126" s="443"/>
      <c r="E126" s="443"/>
      <c r="F126" s="443"/>
      <c r="G126" s="443"/>
      <c r="H126" s="443"/>
      <c r="I126" s="443"/>
      <c r="J126" s="443"/>
      <c r="K126" s="447"/>
      <c r="L126" s="73"/>
    </row>
    <row r="127" spans="1:12" ht="30.75" customHeight="1">
      <c r="A127" s="146" t="s">
        <v>174</v>
      </c>
      <c r="B127" s="92"/>
      <c r="C127" s="33" t="s">
        <v>579</v>
      </c>
      <c r="D127" s="144"/>
      <c r="E127" s="33" t="s">
        <v>597</v>
      </c>
      <c r="F127" s="144"/>
      <c r="G127" s="91" t="s">
        <v>176</v>
      </c>
      <c r="I127" s="376"/>
      <c r="J127" s="376"/>
      <c r="K127" s="377"/>
      <c r="L127" s="73"/>
    </row>
    <row r="128" spans="1:12" ht="3" customHeight="1">
      <c r="A128" s="446"/>
      <c r="B128" s="443"/>
      <c r="C128" s="443"/>
      <c r="D128" s="443"/>
      <c r="E128" s="443"/>
      <c r="F128" s="443"/>
      <c r="G128" s="443"/>
      <c r="H128" s="443"/>
      <c r="I128" s="443"/>
      <c r="J128" s="443"/>
      <c r="K128" s="447"/>
      <c r="L128" s="73"/>
    </row>
    <row r="129" spans="1:12" ht="29.1" customHeight="1">
      <c r="A129" s="143" t="s">
        <v>177</v>
      </c>
      <c r="B129" s="92"/>
      <c r="C129" s="33" t="s">
        <v>582</v>
      </c>
      <c r="D129" s="144"/>
      <c r="E129" s="33" t="s">
        <v>179</v>
      </c>
      <c r="F129" s="144"/>
      <c r="G129" s="145" t="s">
        <v>180</v>
      </c>
      <c r="I129" s="376"/>
      <c r="J129" s="376"/>
      <c r="K129" s="377"/>
      <c r="L129" s="73"/>
    </row>
    <row r="130" spans="1:12" ht="3" customHeight="1">
      <c r="A130" s="446"/>
      <c r="B130" s="443"/>
      <c r="C130" s="443"/>
      <c r="D130" s="443"/>
      <c r="E130" s="443"/>
      <c r="F130" s="443"/>
      <c r="G130" s="443"/>
      <c r="H130" s="443"/>
      <c r="I130" s="443"/>
      <c r="J130" s="443"/>
      <c r="K130" s="447"/>
      <c r="L130" s="73"/>
    </row>
    <row r="131" spans="1:12" ht="25.5" customHeight="1">
      <c r="A131" s="146" t="s">
        <v>181</v>
      </c>
      <c r="B131" s="92"/>
      <c r="C131" s="33" t="s">
        <v>175</v>
      </c>
      <c r="D131" s="144"/>
      <c r="E131" s="33" t="s">
        <v>604</v>
      </c>
      <c r="F131" s="144"/>
      <c r="G131" s="91" t="s">
        <v>182</v>
      </c>
      <c r="I131" s="376"/>
      <c r="J131" s="376"/>
      <c r="K131" s="377"/>
      <c r="L131" s="73"/>
    </row>
    <row r="132" spans="1:12" ht="1.5" customHeight="1">
      <c r="A132" s="446"/>
      <c r="B132" s="443"/>
      <c r="C132" s="443"/>
      <c r="D132" s="443"/>
      <c r="E132" s="443"/>
      <c r="F132" s="443"/>
      <c r="G132" s="443"/>
      <c r="H132" s="443"/>
      <c r="I132" s="443"/>
      <c r="J132" s="443"/>
      <c r="K132" s="447"/>
      <c r="L132" s="73"/>
    </row>
    <row r="133" spans="1:12" ht="23.25" customHeight="1">
      <c r="A133" s="143" t="s">
        <v>183</v>
      </c>
      <c r="B133" s="92"/>
      <c r="C133" s="33" t="s">
        <v>175</v>
      </c>
      <c r="D133" s="144"/>
      <c r="E133" s="33" t="s">
        <v>635</v>
      </c>
      <c r="F133" s="144"/>
      <c r="G133" s="145" t="s">
        <v>184</v>
      </c>
      <c r="I133" s="376"/>
      <c r="J133" s="376"/>
      <c r="K133" s="377"/>
      <c r="L133" s="73"/>
    </row>
    <row r="134" spans="1:12" ht="3" hidden="1" customHeight="1">
      <c r="A134" s="446"/>
      <c r="B134" s="443"/>
      <c r="C134" s="443"/>
      <c r="D134" s="443"/>
      <c r="E134" s="443"/>
      <c r="F134" s="443"/>
      <c r="G134" s="443"/>
      <c r="H134" s="443"/>
      <c r="I134" s="443"/>
      <c r="J134" s="443"/>
      <c r="K134" s="447"/>
      <c r="L134" s="73"/>
    </row>
    <row r="135" spans="1:12" ht="32.25" customHeight="1">
      <c r="A135" s="146" t="s">
        <v>185</v>
      </c>
      <c r="B135" s="92"/>
      <c r="C135" s="33" t="s">
        <v>175</v>
      </c>
      <c r="D135" s="144"/>
      <c r="E135" s="33" t="s">
        <v>594</v>
      </c>
      <c r="F135" s="144"/>
      <c r="G135" s="91" t="s">
        <v>186</v>
      </c>
      <c r="I135" s="376"/>
      <c r="J135" s="376"/>
      <c r="K135" s="377"/>
      <c r="L135" s="73"/>
    </row>
    <row r="136" spans="1:12" ht="0.75" customHeight="1">
      <c r="A136" s="446"/>
      <c r="B136" s="443"/>
      <c r="C136" s="443"/>
      <c r="D136" s="443"/>
      <c r="E136" s="443"/>
      <c r="F136" s="443"/>
      <c r="G136" s="443"/>
      <c r="H136" s="443"/>
      <c r="I136" s="443"/>
      <c r="J136" s="443"/>
      <c r="K136" s="447"/>
      <c r="L136" s="73"/>
    </row>
    <row r="137" spans="1:12" ht="33.75" customHeight="1">
      <c r="A137" s="143" t="s">
        <v>187</v>
      </c>
      <c r="B137" s="92"/>
      <c r="C137" s="33" t="s">
        <v>175</v>
      </c>
      <c r="D137" s="144"/>
      <c r="E137" s="107" t="s">
        <v>605</v>
      </c>
      <c r="F137" s="144"/>
      <c r="G137" s="145" t="s">
        <v>188</v>
      </c>
      <c r="I137" s="376"/>
      <c r="J137" s="376"/>
      <c r="K137" s="377"/>
      <c r="L137" s="73"/>
    </row>
    <row r="138" spans="1:12" ht="2.25" customHeight="1">
      <c r="A138" s="446"/>
      <c r="B138" s="443"/>
      <c r="C138" s="443"/>
      <c r="D138" s="443"/>
      <c r="E138" s="443"/>
      <c r="F138" s="443"/>
      <c r="G138" s="443"/>
      <c r="H138" s="443"/>
      <c r="I138" s="443"/>
      <c r="J138" s="443"/>
      <c r="K138" s="447"/>
      <c r="L138" s="73"/>
    </row>
    <row r="139" spans="1:12" ht="28.5" customHeight="1">
      <c r="A139" s="164" t="s">
        <v>189</v>
      </c>
      <c r="B139" s="165"/>
      <c r="C139" s="33" t="s">
        <v>175</v>
      </c>
      <c r="D139" s="166"/>
      <c r="E139" s="33" t="s">
        <v>606</v>
      </c>
      <c r="F139" s="166"/>
      <c r="G139" s="167" t="s">
        <v>190</v>
      </c>
      <c r="H139" s="41"/>
      <c r="I139" s="376"/>
      <c r="J139" s="376"/>
      <c r="K139" s="377"/>
      <c r="L139" s="73"/>
    </row>
    <row r="140" spans="1:12" ht="3" customHeight="1">
      <c r="A140" s="446"/>
      <c r="B140" s="443"/>
      <c r="C140" s="443"/>
      <c r="D140" s="443"/>
      <c r="E140" s="443"/>
      <c r="F140" s="443"/>
      <c r="G140" s="443"/>
      <c r="H140" s="443"/>
      <c r="I140" s="443"/>
      <c r="J140" s="443"/>
      <c r="K140" s="447"/>
      <c r="L140" s="73"/>
    </row>
    <row r="141" spans="1:12" ht="18" customHeight="1">
      <c r="A141" s="448" t="s">
        <v>191</v>
      </c>
      <c r="B141" s="449"/>
      <c r="C141" s="449"/>
      <c r="D141" s="449"/>
      <c r="E141" s="449"/>
      <c r="F141" s="449"/>
      <c r="G141" s="449"/>
      <c r="H141" s="449"/>
      <c r="I141" s="449"/>
      <c r="J141" s="449"/>
      <c r="K141" s="450"/>
      <c r="L141" s="73"/>
    </row>
    <row r="142" spans="1:12" ht="3" customHeight="1">
      <c r="A142" s="483"/>
      <c r="B142" s="484"/>
      <c r="C142" s="484"/>
      <c r="D142" s="484"/>
      <c r="E142" s="484"/>
      <c r="F142" s="484"/>
      <c r="G142" s="484"/>
      <c r="H142" s="484"/>
      <c r="I142" s="484"/>
      <c r="J142" s="484"/>
      <c r="K142" s="485"/>
      <c r="L142" s="73"/>
    </row>
    <row r="143" spans="1:12" ht="21" customHeight="1">
      <c r="A143" s="507" t="s">
        <v>192</v>
      </c>
      <c r="B143" s="508"/>
      <c r="C143" s="508"/>
      <c r="D143" s="508"/>
      <c r="E143" s="508"/>
      <c r="F143" s="508"/>
      <c r="G143" s="508"/>
      <c r="H143" s="508"/>
      <c r="I143" s="508"/>
      <c r="J143" s="508"/>
      <c r="K143" s="509"/>
      <c r="L143" s="73"/>
    </row>
    <row r="144" spans="1:12" ht="3" customHeight="1">
      <c r="A144" s="483"/>
      <c r="B144" s="484"/>
      <c r="C144" s="484"/>
      <c r="D144" s="484"/>
      <c r="E144" s="484"/>
      <c r="F144" s="484"/>
      <c r="G144" s="484"/>
      <c r="H144" s="484"/>
      <c r="I144" s="484"/>
      <c r="J144" s="484"/>
      <c r="K144" s="485"/>
      <c r="L144" s="73"/>
    </row>
    <row r="145" spans="1:13" ht="30" customHeight="1">
      <c r="A145" s="37" t="s">
        <v>193</v>
      </c>
      <c r="B145" s="24"/>
      <c r="C145" s="68" t="s">
        <v>194</v>
      </c>
      <c r="D145" s="168"/>
      <c r="E145" s="169" t="s">
        <v>195</v>
      </c>
      <c r="F145" s="38"/>
      <c r="G145" s="68" t="s">
        <v>196</v>
      </c>
      <c r="H145" s="168"/>
      <c r="I145" s="201" t="s">
        <v>197</v>
      </c>
      <c r="J145" s="47"/>
      <c r="K145" s="99"/>
      <c r="L145" s="73"/>
      <c r="M145" s="352"/>
    </row>
    <row r="146" spans="1:13" ht="3" customHeight="1">
      <c r="A146" s="446"/>
      <c r="B146" s="443"/>
      <c r="C146" s="443"/>
      <c r="D146" s="443"/>
      <c r="E146" s="443"/>
      <c r="F146" s="443"/>
      <c r="G146" s="443"/>
      <c r="H146" s="443"/>
      <c r="I146" s="443"/>
      <c r="J146" s="443"/>
      <c r="K146" s="447"/>
      <c r="L146" s="73"/>
      <c r="M146" s="352"/>
    </row>
    <row r="147" spans="1:13" ht="20.100000000000001" customHeight="1">
      <c r="A147" s="28" t="s">
        <v>198</v>
      </c>
      <c r="B147" s="29"/>
      <c r="C147" s="170"/>
      <c r="D147" s="171"/>
      <c r="E147" s="172"/>
      <c r="G147" s="173"/>
      <c r="H147" s="171"/>
      <c r="I147" s="202">
        <f>G147*E147</f>
        <v>0</v>
      </c>
      <c r="J147" s="203"/>
      <c r="K147" s="204"/>
      <c r="L147" s="73"/>
      <c r="M147" s="352"/>
    </row>
    <row r="148" spans="1:13" ht="3" customHeight="1">
      <c r="A148" s="446"/>
      <c r="B148" s="443"/>
      <c r="C148" s="443"/>
      <c r="D148" s="443"/>
      <c r="E148" s="443"/>
      <c r="F148" s="443"/>
      <c r="G148" s="443"/>
      <c r="H148" s="443"/>
      <c r="I148" s="443"/>
      <c r="J148" s="443"/>
      <c r="K148" s="447"/>
      <c r="L148" s="73"/>
      <c r="M148" s="205"/>
    </row>
    <row r="149" spans="1:13" ht="21" customHeight="1">
      <c r="A149" s="32" t="s">
        <v>199</v>
      </c>
      <c r="B149" s="29"/>
      <c r="C149" s="174"/>
      <c r="D149" s="171"/>
      <c r="E149" s="172"/>
      <c r="G149" s="175"/>
      <c r="H149" s="171"/>
      <c r="I149" s="206">
        <f>E149*G149</f>
        <v>0</v>
      </c>
      <c r="J149" s="171"/>
      <c r="K149" s="207"/>
      <c r="L149" s="73"/>
      <c r="M149" s="208"/>
    </row>
    <row r="150" spans="1:13" ht="3" customHeight="1">
      <c r="A150" s="446"/>
      <c r="B150" s="443"/>
      <c r="C150" s="443"/>
      <c r="D150" s="443"/>
      <c r="E150" s="443"/>
      <c r="F150" s="443"/>
      <c r="G150" s="443"/>
      <c r="H150" s="443"/>
      <c r="I150" s="443"/>
      <c r="J150" s="443"/>
      <c r="K150" s="447"/>
      <c r="L150" s="73"/>
      <c r="M150" s="208"/>
    </row>
    <row r="151" spans="1:13" ht="30">
      <c r="A151" s="28" t="s">
        <v>200</v>
      </c>
      <c r="B151" s="29"/>
      <c r="C151" s="170"/>
      <c r="D151" s="171"/>
      <c r="E151" s="172"/>
      <c r="G151" s="173"/>
      <c r="H151" s="171"/>
      <c r="I151" s="202">
        <f>G151*E151</f>
        <v>0</v>
      </c>
      <c r="J151" s="171"/>
      <c r="K151" s="204"/>
      <c r="L151" s="73"/>
      <c r="M151" s="209"/>
    </row>
    <row r="152" spans="1:13" ht="3" customHeight="1">
      <c r="A152" s="446"/>
      <c r="B152" s="443"/>
      <c r="C152" s="443"/>
      <c r="D152" s="443"/>
      <c r="E152" s="443"/>
      <c r="F152" s="443"/>
      <c r="G152" s="443"/>
      <c r="H152" s="443"/>
      <c r="I152" s="443"/>
      <c r="J152" s="443"/>
      <c r="K152" s="447"/>
      <c r="L152" s="73"/>
      <c r="M152" s="208"/>
    </row>
    <row r="153" spans="1:13" ht="20.100000000000001" customHeight="1">
      <c r="A153" s="32" t="s">
        <v>201</v>
      </c>
      <c r="B153" s="29"/>
      <c r="C153" s="174"/>
      <c r="D153" s="171"/>
      <c r="E153" s="172"/>
      <c r="G153" s="173"/>
      <c r="H153" s="171"/>
      <c r="I153" s="206">
        <f>E153*G153</f>
        <v>0</v>
      </c>
      <c r="J153" s="171"/>
      <c r="K153" s="207"/>
      <c r="L153" s="73"/>
      <c r="M153" s="208"/>
    </row>
    <row r="154" spans="1:13" ht="3" customHeight="1">
      <c r="A154" s="446"/>
      <c r="B154" s="443"/>
      <c r="C154" s="443"/>
      <c r="D154" s="443"/>
      <c r="E154" s="443"/>
      <c r="F154" s="443"/>
      <c r="G154" s="443"/>
      <c r="H154" s="443"/>
      <c r="I154" s="443"/>
      <c r="J154" s="443"/>
      <c r="K154" s="447"/>
      <c r="L154" s="73"/>
      <c r="M154" s="208"/>
    </row>
    <row r="155" spans="1:13" ht="21" customHeight="1">
      <c r="A155" s="478" t="s">
        <v>202</v>
      </c>
      <c r="B155" s="479"/>
      <c r="C155" s="479"/>
      <c r="D155" s="479"/>
      <c r="E155" s="479"/>
      <c r="F155" s="479"/>
      <c r="G155" s="479"/>
      <c r="H155" s="176"/>
      <c r="I155" s="210">
        <f>SUM(I147,I149,I151,I153)</f>
        <v>0</v>
      </c>
      <c r="J155" s="176"/>
      <c r="K155" s="84"/>
      <c r="L155" s="73"/>
      <c r="M155" s="208"/>
    </row>
    <row r="156" spans="1:13" ht="3" customHeight="1">
      <c r="A156" s="446"/>
      <c r="B156" s="443"/>
      <c r="C156" s="443"/>
      <c r="D156" s="443"/>
      <c r="E156" s="443"/>
      <c r="F156" s="443"/>
      <c r="G156" s="443"/>
      <c r="H156" s="443"/>
      <c r="I156" s="443"/>
      <c r="J156" s="443"/>
      <c r="K156" s="447"/>
      <c r="L156" s="73"/>
    </row>
    <row r="157" spans="1:13" ht="21.75" customHeight="1">
      <c r="A157" s="507" t="s">
        <v>203</v>
      </c>
      <c r="B157" s="508"/>
      <c r="C157" s="508"/>
      <c r="D157" s="508"/>
      <c r="E157" s="508"/>
      <c r="F157" s="508"/>
      <c r="G157" s="508"/>
      <c r="H157" s="508"/>
      <c r="I157" s="508"/>
      <c r="J157" s="508"/>
      <c r="K157" s="509"/>
      <c r="L157" s="73"/>
    </row>
    <row r="158" spans="1:13" ht="3" customHeight="1">
      <c r="A158" s="483"/>
      <c r="B158" s="484"/>
      <c r="C158" s="484"/>
      <c r="D158" s="484"/>
      <c r="E158" s="484"/>
      <c r="F158" s="484"/>
      <c r="G158" s="484"/>
      <c r="H158" s="484"/>
      <c r="I158" s="484"/>
      <c r="J158" s="484"/>
      <c r="K158" s="485"/>
      <c r="L158" s="73"/>
    </row>
    <row r="159" spans="1:13" ht="30" customHeight="1">
      <c r="A159" s="177" t="s">
        <v>193</v>
      </c>
      <c r="B159" s="178"/>
      <c r="C159" s="101" t="s">
        <v>194</v>
      </c>
      <c r="D159" s="179"/>
      <c r="E159" s="180" t="s">
        <v>195</v>
      </c>
      <c r="F159" s="181"/>
      <c r="G159" s="101" t="s">
        <v>196</v>
      </c>
      <c r="H159" s="179"/>
      <c r="I159" s="211" t="s">
        <v>197</v>
      </c>
      <c r="J159" s="212"/>
      <c r="K159" s="213"/>
      <c r="L159" s="73"/>
    </row>
    <row r="160" spans="1:13" ht="3" customHeight="1">
      <c r="A160" s="451"/>
      <c r="B160" s="451"/>
      <c r="C160" s="451"/>
      <c r="D160" s="451"/>
      <c r="E160" s="451"/>
      <c r="F160" s="451"/>
      <c r="G160" s="451"/>
      <c r="H160" s="451"/>
      <c r="I160" s="451"/>
      <c r="J160" s="451"/>
      <c r="K160" s="451"/>
      <c r="L160" s="73"/>
    </row>
    <row r="161" spans="1:12" ht="20.100000000000001" customHeight="1">
      <c r="A161" s="182" t="s">
        <v>198</v>
      </c>
      <c r="B161" s="178"/>
      <c r="C161" s="183">
        <v>41.8</v>
      </c>
      <c r="D161" s="184"/>
      <c r="E161" s="185">
        <v>653</v>
      </c>
      <c r="F161" s="181"/>
      <c r="G161" s="186">
        <v>555</v>
      </c>
      <c r="H161" s="184"/>
      <c r="I161" s="214">
        <f>E161*G161</f>
        <v>362415</v>
      </c>
      <c r="J161" s="215"/>
      <c r="K161" s="104"/>
      <c r="L161" s="73"/>
    </row>
    <row r="162" spans="1:12" ht="3" customHeight="1">
      <c r="A162" s="451"/>
      <c r="B162" s="451"/>
      <c r="C162" s="451"/>
      <c r="D162" s="451"/>
      <c r="E162" s="451"/>
      <c r="F162" s="451"/>
      <c r="G162" s="451"/>
      <c r="H162" s="451"/>
      <c r="I162" s="451"/>
      <c r="J162" s="451"/>
      <c r="K162" s="451"/>
      <c r="L162" s="73"/>
    </row>
    <row r="163" spans="1:12" ht="23.25" customHeight="1">
      <c r="A163" s="177" t="s">
        <v>199</v>
      </c>
      <c r="B163" s="178"/>
      <c r="C163" s="187">
        <f>E163/10.764</f>
        <v>43.849869936826458</v>
      </c>
      <c r="D163" s="184"/>
      <c r="E163" s="185">
        <f>E165*80%</f>
        <v>472</v>
      </c>
      <c r="F163" s="181"/>
      <c r="G163" s="188"/>
      <c r="H163" s="184"/>
      <c r="I163" s="216">
        <f>E163*G163</f>
        <v>0</v>
      </c>
      <c r="J163" s="184"/>
      <c r="K163" s="213"/>
      <c r="L163" s="73"/>
    </row>
    <row r="164" spans="1:12" ht="3" customHeight="1">
      <c r="A164" s="451"/>
      <c r="B164" s="451"/>
      <c r="C164" s="451"/>
      <c r="D164" s="451"/>
      <c r="E164" s="451"/>
      <c r="F164" s="451"/>
      <c r="G164" s="451"/>
      <c r="H164" s="451"/>
      <c r="I164" s="451"/>
      <c r="J164" s="451"/>
      <c r="K164" s="451"/>
      <c r="L164" s="73"/>
    </row>
    <row r="165" spans="1:12" ht="45" customHeight="1">
      <c r="A165" s="189" t="s">
        <v>204</v>
      </c>
      <c r="B165" s="103"/>
      <c r="C165" s="183">
        <f>E165/10.764</f>
        <v>54.812337421033078</v>
      </c>
      <c r="D165" s="103"/>
      <c r="E165" s="190">
        <v>590</v>
      </c>
      <c r="F165" s="103"/>
      <c r="G165" s="190">
        <v>500</v>
      </c>
      <c r="H165" s="190"/>
      <c r="I165" s="214">
        <f>E165*G165</f>
        <v>295000</v>
      </c>
      <c r="J165" s="103"/>
      <c r="K165" s="103"/>
      <c r="L165" s="73"/>
    </row>
    <row r="166" spans="1:12" ht="3" customHeight="1">
      <c r="A166" s="451"/>
      <c r="B166" s="451"/>
      <c r="C166" s="451"/>
      <c r="D166" s="451"/>
      <c r="E166" s="451"/>
      <c r="F166" s="451"/>
      <c r="G166" s="451"/>
      <c r="H166" s="451"/>
      <c r="I166" s="451"/>
      <c r="J166" s="451"/>
      <c r="K166" s="451"/>
      <c r="L166" s="73"/>
    </row>
    <row r="167" spans="1:12" ht="20.100000000000001" customHeight="1">
      <c r="A167" s="177" t="s">
        <v>205</v>
      </c>
      <c r="B167" s="178"/>
      <c r="C167" s="187">
        <f>E167/10.764</f>
        <v>54.812337421033078</v>
      </c>
      <c r="D167" s="184"/>
      <c r="E167" s="185">
        <v>590</v>
      </c>
      <c r="F167" s="181"/>
      <c r="G167" s="186"/>
      <c r="H167" s="184"/>
      <c r="I167" s="216">
        <f>E167*G167</f>
        <v>0</v>
      </c>
      <c r="J167" s="184"/>
      <c r="K167" s="213"/>
      <c r="L167" s="73"/>
    </row>
    <row r="168" spans="1:12" ht="3" customHeight="1">
      <c r="A168" s="446"/>
      <c r="B168" s="443"/>
      <c r="C168" s="443"/>
      <c r="D168" s="443"/>
      <c r="E168" s="443"/>
      <c r="F168" s="443"/>
      <c r="G168" s="443"/>
      <c r="H168" s="443"/>
      <c r="I168" s="443"/>
      <c r="J168" s="443"/>
      <c r="K168" s="447"/>
      <c r="L168" s="73"/>
    </row>
    <row r="169" spans="1:12" ht="25.5" customHeight="1">
      <c r="A169" s="510" t="s">
        <v>206</v>
      </c>
      <c r="B169" s="511"/>
      <c r="C169" s="511"/>
      <c r="D169" s="511"/>
      <c r="E169" s="511"/>
      <c r="F169" s="511"/>
      <c r="G169" s="511"/>
      <c r="H169" s="171"/>
      <c r="I169" s="217">
        <f>SUM(I161,I165)</f>
        <v>657415</v>
      </c>
      <c r="J169" s="171"/>
      <c r="K169" s="218"/>
      <c r="L169" s="73"/>
    </row>
    <row r="170" spans="1:12" ht="3" customHeight="1">
      <c r="A170" s="483"/>
      <c r="B170" s="484"/>
      <c r="C170" s="484"/>
      <c r="D170" s="484"/>
      <c r="E170" s="484"/>
      <c r="F170" s="484"/>
      <c r="G170" s="484"/>
      <c r="H170" s="484"/>
      <c r="I170" s="484"/>
      <c r="J170" s="484"/>
      <c r="K170" s="485"/>
      <c r="L170" s="73"/>
    </row>
    <row r="171" spans="1:12" ht="15" customHeight="1">
      <c r="A171" s="501" t="s">
        <v>207</v>
      </c>
      <c r="B171" s="502"/>
      <c r="C171" s="503"/>
      <c r="D171" s="502"/>
      <c r="E171" s="504"/>
      <c r="F171" s="29"/>
      <c r="G171" s="101"/>
      <c r="H171" s="171"/>
      <c r="I171" s="505" t="s">
        <v>208</v>
      </c>
      <c r="J171" s="505"/>
      <c r="K171" s="506"/>
      <c r="L171" s="73"/>
    </row>
    <row r="172" spans="1:12" ht="3" customHeight="1">
      <c r="A172" s="483"/>
      <c r="B172" s="484"/>
      <c r="C172" s="484"/>
      <c r="D172" s="484"/>
      <c r="E172" s="484"/>
      <c r="F172" s="484"/>
      <c r="G172" s="484"/>
      <c r="H172" s="484"/>
      <c r="I172" s="484"/>
      <c r="J172" s="484"/>
      <c r="K172" s="485"/>
      <c r="L172" s="73"/>
    </row>
    <row r="173" spans="1:12" ht="30" customHeight="1">
      <c r="A173" s="405"/>
      <c r="B173" s="406"/>
      <c r="C173" s="406"/>
      <c r="D173" s="406"/>
      <c r="E173" s="407"/>
      <c r="F173" s="50"/>
      <c r="G173" s="193"/>
      <c r="H173" s="47"/>
      <c r="I173" s="414" t="s">
        <v>636</v>
      </c>
      <c r="J173" s="414"/>
      <c r="K173" s="415"/>
      <c r="L173" s="73"/>
    </row>
    <row r="174" spans="1:12" ht="3" customHeight="1">
      <c r="A174" s="408"/>
      <c r="B174" s="409"/>
      <c r="C174" s="409"/>
      <c r="D174" s="409"/>
      <c r="E174" s="410"/>
      <c r="F174" s="50"/>
      <c r="G174" s="50"/>
      <c r="H174" s="50"/>
      <c r="I174" s="414"/>
      <c r="J174" s="414"/>
      <c r="K174" s="415"/>
      <c r="L174" s="73"/>
    </row>
    <row r="175" spans="1:12" ht="30" customHeight="1">
      <c r="A175" s="408"/>
      <c r="B175" s="409"/>
      <c r="C175" s="409"/>
      <c r="D175" s="409"/>
      <c r="E175" s="410"/>
      <c r="F175" s="50"/>
      <c r="G175" s="101"/>
      <c r="H175" s="50"/>
      <c r="I175" s="414"/>
      <c r="J175" s="414"/>
      <c r="K175" s="415"/>
      <c r="L175" s="73"/>
    </row>
    <row r="176" spans="1:12" ht="3" customHeight="1">
      <c r="A176" s="408"/>
      <c r="B176" s="409"/>
      <c r="C176" s="409"/>
      <c r="D176" s="409"/>
      <c r="E176" s="410"/>
      <c r="F176" s="29"/>
      <c r="G176" s="50"/>
      <c r="H176" s="29"/>
      <c r="I176" s="414"/>
      <c r="J176" s="414"/>
      <c r="K176" s="415"/>
      <c r="L176" s="73"/>
    </row>
    <row r="177" spans="1:12" ht="9.75" customHeight="1">
      <c r="A177" s="411"/>
      <c r="B177" s="412"/>
      <c r="C177" s="412"/>
      <c r="D177" s="412"/>
      <c r="E177" s="413"/>
      <c r="F177" s="29"/>
      <c r="G177" s="193"/>
      <c r="H177" s="36"/>
      <c r="I177" s="414"/>
      <c r="J177" s="414"/>
      <c r="K177" s="415"/>
      <c r="L177" s="73"/>
    </row>
    <row r="178" spans="1:12" ht="3" customHeight="1">
      <c r="A178" s="483"/>
      <c r="B178" s="484"/>
      <c r="C178" s="484"/>
      <c r="D178" s="484"/>
      <c r="E178" s="484"/>
      <c r="F178" s="484"/>
      <c r="G178" s="484"/>
      <c r="H178" s="484"/>
      <c r="I178" s="484"/>
      <c r="J178" s="484"/>
      <c r="K178" s="485"/>
      <c r="L178" s="73"/>
    </row>
    <row r="179" spans="1:12" ht="22.5" customHeight="1">
      <c r="A179" s="448" t="s">
        <v>209</v>
      </c>
      <c r="B179" s="449"/>
      <c r="C179" s="449"/>
      <c r="D179" s="449"/>
      <c r="E179" s="449"/>
      <c r="F179" s="449"/>
      <c r="G179" s="449"/>
      <c r="H179" s="449"/>
      <c r="I179" s="449"/>
      <c r="J179" s="449"/>
      <c r="K179" s="450"/>
      <c r="L179" s="73"/>
    </row>
    <row r="180" spans="1:12" ht="3" customHeight="1">
      <c r="A180" s="483"/>
      <c r="B180" s="484"/>
      <c r="C180" s="484"/>
      <c r="D180" s="484"/>
      <c r="E180" s="484"/>
      <c r="F180" s="484"/>
      <c r="G180" s="484"/>
      <c r="H180" s="484"/>
      <c r="I180" s="484"/>
      <c r="J180" s="484"/>
      <c r="K180" s="485"/>
      <c r="L180" s="73"/>
    </row>
    <row r="181" spans="1:12" ht="27" customHeight="1">
      <c r="A181" s="194"/>
      <c r="B181" s="24"/>
      <c r="C181" s="68" t="s">
        <v>193</v>
      </c>
      <c r="D181" s="168"/>
      <c r="E181" s="169" t="s">
        <v>194</v>
      </c>
      <c r="F181" s="38"/>
      <c r="G181" s="68" t="s">
        <v>195</v>
      </c>
      <c r="H181" s="168"/>
      <c r="I181" s="201" t="s">
        <v>196</v>
      </c>
      <c r="J181" s="219"/>
      <c r="K181" s="99" t="s">
        <v>210</v>
      </c>
      <c r="L181" s="73"/>
    </row>
    <row r="182" spans="1:12" ht="3" customHeight="1">
      <c r="A182" s="446"/>
      <c r="B182" s="443"/>
      <c r="C182" s="443"/>
      <c r="D182" s="443"/>
      <c r="E182" s="443"/>
      <c r="F182" s="443"/>
      <c r="G182" s="443"/>
      <c r="H182" s="443"/>
      <c r="I182" s="443"/>
      <c r="J182" s="443"/>
      <c r="K182" s="447"/>
      <c r="L182" s="73"/>
    </row>
    <row r="183" spans="1:12" ht="30" customHeight="1">
      <c r="A183" s="195"/>
      <c r="B183" s="51"/>
      <c r="C183" s="108" t="s">
        <v>211</v>
      </c>
      <c r="D183" s="176"/>
      <c r="E183" s="196">
        <f>G183/10.764</f>
        <v>54.812337421033078</v>
      </c>
      <c r="F183" s="197"/>
      <c r="G183" s="198">
        <v>590</v>
      </c>
      <c r="H183" s="199"/>
      <c r="I183" s="198">
        <v>1300</v>
      </c>
      <c r="J183" s="220"/>
      <c r="K183" s="221">
        <f>G183*I183</f>
        <v>767000</v>
      </c>
      <c r="L183" s="73"/>
    </row>
    <row r="184" spans="1:12" ht="3" customHeight="1">
      <c r="A184" s="446"/>
      <c r="B184" s="443"/>
      <c r="C184" s="443"/>
      <c r="D184" s="443"/>
      <c r="E184" s="443"/>
      <c r="F184" s="443"/>
      <c r="G184" s="443"/>
      <c r="H184" s="443"/>
      <c r="I184" s="443"/>
      <c r="J184" s="443"/>
      <c r="K184" s="447"/>
      <c r="L184" s="73"/>
    </row>
    <row r="185" spans="1:12" ht="27" customHeight="1">
      <c r="A185" s="448" t="s">
        <v>212</v>
      </c>
      <c r="B185" s="449"/>
      <c r="C185" s="449"/>
      <c r="D185" s="449"/>
      <c r="E185" s="449"/>
      <c r="F185" s="449"/>
      <c r="G185" s="449"/>
      <c r="H185" s="449"/>
      <c r="I185" s="449"/>
      <c r="J185" s="449"/>
      <c r="K185" s="450"/>
      <c r="L185" s="73"/>
    </row>
    <row r="186" spans="1:12" ht="3" customHeight="1">
      <c r="A186" s="483"/>
      <c r="B186" s="484"/>
      <c r="C186" s="484"/>
      <c r="D186" s="484"/>
      <c r="E186" s="484"/>
      <c r="F186" s="484"/>
      <c r="G186" s="484"/>
      <c r="H186" s="484"/>
      <c r="I186" s="484"/>
      <c r="J186" s="484"/>
      <c r="K186" s="485"/>
      <c r="L186" s="73"/>
    </row>
    <row r="187" spans="1:12" ht="20.100000000000001" customHeight="1">
      <c r="A187" s="45" t="s">
        <v>213</v>
      </c>
      <c r="B187" s="47"/>
      <c r="C187" s="441" t="s">
        <v>214</v>
      </c>
      <c r="D187" s="441"/>
      <c r="E187" s="441"/>
      <c r="F187" s="38"/>
      <c r="G187" s="68" t="s">
        <v>215</v>
      </c>
      <c r="H187" s="47"/>
      <c r="I187" s="68" t="s">
        <v>216</v>
      </c>
      <c r="J187" s="24"/>
      <c r="K187" s="99" t="s">
        <v>217</v>
      </c>
      <c r="L187" s="73"/>
    </row>
    <row r="188" spans="1:12" ht="3" customHeight="1">
      <c r="A188" s="446"/>
      <c r="B188" s="443"/>
      <c r="C188" s="443"/>
      <c r="D188" s="443"/>
      <c r="E188" s="443"/>
      <c r="F188" s="443"/>
      <c r="G188" s="443"/>
      <c r="H188" s="443"/>
      <c r="I188" s="443"/>
      <c r="J188" s="443"/>
      <c r="K188" s="447"/>
      <c r="L188" s="73"/>
    </row>
    <row r="189" spans="1:12" ht="15" customHeight="1">
      <c r="A189" s="200">
        <v>1</v>
      </c>
      <c r="B189" s="50"/>
      <c r="C189" s="423"/>
      <c r="D189" s="423"/>
      <c r="E189" s="423"/>
      <c r="G189" s="105"/>
      <c r="H189" s="54"/>
      <c r="I189" s="105"/>
      <c r="J189" s="222"/>
      <c r="K189" s="223">
        <v>0</v>
      </c>
      <c r="L189" s="73"/>
    </row>
    <row r="190" spans="1:12" ht="3" customHeight="1">
      <c r="A190" s="446"/>
      <c r="B190" s="443"/>
      <c r="C190" s="443"/>
      <c r="D190" s="443"/>
      <c r="E190" s="443"/>
      <c r="F190" s="443"/>
      <c r="G190" s="443"/>
      <c r="H190" s="443"/>
      <c r="I190" s="443"/>
      <c r="J190" s="443"/>
      <c r="K190" s="447"/>
      <c r="L190" s="73"/>
    </row>
    <row r="191" spans="1:12" ht="15" customHeight="1">
      <c r="A191" s="48">
        <v>2</v>
      </c>
      <c r="B191" s="50"/>
      <c r="C191" s="423"/>
      <c r="D191" s="423"/>
      <c r="E191" s="423"/>
      <c r="G191" s="105"/>
      <c r="H191" s="54"/>
      <c r="I191" s="105"/>
      <c r="J191" s="222"/>
      <c r="K191" s="223"/>
      <c r="L191" s="73"/>
    </row>
    <row r="192" spans="1:12" ht="3" customHeight="1">
      <c r="A192" s="446"/>
      <c r="B192" s="443"/>
      <c r="C192" s="443"/>
      <c r="D192" s="443"/>
      <c r="E192" s="443"/>
      <c r="F192" s="443"/>
      <c r="G192" s="443"/>
      <c r="H192" s="443"/>
      <c r="I192" s="443"/>
      <c r="J192" s="443"/>
      <c r="K192" s="447"/>
      <c r="L192" s="73"/>
    </row>
    <row r="193" spans="1:12" ht="15" customHeight="1">
      <c r="A193" s="200">
        <v>3</v>
      </c>
      <c r="B193" s="50"/>
      <c r="C193" s="423"/>
      <c r="D193" s="423"/>
      <c r="E193" s="423"/>
      <c r="G193" s="105"/>
      <c r="H193" s="54"/>
      <c r="I193" s="105"/>
      <c r="J193" s="222"/>
      <c r="K193" s="223"/>
      <c r="L193" s="73"/>
    </row>
    <row r="194" spans="1:12" ht="3" customHeight="1">
      <c r="A194" s="446"/>
      <c r="B194" s="443"/>
      <c r="C194" s="443"/>
      <c r="D194" s="443"/>
      <c r="E194" s="443"/>
      <c r="F194" s="443"/>
      <c r="G194" s="443"/>
      <c r="H194" s="443"/>
      <c r="I194" s="443"/>
      <c r="J194" s="443"/>
      <c r="K194" s="447"/>
      <c r="L194" s="73"/>
    </row>
    <row r="195" spans="1:12" ht="15" customHeight="1">
      <c r="A195" s="48">
        <v>4</v>
      </c>
      <c r="B195" s="50"/>
      <c r="C195" s="423"/>
      <c r="D195" s="423"/>
      <c r="E195" s="423"/>
      <c r="G195" s="105"/>
      <c r="H195" s="54"/>
      <c r="I195" s="105"/>
      <c r="J195" s="222"/>
      <c r="K195" s="223"/>
      <c r="L195" s="73"/>
    </row>
    <row r="196" spans="1:12" ht="3" customHeight="1">
      <c r="A196" s="446"/>
      <c r="B196" s="443"/>
      <c r="C196" s="443"/>
      <c r="D196" s="443"/>
      <c r="E196" s="443"/>
      <c r="F196" s="443"/>
      <c r="G196" s="443"/>
      <c r="H196" s="443"/>
      <c r="I196" s="443"/>
      <c r="J196" s="443"/>
      <c r="K196" s="447"/>
      <c r="L196" s="73"/>
    </row>
    <row r="197" spans="1:12" ht="15" customHeight="1">
      <c r="A197" s="200">
        <v>5</v>
      </c>
      <c r="B197" s="50"/>
      <c r="C197" s="423"/>
      <c r="D197" s="423"/>
      <c r="E197" s="423"/>
      <c r="G197" s="105"/>
      <c r="H197" s="54"/>
      <c r="I197" s="105"/>
      <c r="J197" s="222"/>
      <c r="K197" s="223"/>
      <c r="L197" s="73"/>
    </row>
    <row r="198" spans="1:12" ht="3" customHeight="1">
      <c r="A198" s="446"/>
      <c r="B198" s="443"/>
      <c r="C198" s="443"/>
      <c r="D198" s="443"/>
      <c r="E198" s="443"/>
      <c r="F198" s="443"/>
      <c r="G198" s="443"/>
      <c r="H198" s="443"/>
      <c r="I198" s="443"/>
      <c r="J198" s="443"/>
      <c r="K198" s="447"/>
      <c r="L198" s="73"/>
    </row>
    <row r="199" spans="1:12" ht="15" customHeight="1">
      <c r="A199" s="48">
        <v>6</v>
      </c>
      <c r="B199" s="50"/>
      <c r="C199" s="423"/>
      <c r="D199" s="423"/>
      <c r="E199" s="423"/>
      <c r="G199" s="105"/>
      <c r="H199" s="54"/>
      <c r="I199" s="105"/>
      <c r="J199" s="222"/>
      <c r="K199" s="223"/>
      <c r="L199" s="73"/>
    </row>
    <row r="200" spans="1:12" ht="3" customHeight="1">
      <c r="A200" s="446"/>
      <c r="B200" s="443"/>
      <c r="C200" s="443"/>
      <c r="D200" s="443"/>
      <c r="E200" s="443"/>
      <c r="F200" s="443"/>
      <c r="G200" s="443"/>
      <c r="H200" s="443"/>
      <c r="I200" s="443"/>
      <c r="J200" s="443"/>
      <c r="K200" s="447"/>
      <c r="L200" s="73"/>
    </row>
    <row r="201" spans="1:12" ht="21" customHeight="1">
      <c r="A201" s="499" t="s">
        <v>218</v>
      </c>
      <c r="B201" s="500"/>
      <c r="C201" s="500"/>
      <c r="D201" s="500"/>
      <c r="E201" s="500"/>
      <c r="F201" s="500"/>
      <c r="G201" s="500"/>
      <c r="H201" s="500"/>
      <c r="I201" s="500"/>
      <c r="J201" s="252"/>
      <c r="K201" s="253">
        <f>SUM(K189+K191+K193+K195+K197+K199)</f>
        <v>0</v>
      </c>
      <c r="L201" s="73"/>
    </row>
    <row r="202" spans="1:12" ht="3" customHeight="1">
      <c r="A202" s="446"/>
      <c r="B202" s="443"/>
      <c r="C202" s="443"/>
      <c r="D202" s="443"/>
      <c r="E202" s="443"/>
      <c r="F202" s="443"/>
      <c r="G202" s="443"/>
      <c r="H202" s="443"/>
      <c r="I202" s="443"/>
      <c r="J202" s="443"/>
      <c r="K202" s="447"/>
      <c r="L202" s="73"/>
    </row>
    <row r="203" spans="1:12" ht="25.5" customHeight="1">
      <c r="A203" s="448" t="s">
        <v>219</v>
      </c>
      <c r="B203" s="449"/>
      <c r="C203" s="449"/>
      <c r="D203" s="449"/>
      <c r="E203" s="449"/>
      <c r="F203" s="449"/>
      <c r="G203" s="449"/>
      <c r="H203" s="449"/>
      <c r="I203" s="449"/>
      <c r="J203" s="449"/>
      <c r="K203" s="450"/>
      <c r="L203" s="73"/>
    </row>
    <row r="204" spans="1:12" ht="3" customHeight="1">
      <c r="A204" s="483"/>
      <c r="B204" s="484"/>
      <c r="C204" s="484"/>
      <c r="D204" s="484"/>
      <c r="E204" s="484"/>
      <c r="F204" s="484"/>
      <c r="G204" s="484"/>
      <c r="H204" s="484"/>
      <c r="I204" s="484"/>
      <c r="J204" s="484"/>
      <c r="K204" s="485"/>
      <c r="L204" s="73"/>
    </row>
    <row r="205" spans="1:12" ht="30" customHeight="1">
      <c r="A205" s="142" t="s">
        <v>220</v>
      </c>
      <c r="B205" s="47"/>
      <c r="C205" s="225" t="s">
        <v>221</v>
      </c>
      <c r="D205" s="38"/>
      <c r="E205" s="39" t="s">
        <v>222</v>
      </c>
      <c r="F205" s="47"/>
      <c r="G205" s="226">
        <f>VLOOKUP(E205,L726:M727,2,0)</f>
        <v>657415</v>
      </c>
      <c r="H205" s="38"/>
      <c r="I205" s="254"/>
      <c r="J205" s="219"/>
      <c r="K205" s="255"/>
      <c r="L205" s="73"/>
    </row>
    <row r="206" spans="1:12" ht="3" customHeight="1">
      <c r="A206" s="446"/>
      <c r="B206" s="443"/>
      <c r="C206" s="443"/>
      <c r="D206" s="443"/>
      <c r="E206" s="443"/>
      <c r="F206" s="443"/>
      <c r="G206" s="443"/>
      <c r="H206" s="443"/>
      <c r="I206" s="443"/>
      <c r="J206" s="443"/>
      <c r="K206" s="447"/>
      <c r="L206" s="73"/>
    </row>
    <row r="207" spans="1:12" ht="30" customHeight="1">
      <c r="A207" s="227" t="s">
        <v>223</v>
      </c>
      <c r="B207" s="50"/>
      <c r="C207" s="145" t="s">
        <v>224</v>
      </c>
      <c r="E207" s="170"/>
      <c r="F207" s="50"/>
      <c r="G207" s="228">
        <f>K183</f>
        <v>767000</v>
      </c>
      <c r="I207" s="256"/>
      <c r="J207" s="232"/>
      <c r="K207" s="257"/>
      <c r="L207" s="73"/>
    </row>
    <row r="208" spans="1:12" ht="3" customHeight="1">
      <c r="A208" s="446"/>
      <c r="B208" s="443"/>
      <c r="C208" s="443"/>
      <c r="D208" s="443"/>
      <c r="E208" s="443"/>
      <c r="F208" s="443"/>
      <c r="G208" s="443"/>
      <c r="H208" s="443"/>
      <c r="I208" s="443"/>
      <c r="J208" s="443"/>
      <c r="K208" s="447"/>
      <c r="L208" s="73"/>
    </row>
    <row r="209" spans="1:12" ht="20.100000000000001" customHeight="1">
      <c r="A209" s="229" t="s">
        <v>225</v>
      </c>
      <c r="B209" s="50"/>
      <c r="C209" s="91" t="s">
        <v>226</v>
      </c>
      <c r="E209" s="230"/>
      <c r="F209" s="50"/>
      <c r="G209" s="231">
        <v>0</v>
      </c>
      <c r="I209" s="258"/>
      <c r="J209" s="259"/>
      <c r="K209" s="260"/>
      <c r="L209" s="73"/>
    </row>
    <row r="210" spans="1:12" ht="3" customHeight="1">
      <c r="A210" s="446"/>
      <c r="B210" s="443"/>
      <c r="C210" s="443"/>
      <c r="D210" s="443"/>
      <c r="E210" s="443"/>
      <c r="F210" s="443"/>
      <c r="G210" s="443"/>
      <c r="H210" s="443"/>
      <c r="I210" s="443"/>
      <c r="J210" s="443"/>
      <c r="K210" s="447"/>
      <c r="L210" s="73"/>
    </row>
    <row r="211" spans="1:12" ht="30" customHeight="1">
      <c r="A211" s="494" t="s">
        <v>592</v>
      </c>
      <c r="B211" s="495"/>
      <c r="C211" s="495"/>
      <c r="D211" s="495"/>
      <c r="E211" s="495"/>
      <c r="F211" s="232"/>
      <c r="G211" s="228">
        <f>SUM(G209+G207+G205)</f>
        <v>1424415</v>
      </c>
      <c r="I211" s="256" t="s">
        <v>227</v>
      </c>
      <c r="J211" s="232"/>
      <c r="K211" s="261">
        <f>+G211*0.8</f>
        <v>1139532</v>
      </c>
      <c r="L211" s="73"/>
    </row>
    <row r="212" spans="1:12" ht="3" customHeight="1">
      <c r="A212" s="446"/>
      <c r="B212" s="443"/>
      <c r="C212" s="443"/>
      <c r="D212" s="443"/>
      <c r="E212" s="443"/>
      <c r="F212" s="443"/>
      <c r="G212" s="443"/>
      <c r="H212" s="443"/>
      <c r="I212" s="443"/>
      <c r="J212" s="443"/>
      <c r="K212" s="447"/>
      <c r="L212" s="73"/>
    </row>
    <row r="213" spans="1:12" ht="24.75" customHeight="1">
      <c r="A213" s="496" t="s">
        <v>590</v>
      </c>
      <c r="B213" s="497"/>
      <c r="C213" s="498"/>
      <c r="D213" s="50"/>
      <c r="E213" s="490" t="s">
        <v>642</v>
      </c>
      <c r="F213" s="491"/>
      <c r="G213" s="491"/>
      <c r="H213" s="491"/>
      <c r="I213" s="491"/>
      <c r="J213" s="491"/>
      <c r="K213" s="492"/>
      <c r="L213" s="73"/>
    </row>
    <row r="214" spans="1:12" ht="2.1" customHeight="1">
      <c r="A214" s="446"/>
      <c r="B214" s="443"/>
      <c r="C214" s="443"/>
      <c r="D214" s="443"/>
      <c r="E214" s="443"/>
      <c r="F214" s="443"/>
      <c r="G214" s="443"/>
      <c r="H214" s="443"/>
      <c r="I214" s="443"/>
      <c r="J214" s="443"/>
      <c r="K214" s="447"/>
      <c r="L214" s="73"/>
    </row>
    <row r="215" spans="1:12" ht="22.5" customHeight="1">
      <c r="A215" s="487" t="s">
        <v>228</v>
      </c>
      <c r="B215" s="488"/>
      <c r="C215" s="489"/>
      <c r="D215" s="51"/>
      <c r="E215" s="490" t="s">
        <v>643</v>
      </c>
      <c r="F215" s="491"/>
      <c r="G215" s="491"/>
      <c r="H215" s="491"/>
      <c r="I215" s="491"/>
      <c r="J215" s="491"/>
      <c r="K215" s="492"/>
      <c r="L215" s="73"/>
    </row>
    <row r="216" spans="1:12" ht="3" customHeight="1">
      <c r="A216" s="446"/>
      <c r="B216" s="443"/>
      <c r="C216" s="443"/>
      <c r="D216" s="443"/>
      <c r="E216" s="443"/>
      <c r="F216" s="443"/>
      <c r="G216" s="443"/>
      <c r="H216" s="443"/>
      <c r="I216" s="443"/>
      <c r="J216" s="443"/>
      <c r="K216" s="447"/>
      <c r="L216" s="73"/>
    </row>
    <row r="217" spans="1:12" ht="24" customHeight="1">
      <c r="A217" s="448" t="s">
        <v>229</v>
      </c>
      <c r="B217" s="449"/>
      <c r="C217" s="449"/>
      <c r="D217" s="449"/>
      <c r="E217" s="449"/>
      <c r="F217" s="449"/>
      <c r="G217" s="449"/>
      <c r="H217" s="449"/>
      <c r="I217" s="449"/>
      <c r="J217" s="449"/>
      <c r="K217" s="450"/>
      <c r="L217" s="73"/>
    </row>
    <row r="218" spans="1:12" ht="3" customHeight="1">
      <c r="A218" s="483"/>
      <c r="B218" s="484"/>
      <c r="C218" s="484"/>
      <c r="D218" s="484"/>
      <c r="E218" s="484"/>
      <c r="F218" s="484"/>
      <c r="G218" s="484"/>
      <c r="H218" s="484"/>
      <c r="I218" s="484"/>
      <c r="J218" s="484"/>
      <c r="K218" s="485"/>
      <c r="L218" s="73"/>
    </row>
    <row r="219" spans="1:12" ht="60">
      <c r="A219" s="233" t="s">
        <v>230</v>
      </c>
      <c r="B219" s="191"/>
      <c r="C219" s="234" t="s">
        <v>14</v>
      </c>
      <c r="D219" s="191"/>
      <c r="E219" s="235" t="s">
        <v>231</v>
      </c>
      <c r="F219" s="191"/>
      <c r="G219" s="236">
        <v>0</v>
      </c>
      <c r="H219" s="191"/>
      <c r="I219" s="192" t="s">
        <v>232</v>
      </c>
      <c r="J219" s="262"/>
      <c r="K219" s="263" t="s">
        <v>14</v>
      </c>
      <c r="L219" s="73"/>
    </row>
    <row r="220" spans="1:12" ht="3" customHeight="1">
      <c r="A220" s="446"/>
      <c r="B220" s="443"/>
      <c r="C220" s="443"/>
      <c r="D220" s="443"/>
      <c r="E220" s="443"/>
      <c r="F220" s="443"/>
      <c r="G220" s="443"/>
      <c r="H220" s="443"/>
      <c r="I220" s="443"/>
      <c r="J220" s="443"/>
      <c r="K220" s="447"/>
      <c r="L220" s="73"/>
    </row>
    <row r="221" spans="1:12" ht="23.25" customHeight="1">
      <c r="A221" s="453" t="s">
        <v>233</v>
      </c>
      <c r="B221" s="460"/>
      <c r="C221" s="460"/>
      <c r="D221" s="460"/>
      <c r="E221" s="460"/>
      <c r="F221" s="460"/>
      <c r="G221" s="460"/>
      <c r="H221" s="460"/>
      <c r="I221" s="460"/>
      <c r="J221" s="460"/>
      <c r="K221" s="461"/>
      <c r="L221" s="73"/>
    </row>
    <row r="222" spans="1:12" ht="3" customHeight="1">
      <c r="A222" s="483"/>
      <c r="B222" s="484"/>
      <c r="C222" s="484"/>
      <c r="D222" s="484"/>
      <c r="E222" s="484"/>
      <c r="F222" s="484"/>
      <c r="G222" s="484"/>
      <c r="H222" s="484"/>
      <c r="I222" s="484"/>
      <c r="J222" s="484"/>
      <c r="K222" s="485"/>
      <c r="L222" s="73"/>
    </row>
    <row r="223" spans="1:12" s="5" customFormat="1" ht="30" customHeight="1">
      <c r="A223" s="45"/>
      <c r="B223" s="47"/>
      <c r="C223" s="68" t="s">
        <v>234</v>
      </c>
      <c r="D223" s="47"/>
      <c r="E223" s="46" t="s">
        <v>235</v>
      </c>
      <c r="F223" s="98"/>
      <c r="G223" s="68" t="s">
        <v>236</v>
      </c>
      <c r="H223" s="219"/>
      <c r="I223" s="473" t="s">
        <v>237</v>
      </c>
      <c r="J223" s="473"/>
      <c r="K223" s="493"/>
      <c r="L223" s="73"/>
    </row>
    <row r="224" spans="1:12" ht="3" customHeight="1">
      <c r="A224" s="446"/>
      <c r="B224" s="443"/>
      <c r="C224" s="443"/>
      <c r="D224" s="443"/>
      <c r="E224" s="443"/>
      <c r="F224" s="443"/>
      <c r="G224" s="443"/>
      <c r="H224" s="443"/>
      <c r="I224" s="443"/>
      <c r="J224" s="443"/>
      <c r="K224" s="447"/>
      <c r="L224" s="73"/>
    </row>
    <row r="225" spans="1:12" ht="17.25" customHeight="1">
      <c r="A225" s="200" t="s">
        <v>238</v>
      </c>
      <c r="B225" s="50"/>
      <c r="C225" s="237" t="s">
        <v>239</v>
      </c>
      <c r="D225" s="29"/>
      <c r="E225" s="33"/>
      <c r="F225" s="54"/>
      <c r="G225" s="105"/>
      <c r="H225" s="144"/>
      <c r="I225" s="416" t="s">
        <v>637</v>
      </c>
      <c r="J225" s="417"/>
      <c r="K225" s="418"/>
      <c r="L225" s="73"/>
    </row>
    <row r="226" spans="1:12" ht="3" customHeight="1">
      <c r="A226" s="446"/>
      <c r="B226" s="443"/>
      <c r="C226" s="443"/>
      <c r="D226" s="443"/>
      <c r="E226" s="443"/>
      <c r="F226" s="443"/>
      <c r="G226" s="443"/>
      <c r="H226" s="144"/>
      <c r="I226" s="419"/>
      <c r="J226" s="420"/>
      <c r="K226" s="421"/>
      <c r="L226" s="73"/>
    </row>
    <row r="227" spans="1:12" ht="29.25" customHeight="1">
      <c r="A227" s="48" t="s">
        <v>240</v>
      </c>
      <c r="B227" s="50"/>
      <c r="C227" s="49" t="s">
        <v>241</v>
      </c>
      <c r="D227" s="29"/>
      <c r="E227" s="33"/>
      <c r="F227" s="54"/>
      <c r="G227" s="16">
        <v>1</v>
      </c>
      <c r="H227" s="144"/>
      <c r="I227" s="419"/>
      <c r="J227" s="420"/>
      <c r="K227" s="421"/>
      <c r="L227" s="73"/>
    </row>
    <row r="228" spans="1:12" ht="3" customHeight="1">
      <c r="A228" s="446"/>
      <c r="B228" s="443"/>
      <c r="C228" s="443"/>
      <c r="D228" s="443"/>
      <c r="E228" s="443"/>
      <c r="F228" s="443"/>
      <c r="G228" s="443"/>
      <c r="H228" s="144"/>
      <c r="I228" s="419"/>
      <c r="J228" s="420"/>
      <c r="K228" s="421"/>
      <c r="L228" s="73"/>
    </row>
    <row r="229" spans="1:12" ht="16.5" customHeight="1">
      <c r="A229" s="200" t="s">
        <v>242</v>
      </c>
      <c r="B229" s="50"/>
      <c r="C229" s="237" t="s">
        <v>243</v>
      </c>
      <c r="D229" s="29"/>
      <c r="E229" s="33"/>
      <c r="F229" s="54"/>
      <c r="G229" s="105"/>
      <c r="H229" s="144"/>
      <c r="I229" s="419"/>
      <c r="J229" s="420"/>
      <c r="K229" s="421"/>
      <c r="L229" s="73"/>
    </row>
    <row r="230" spans="1:12" ht="3" customHeight="1">
      <c r="A230" s="446"/>
      <c r="B230" s="443"/>
      <c r="C230" s="443"/>
      <c r="D230" s="443"/>
      <c r="E230" s="443"/>
      <c r="F230" s="443"/>
      <c r="G230" s="443"/>
      <c r="H230" s="144"/>
      <c r="I230" s="419"/>
      <c r="J230" s="420"/>
      <c r="K230" s="421"/>
      <c r="L230" s="73"/>
    </row>
    <row r="231" spans="1:12" ht="19.5" customHeight="1">
      <c r="A231" s="48" t="s">
        <v>244</v>
      </c>
      <c r="B231" s="50"/>
      <c r="C231" s="230" t="s">
        <v>245</v>
      </c>
      <c r="D231" s="29"/>
      <c r="E231" s="33"/>
      <c r="F231" s="54"/>
      <c r="G231" s="105">
        <v>0</v>
      </c>
      <c r="H231" s="144"/>
      <c r="I231" s="419"/>
      <c r="J231" s="420"/>
      <c r="K231" s="421"/>
      <c r="L231" s="73"/>
    </row>
    <row r="232" spans="1:12" ht="3" customHeight="1">
      <c r="A232" s="446"/>
      <c r="B232" s="443"/>
      <c r="C232" s="443"/>
      <c r="D232" s="443"/>
      <c r="E232" s="443"/>
      <c r="F232" s="443"/>
      <c r="G232" s="443"/>
      <c r="H232" s="144"/>
      <c r="I232" s="419"/>
      <c r="J232" s="420"/>
      <c r="K232" s="421"/>
      <c r="L232" s="73"/>
    </row>
    <row r="233" spans="1:12" ht="15" customHeight="1">
      <c r="A233" s="238" t="s">
        <v>246</v>
      </c>
      <c r="B233" s="51"/>
      <c r="C233" s="224" t="s">
        <v>247</v>
      </c>
      <c r="D233" s="36"/>
      <c r="E233" s="108">
        <f>SUM(E225:E231)</f>
        <v>0</v>
      </c>
      <c r="F233" s="51"/>
      <c r="G233" s="224">
        <v>1</v>
      </c>
      <c r="H233" s="166"/>
      <c r="I233" s="422"/>
      <c r="J233" s="423"/>
      <c r="K233" s="424"/>
      <c r="L233" s="73"/>
    </row>
    <row r="234" spans="1:12" ht="3" customHeight="1">
      <c r="A234" s="481"/>
      <c r="B234" s="444"/>
      <c r="C234" s="444"/>
      <c r="D234" s="444"/>
      <c r="E234" s="444"/>
      <c r="F234" s="444"/>
      <c r="G234" s="444"/>
      <c r="H234" s="444"/>
      <c r="I234" s="444"/>
      <c r="J234" s="444"/>
      <c r="K234" s="482"/>
      <c r="L234" s="73"/>
    </row>
    <row r="235" spans="1:12" ht="29.25" customHeight="1">
      <c r="A235" s="453" t="s">
        <v>248</v>
      </c>
      <c r="B235" s="460"/>
      <c r="C235" s="460"/>
      <c r="D235" s="460"/>
      <c r="E235" s="460"/>
      <c r="F235" s="460"/>
      <c r="G235" s="460"/>
      <c r="H235" s="460"/>
      <c r="I235" s="460"/>
      <c r="J235" s="460"/>
      <c r="K235" s="461"/>
      <c r="L235" s="73"/>
    </row>
    <row r="236" spans="1:12" ht="3" customHeight="1">
      <c r="A236" s="483"/>
      <c r="B236" s="484"/>
      <c r="C236" s="484"/>
      <c r="D236" s="484"/>
      <c r="E236" s="484"/>
      <c r="F236" s="484"/>
      <c r="G236" s="484"/>
      <c r="H236" s="484"/>
      <c r="I236" s="484"/>
      <c r="J236" s="484"/>
      <c r="K236" s="485"/>
      <c r="L236" s="73"/>
    </row>
    <row r="237" spans="1:12" ht="23.25" customHeight="1">
      <c r="A237" s="239"/>
      <c r="B237" s="240"/>
      <c r="C237" s="486" t="s">
        <v>249</v>
      </c>
      <c r="D237" s="486"/>
      <c r="E237" s="486"/>
      <c r="F237" s="38"/>
      <c r="G237" s="241"/>
      <c r="H237" s="47"/>
      <c r="I237" s="46"/>
      <c r="J237" s="47"/>
      <c r="K237" s="99"/>
      <c r="L237" s="73"/>
    </row>
    <row r="238" spans="1:12" ht="3" customHeight="1">
      <c r="A238" s="446"/>
      <c r="B238" s="443"/>
      <c r="C238" s="443"/>
      <c r="D238" s="443"/>
      <c r="E238" s="443"/>
      <c r="F238" s="443"/>
      <c r="G238" s="443"/>
      <c r="H238" s="443"/>
      <c r="I238" s="443"/>
      <c r="J238" s="443"/>
      <c r="K238" s="447"/>
      <c r="L238" s="73"/>
    </row>
    <row r="239" spans="1:12" ht="39.75" customHeight="1">
      <c r="A239" s="242" t="s">
        <v>250</v>
      </c>
      <c r="B239" s="50"/>
      <c r="C239" s="243" t="s">
        <v>251</v>
      </c>
      <c r="E239" s="244" t="s">
        <v>252</v>
      </c>
      <c r="G239" s="243" t="s">
        <v>253</v>
      </c>
      <c r="H239" s="50"/>
      <c r="I239" s="244" t="s">
        <v>254</v>
      </c>
      <c r="J239" s="29"/>
      <c r="K239" s="265" t="s">
        <v>255</v>
      </c>
      <c r="L239" s="73"/>
    </row>
    <row r="240" spans="1:12" ht="3" customHeight="1">
      <c r="A240" s="446"/>
      <c r="B240" s="443"/>
      <c r="C240" s="443"/>
      <c r="D240" s="443"/>
      <c r="E240" s="443"/>
      <c r="F240" s="443"/>
      <c r="G240" s="443"/>
      <c r="H240" s="443"/>
      <c r="I240" s="443"/>
      <c r="J240" s="443"/>
      <c r="K240" s="447"/>
      <c r="L240" s="73"/>
    </row>
    <row r="241" spans="1:12" ht="15" customHeight="1">
      <c r="A241" s="229">
        <v>1</v>
      </c>
      <c r="B241" s="50"/>
      <c r="C241" s="49" t="s">
        <v>256</v>
      </c>
      <c r="E241" s="245">
        <v>0.2</v>
      </c>
      <c r="G241" s="105" t="s">
        <v>257</v>
      </c>
      <c r="H241" s="246"/>
      <c r="I241" s="266">
        <v>0.2</v>
      </c>
      <c r="K241" s="267"/>
      <c r="L241" s="73"/>
    </row>
    <row r="242" spans="1:12" ht="3" customHeight="1">
      <c r="A242" s="247"/>
      <c r="B242" s="50"/>
      <c r="C242" s="17"/>
      <c r="E242" s="248"/>
      <c r="G242" s="248"/>
      <c r="H242" s="246"/>
      <c r="I242" s="246"/>
      <c r="K242" s="264"/>
      <c r="L242" s="73"/>
    </row>
    <row r="243" spans="1:12" ht="19.5" customHeight="1">
      <c r="A243" s="227">
        <v>2</v>
      </c>
      <c r="B243" s="50"/>
      <c r="C243" s="249" t="s">
        <v>258</v>
      </c>
      <c r="E243" s="250">
        <v>0.4</v>
      </c>
      <c r="G243" s="105" t="s">
        <v>257</v>
      </c>
      <c r="H243" s="246"/>
      <c r="I243" s="250">
        <v>0.4</v>
      </c>
      <c r="K243" s="445" t="s">
        <v>259</v>
      </c>
      <c r="L243" s="73"/>
    </row>
    <row r="244" spans="1:12" ht="3" customHeight="1">
      <c r="A244" s="247"/>
      <c r="B244" s="50"/>
      <c r="C244" s="17"/>
      <c r="E244" s="248"/>
      <c r="G244" s="248"/>
      <c r="H244" s="246"/>
      <c r="I244" s="246"/>
      <c r="K244" s="445"/>
      <c r="L244" s="73"/>
    </row>
    <row r="245" spans="1:12" ht="23.25" customHeight="1">
      <c r="A245" s="229">
        <v>3</v>
      </c>
      <c r="B245" s="50"/>
      <c r="C245" s="49" t="s">
        <v>260</v>
      </c>
      <c r="E245" s="245">
        <v>0.1</v>
      </c>
      <c r="G245" s="105" t="s">
        <v>257</v>
      </c>
      <c r="H245" s="246"/>
      <c r="I245" s="245">
        <v>0.1</v>
      </c>
      <c r="K245" s="445"/>
      <c r="L245" s="73"/>
    </row>
    <row r="246" spans="1:12" ht="3" customHeight="1">
      <c r="A246" s="247"/>
      <c r="B246" s="50"/>
      <c r="C246" s="17"/>
      <c r="E246" s="248"/>
      <c r="G246" s="248"/>
      <c r="H246" s="246"/>
      <c r="I246" s="246"/>
      <c r="K246" s="268"/>
      <c r="L246" s="73"/>
    </row>
    <row r="247" spans="1:12" ht="15" customHeight="1">
      <c r="A247" s="227">
        <v>4</v>
      </c>
      <c r="B247" s="50"/>
      <c r="C247" s="249" t="s">
        <v>261</v>
      </c>
      <c r="E247" s="250">
        <v>0.05</v>
      </c>
      <c r="G247" s="105" t="s">
        <v>257</v>
      </c>
      <c r="H247" s="246"/>
      <c r="I247" s="250"/>
      <c r="K247" s="269"/>
      <c r="L247" s="73"/>
    </row>
    <row r="248" spans="1:12" ht="3" customHeight="1">
      <c r="A248" s="247"/>
      <c r="B248" s="50"/>
      <c r="C248" s="17"/>
      <c r="E248" s="248"/>
      <c r="G248" s="248"/>
      <c r="H248" s="246"/>
      <c r="I248" s="246"/>
      <c r="K248" s="270"/>
      <c r="L248" s="73"/>
    </row>
    <row r="249" spans="1:12" ht="20.25" customHeight="1">
      <c r="A249" s="229">
        <v>5</v>
      </c>
      <c r="B249" s="50"/>
      <c r="C249" s="49" t="s">
        <v>262</v>
      </c>
      <c r="E249" s="245">
        <v>0.05</v>
      </c>
      <c r="G249" s="105" t="s">
        <v>257</v>
      </c>
      <c r="H249" s="246"/>
      <c r="I249" s="245"/>
      <c r="K249" s="270"/>
      <c r="L249" s="73"/>
    </row>
    <row r="250" spans="1:12" ht="3" customHeight="1">
      <c r="A250" s="247"/>
      <c r="B250" s="50"/>
      <c r="C250" s="17"/>
      <c r="E250" s="248"/>
      <c r="G250" s="248"/>
      <c r="H250" s="246"/>
      <c r="I250" s="246"/>
      <c r="K250" s="270"/>
      <c r="L250" s="73"/>
    </row>
    <row r="251" spans="1:12" ht="31.5" customHeight="1">
      <c r="A251" s="227">
        <v>6</v>
      </c>
      <c r="B251" s="50"/>
      <c r="C251" s="249" t="s">
        <v>263</v>
      </c>
      <c r="E251" s="250">
        <v>0.05</v>
      </c>
      <c r="G251" s="33" t="s">
        <v>257</v>
      </c>
      <c r="H251" s="246"/>
      <c r="I251" s="250"/>
      <c r="K251" s="270" t="s">
        <v>638</v>
      </c>
      <c r="L251" s="73"/>
    </row>
    <row r="252" spans="1:12" ht="3" customHeight="1">
      <c r="A252" s="247"/>
      <c r="B252" s="50"/>
      <c r="C252" s="17"/>
      <c r="E252" s="248"/>
      <c r="G252" s="251"/>
      <c r="H252" s="246"/>
      <c r="I252" s="246"/>
      <c r="K252" s="270"/>
      <c r="L252" s="73"/>
    </row>
    <row r="253" spans="1:12" ht="29.25" customHeight="1">
      <c r="A253" s="229">
        <v>7</v>
      </c>
      <c r="B253" s="50"/>
      <c r="C253" s="49" t="s">
        <v>264</v>
      </c>
      <c r="E253" s="245">
        <v>0.05</v>
      </c>
      <c r="G253" s="33" t="s">
        <v>257</v>
      </c>
      <c r="H253" s="246"/>
      <c r="I253" s="245"/>
      <c r="K253" s="270"/>
      <c r="L253" s="73"/>
    </row>
    <row r="254" spans="1:12" ht="3" customHeight="1">
      <c r="A254" s="247"/>
      <c r="B254" s="50"/>
      <c r="C254" s="17"/>
      <c r="E254" s="248"/>
      <c r="G254" s="251"/>
      <c r="H254" s="246"/>
      <c r="I254" s="246"/>
      <c r="K254" s="270"/>
      <c r="L254" s="73"/>
    </row>
    <row r="255" spans="1:12" ht="30" customHeight="1">
      <c r="A255" s="227">
        <v>8</v>
      </c>
      <c r="B255" s="50"/>
      <c r="C255" s="249" t="s">
        <v>265</v>
      </c>
      <c r="E255" s="250">
        <v>0.05</v>
      </c>
      <c r="G255" s="33" t="s">
        <v>257</v>
      </c>
      <c r="H255" s="246"/>
      <c r="I255" s="250"/>
      <c r="K255" s="270"/>
      <c r="L255" s="73"/>
    </row>
    <row r="256" spans="1:12" ht="3" customHeight="1">
      <c r="A256" s="247"/>
      <c r="B256" s="50"/>
      <c r="C256" s="17"/>
      <c r="E256" s="248"/>
      <c r="G256" s="251"/>
      <c r="H256" s="246"/>
      <c r="I256" s="246"/>
      <c r="K256" s="270"/>
      <c r="L256" s="73"/>
    </row>
    <row r="257" spans="1:12" ht="30.75" customHeight="1">
      <c r="A257" s="229">
        <v>9</v>
      </c>
      <c r="B257" s="50"/>
      <c r="C257" s="49" t="s">
        <v>266</v>
      </c>
      <c r="E257" s="245">
        <v>0.05</v>
      </c>
      <c r="G257" s="33" t="s">
        <v>257</v>
      </c>
      <c r="H257" s="246"/>
      <c r="I257" s="245"/>
      <c r="K257" s="281" t="s">
        <v>267</v>
      </c>
      <c r="L257" s="73"/>
    </row>
    <row r="258" spans="1:12" ht="3" customHeight="1">
      <c r="A258" s="16"/>
      <c r="B258" s="50"/>
      <c r="C258" s="50"/>
      <c r="D258" s="50"/>
      <c r="E258" s="271"/>
      <c r="G258" s="248"/>
      <c r="H258" s="246"/>
      <c r="I258" s="246"/>
      <c r="K258" s="270"/>
      <c r="L258" s="73"/>
    </row>
    <row r="259" spans="1:12" ht="21.75" customHeight="1">
      <c r="A259" s="478" t="s">
        <v>268</v>
      </c>
      <c r="B259" s="479"/>
      <c r="C259" s="479"/>
      <c r="D259" s="41"/>
      <c r="E259" s="272">
        <v>1</v>
      </c>
      <c r="F259" s="41"/>
      <c r="G259" s="272"/>
      <c r="H259" s="273"/>
      <c r="I259" s="282">
        <v>0.7</v>
      </c>
      <c r="J259" s="283"/>
      <c r="K259" s="282">
        <v>0.7</v>
      </c>
      <c r="L259" s="73"/>
    </row>
    <row r="260" spans="1:12" ht="3" customHeight="1">
      <c r="A260" s="446"/>
      <c r="B260" s="443"/>
      <c r="C260" s="443"/>
      <c r="D260" s="443"/>
      <c r="E260" s="443"/>
      <c r="F260" s="443"/>
      <c r="G260" s="443"/>
      <c r="H260" s="443"/>
      <c r="I260" s="443"/>
      <c r="J260" s="443"/>
      <c r="K260" s="447"/>
      <c r="L260" s="73"/>
    </row>
    <row r="261" spans="1:12" ht="22.5" customHeight="1">
      <c r="A261" s="453" t="s">
        <v>269</v>
      </c>
      <c r="B261" s="460"/>
      <c r="C261" s="460"/>
      <c r="D261" s="460"/>
      <c r="E261" s="460"/>
      <c r="F261" s="460"/>
      <c r="G261" s="460"/>
      <c r="H261" s="460"/>
      <c r="I261" s="460"/>
      <c r="J261" s="460"/>
      <c r="K261" s="461"/>
      <c r="L261" s="73"/>
    </row>
    <row r="262" spans="1:12" ht="3" customHeight="1">
      <c r="A262" s="446"/>
      <c r="B262" s="443"/>
      <c r="C262" s="443"/>
      <c r="D262" s="443"/>
      <c r="E262" s="443"/>
      <c r="F262" s="443"/>
      <c r="G262" s="443"/>
      <c r="H262" s="443"/>
      <c r="I262" s="443"/>
      <c r="J262" s="443"/>
      <c r="K262" s="447"/>
      <c r="L262" s="73"/>
    </row>
    <row r="263" spans="1:12" ht="37.5" customHeight="1">
      <c r="A263" s="480" t="s">
        <v>270</v>
      </c>
      <c r="B263" s="441"/>
      <c r="C263" s="441"/>
      <c r="D263" s="47"/>
      <c r="E263" s="46" t="s">
        <v>271</v>
      </c>
      <c r="F263" s="38"/>
      <c r="G263" s="46" t="s">
        <v>272</v>
      </c>
      <c r="H263" s="47"/>
      <c r="I263" s="46" t="s">
        <v>273</v>
      </c>
      <c r="J263" s="47"/>
      <c r="K263" s="99" t="s">
        <v>274</v>
      </c>
      <c r="L263" s="73"/>
    </row>
    <row r="264" spans="1:12" ht="3" customHeight="1">
      <c r="A264" s="446"/>
      <c r="B264" s="443"/>
      <c r="C264" s="443"/>
      <c r="D264" s="443"/>
      <c r="E264" s="443"/>
      <c r="F264" s="443"/>
      <c r="G264" s="443"/>
      <c r="H264" s="443"/>
      <c r="I264" s="443"/>
      <c r="J264" s="443"/>
      <c r="K264" s="447"/>
      <c r="L264" s="73"/>
    </row>
    <row r="265" spans="1:12" ht="83.1" customHeight="1">
      <c r="A265" s="476" t="s">
        <v>275</v>
      </c>
      <c r="B265" s="477"/>
      <c r="C265" s="477"/>
      <c r="D265" s="92"/>
      <c r="E265" s="274"/>
      <c r="F265" s="54"/>
      <c r="G265" s="33"/>
      <c r="H265" s="54"/>
      <c r="I265" s="33"/>
      <c r="J265" s="54"/>
      <c r="K265" s="284"/>
      <c r="L265" s="73"/>
    </row>
    <row r="266" spans="1:12" ht="3" customHeight="1">
      <c r="A266" s="446"/>
      <c r="B266" s="443"/>
      <c r="C266" s="443"/>
      <c r="D266" s="443"/>
      <c r="E266" s="443"/>
      <c r="F266" s="443"/>
      <c r="G266" s="443"/>
      <c r="H266" s="443"/>
      <c r="I266" s="443"/>
      <c r="J266" s="443"/>
      <c r="K266" s="447"/>
      <c r="L266" s="73"/>
    </row>
    <row r="267" spans="1:12" ht="106.5" customHeight="1">
      <c r="A267" s="474" t="s">
        <v>276</v>
      </c>
      <c r="B267" s="475"/>
      <c r="C267" s="475"/>
      <c r="D267" s="92"/>
      <c r="E267" s="274"/>
      <c r="F267" s="54"/>
      <c r="G267" s="33"/>
      <c r="H267" s="54"/>
      <c r="I267" s="33"/>
      <c r="J267" s="54"/>
      <c r="K267" s="100"/>
      <c r="L267" s="73"/>
    </row>
    <row r="268" spans="1:12" ht="3" customHeight="1">
      <c r="A268" s="446"/>
      <c r="B268" s="443"/>
      <c r="C268" s="443"/>
      <c r="D268" s="443"/>
      <c r="E268" s="443"/>
      <c r="F268" s="443"/>
      <c r="G268" s="443"/>
      <c r="H268" s="443"/>
      <c r="I268" s="443"/>
      <c r="J268" s="443"/>
      <c r="K268" s="447"/>
      <c r="L268" s="73"/>
    </row>
    <row r="269" spans="1:12" ht="88.5" customHeight="1">
      <c r="A269" s="470" t="s">
        <v>278</v>
      </c>
      <c r="B269" s="471"/>
      <c r="C269" s="471"/>
      <c r="D269" s="92"/>
      <c r="E269" s="274"/>
      <c r="F269" s="54"/>
      <c r="G269" s="33"/>
      <c r="H269" s="54"/>
      <c r="I269" s="33"/>
      <c r="J269" s="54"/>
      <c r="K269" s="100"/>
      <c r="L269" s="73"/>
    </row>
    <row r="270" spans="1:12" ht="3" customHeight="1">
      <c r="A270" s="446"/>
      <c r="B270" s="443"/>
      <c r="C270" s="443"/>
      <c r="D270" s="443"/>
      <c r="E270" s="443"/>
      <c r="F270" s="443"/>
      <c r="G270" s="443"/>
      <c r="H270" s="443"/>
      <c r="I270" s="443"/>
      <c r="J270" s="443"/>
      <c r="K270" s="447"/>
      <c r="L270" s="73"/>
    </row>
    <row r="271" spans="1:12" ht="30" customHeight="1">
      <c r="A271" s="425" t="s">
        <v>279</v>
      </c>
      <c r="B271" s="426"/>
      <c r="C271" s="426"/>
      <c r="D271" s="92"/>
      <c r="E271" s="274"/>
      <c r="F271" s="54"/>
      <c r="G271" s="33"/>
      <c r="H271" s="54"/>
      <c r="I271" s="33"/>
      <c r="J271" s="54"/>
      <c r="K271" s="100"/>
      <c r="L271" s="73"/>
    </row>
    <row r="272" spans="1:12" ht="3" customHeight="1">
      <c r="A272" s="446"/>
      <c r="B272" s="443"/>
      <c r="C272" s="443"/>
      <c r="D272" s="443"/>
      <c r="E272" s="443"/>
      <c r="F272" s="443"/>
      <c r="G272" s="443"/>
      <c r="H272" s="443"/>
      <c r="I272" s="443"/>
      <c r="J272" s="443"/>
      <c r="K272" s="447"/>
      <c r="L272" s="73"/>
    </row>
    <row r="273" spans="1:12" ht="30" customHeight="1">
      <c r="A273" s="470" t="s">
        <v>280</v>
      </c>
      <c r="B273" s="471"/>
      <c r="C273" s="471"/>
      <c r="D273" s="92"/>
      <c r="E273" s="274"/>
      <c r="F273" s="54"/>
      <c r="G273" s="33"/>
      <c r="H273" s="54"/>
      <c r="I273" s="33"/>
      <c r="J273" s="54"/>
      <c r="K273" s="100"/>
      <c r="L273" s="73"/>
    </row>
    <row r="274" spans="1:12" ht="3" customHeight="1">
      <c r="A274" s="446"/>
      <c r="B274" s="443"/>
      <c r="C274" s="443"/>
      <c r="D274" s="443"/>
      <c r="E274" s="443"/>
      <c r="F274" s="443"/>
      <c r="G274" s="443"/>
      <c r="H274" s="443"/>
      <c r="I274" s="443"/>
      <c r="J274" s="443"/>
      <c r="K274" s="447"/>
      <c r="L274" s="73"/>
    </row>
    <row r="275" spans="1:12" ht="69" customHeight="1">
      <c r="A275" s="474" t="s">
        <v>281</v>
      </c>
      <c r="B275" s="475"/>
      <c r="C275" s="475"/>
      <c r="D275" s="92"/>
      <c r="E275" s="274"/>
      <c r="F275" s="54"/>
      <c r="G275" s="33"/>
      <c r="H275" s="54"/>
      <c r="I275" s="33"/>
      <c r="J275" s="54"/>
      <c r="K275" s="100"/>
      <c r="L275" s="73"/>
    </row>
    <row r="276" spans="1:12" ht="3" customHeight="1">
      <c r="A276" s="446"/>
      <c r="B276" s="443"/>
      <c r="C276" s="443"/>
      <c r="D276" s="443"/>
      <c r="E276" s="443"/>
      <c r="F276" s="443"/>
      <c r="G276" s="443"/>
      <c r="H276" s="443"/>
      <c r="I276" s="443"/>
      <c r="J276" s="443"/>
      <c r="K276" s="447"/>
      <c r="L276" s="73"/>
    </row>
    <row r="277" spans="1:12" ht="96.75" customHeight="1">
      <c r="A277" s="476" t="s">
        <v>282</v>
      </c>
      <c r="B277" s="477"/>
      <c r="C277" s="477"/>
      <c r="D277" s="92"/>
      <c r="E277" s="274" t="s">
        <v>277</v>
      </c>
      <c r="F277" s="54"/>
      <c r="G277" s="33" t="s">
        <v>79</v>
      </c>
      <c r="H277" s="54"/>
      <c r="I277" s="33" t="s">
        <v>607</v>
      </c>
      <c r="J277" s="54"/>
      <c r="K277" s="285" t="s">
        <v>640</v>
      </c>
      <c r="L277" s="73"/>
    </row>
    <row r="278" spans="1:12" ht="3" customHeight="1">
      <c r="A278" s="446"/>
      <c r="B278" s="443"/>
      <c r="C278" s="443"/>
      <c r="D278" s="443"/>
      <c r="E278" s="443"/>
      <c r="F278" s="443"/>
      <c r="G278" s="443"/>
      <c r="H278" s="443"/>
      <c r="I278" s="443"/>
      <c r="J278" s="443"/>
      <c r="K278" s="447"/>
      <c r="L278" s="73"/>
    </row>
    <row r="279" spans="1:12" ht="15" customHeight="1">
      <c r="A279" s="474" t="s">
        <v>283</v>
      </c>
      <c r="B279" s="475"/>
      <c r="C279" s="475"/>
      <c r="D279" s="92"/>
      <c r="E279" s="274"/>
      <c r="F279" s="54"/>
      <c r="G279" s="33"/>
      <c r="H279" s="54"/>
      <c r="I279" s="33"/>
      <c r="J279" s="54"/>
      <c r="K279" s="100"/>
      <c r="L279" s="73"/>
    </row>
    <row r="280" spans="1:12" ht="3" customHeight="1">
      <c r="A280" s="446"/>
      <c r="B280" s="443"/>
      <c r="C280" s="443"/>
      <c r="D280" s="443"/>
      <c r="E280" s="443"/>
      <c r="F280" s="443"/>
      <c r="G280" s="443"/>
      <c r="H280" s="443"/>
      <c r="I280" s="443"/>
      <c r="J280" s="443"/>
      <c r="K280" s="447"/>
      <c r="L280" s="73"/>
    </row>
    <row r="281" spans="1:12" ht="30" customHeight="1">
      <c r="A281" s="470" t="s">
        <v>284</v>
      </c>
      <c r="B281" s="471"/>
      <c r="C281" s="471"/>
      <c r="D281" s="92"/>
      <c r="E281" s="274"/>
      <c r="F281" s="54"/>
      <c r="G281" s="33"/>
      <c r="H281" s="54"/>
      <c r="I281" s="33"/>
      <c r="J281" s="54"/>
      <c r="K281" s="100"/>
      <c r="L281" s="73"/>
    </row>
    <row r="282" spans="1:12" ht="3" customHeight="1">
      <c r="A282" s="446"/>
      <c r="B282" s="443"/>
      <c r="C282" s="443"/>
      <c r="D282" s="443"/>
      <c r="E282" s="443"/>
      <c r="F282" s="443"/>
      <c r="G282" s="443"/>
      <c r="H282" s="443"/>
      <c r="I282" s="443"/>
      <c r="J282" s="443"/>
      <c r="K282" s="447"/>
      <c r="L282" s="73"/>
    </row>
    <row r="283" spans="1:12" ht="129" customHeight="1">
      <c r="A283" s="425" t="s">
        <v>285</v>
      </c>
      <c r="B283" s="426"/>
      <c r="C283" s="426"/>
      <c r="D283" s="92"/>
      <c r="E283" s="274" t="s">
        <v>277</v>
      </c>
      <c r="F283" s="54"/>
      <c r="G283" s="33" t="s">
        <v>79</v>
      </c>
      <c r="H283" s="54"/>
      <c r="I283" s="33" t="s">
        <v>595</v>
      </c>
      <c r="J283" s="54"/>
      <c r="K283" s="286" t="s">
        <v>639</v>
      </c>
      <c r="L283" s="73"/>
    </row>
    <row r="284" spans="1:12" ht="2.1" customHeight="1">
      <c r="A284" s="446"/>
      <c r="B284" s="443"/>
      <c r="C284" s="443"/>
      <c r="D284" s="443"/>
      <c r="E284" s="443"/>
      <c r="F284" s="443"/>
      <c r="G284" s="443"/>
      <c r="H284" s="443"/>
      <c r="I284" s="443"/>
      <c r="J284" s="443"/>
      <c r="K284" s="447"/>
      <c r="L284" s="73"/>
    </row>
    <row r="285" spans="1:12" ht="69" customHeight="1">
      <c r="A285" s="470" t="s">
        <v>286</v>
      </c>
      <c r="B285" s="471"/>
      <c r="C285" s="471"/>
      <c r="D285" s="92"/>
      <c r="E285" s="274" t="s">
        <v>277</v>
      </c>
      <c r="F285" s="54"/>
      <c r="G285" s="33" t="s">
        <v>79</v>
      </c>
      <c r="H285" s="54"/>
      <c r="I285" s="33"/>
      <c r="J285" s="54"/>
      <c r="K285" s="100" t="s">
        <v>641</v>
      </c>
      <c r="L285" s="73"/>
    </row>
    <row r="286" spans="1:12" ht="3.75" customHeight="1">
      <c r="A286" s="446"/>
      <c r="B286" s="443"/>
      <c r="C286" s="443"/>
      <c r="D286" s="443"/>
      <c r="E286" s="443"/>
      <c r="F286" s="443"/>
      <c r="G286" s="443"/>
      <c r="H286" s="443"/>
      <c r="I286" s="443"/>
      <c r="J286" s="443"/>
      <c r="K286" s="447"/>
      <c r="L286" s="73"/>
    </row>
    <row r="287" spans="1:12" ht="15" customHeight="1">
      <c r="A287" s="425" t="s">
        <v>287</v>
      </c>
      <c r="B287" s="426"/>
      <c r="C287" s="426"/>
      <c r="D287" s="50"/>
      <c r="E287" s="416"/>
      <c r="F287" s="417"/>
      <c r="G287" s="417"/>
      <c r="H287" s="417"/>
      <c r="I287" s="417"/>
      <c r="J287" s="417"/>
      <c r="K287" s="418"/>
      <c r="L287" s="73"/>
    </row>
    <row r="288" spans="1:12" ht="3" customHeight="1">
      <c r="A288" s="425"/>
      <c r="B288" s="426"/>
      <c r="C288" s="426"/>
      <c r="D288" s="50"/>
      <c r="E288" s="419"/>
      <c r="F288" s="420"/>
      <c r="G288" s="420"/>
      <c r="H288" s="420"/>
      <c r="I288" s="420"/>
      <c r="J288" s="420"/>
      <c r="K288" s="421"/>
      <c r="L288" s="73"/>
    </row>
    <row r="289" spans="1:12" ht="34.5" customHeight="1">
      <c r="A289" s="425"/>
      <c r="B289" s="426"/>
      <c r="C289" s="426"/>
      <c r="D289" s="51"/>
      <c r="E289" s="422"/>
      <c r="F289" s="423"/>
      <c r="G289" s="423"/>
      <c r="H289" s="423"/>
      <c r="I289" s="423"/>
      <c r="J289" s="423"/>
      <c r="K289" s="424"/>
      <c r="L289" s="73"/>
    </row>
    <row r="290" spans="1:12" ht="3" customHeight="1">
      <c r="A290" s="446"/>
      <c r="B290" s="443"/>
      <c r="C290" s="443"/>
      <c r="D290" s="443"/>
      <c r="E290" s="443"/>
      <c r="F290" s="443"/>
      <c r="G290" s="443"/>
      <c r="H290" s="443"/>
      <c r="I290" s="443"/>
      <c r="J290" s="443"/>
      <c r="K290" s="447"/>
      <c r="L290" s="73"/>
    </row>
    <row r="291" spans="1:12" ht="20.100000000000001" customHeight="1">
      <c r="A291" s="453" t="s">
        <v>288</v>
      </c>
      <c r="B291" s="460"/>
      <c r="C291" s="460"/>
      <c r="D291" s="460"/>
      <c r="E291" s="460"/>
      <c r="F291" s="460"/>
      <c r="G291" s="460"/>
      <c r="H291" s="460"/>
      <c r="I291" s="460"/>
      <c r="J291" s="460"/>
      <c r="K291" s="461"/>
      <c r="L291" s="73"/>
    </row>
    <row r="292" spans="1:12" ht="3" customHeight="1">
      <c r="A292" s="446"/>
      <c r="B292" s="443"/>
      <c r="C292" s="443"/>
      <c r="D292" s="443"/>
      <c r="E292" s="443"/>
      <c r="F292" s="443"/>
      <c r="G292" s="443"/>
      <c r="H292" s="443"/>
      <c r="I292" s="443"/>
      <c r="J292" s="443"/>
      <c r="K292" s="447"/>
      <c r="L292" s="73"/>
    </row>
    <row r="293" spans="1:12" ht="20.100000000000001" customHeight="1">
      <c r="A293" s="472" t="s">
        <v>289</v>
      </c>
      <c r="B293" s="473"/>
      <c r="C293" s="473"/>
      <c r="D293" s="473"/>
      <c r="E293" s="473"/>
      <c r="F293" s="473"/>
      <c r="G293" s="473"/>
      <c r="H293" s="53"/>
      <c r="I293" s="287" t="s">
        <v>290</v>
      </c>
      <c r="J293" s="288"/>
      <c r="K293" s="289" t="s">
        <v>291</v>
      </c>
      <c r="L293" s="73"/>
    </row>
    <row r="294" spans="1:12" ht="3" customHeight="1">
      <c r="A294" s="446"/>
      <c r="B294" s="443"/>
      <c r="C294" s="443"/>
      <c r="D294" s="443"/>
      <c r="E294" s="443"/>
      <c r="F294" s="443"/>
      <c r="G294" s="443"/>
      <c r="H294" s="443"/>
      <c r="I294" s="443"/>
      <c r="J294" s="443"/>
      <c r="K294" s="447"/>
      <c r="L294" s="73"/>
    </row>
    <row r="295" spans="1:12" ht="15" customHeight="1">
      <c r="A295" s="469"/>
      <c r="B295" s="423"/>
      <c r="C295" s="423"/>
      <c r="D295" s="423"/>
      <c r="E295" s="423"/>
      <c r="F295" s="423"/>
      <c r="G295" s="423"/>
      <c r="H295" s="54"/>
      <c r="I295" s="105" t="s">
        <v>292</v>
      </c>
      <c r="J295" s="54"/>
      <c r="K295" s="290" t="s">
        <v>292</v>
      </c>
      <c r="L295" s="73"/>
    </row>
    <row r="296" spans="1:12" ht="3" customHeight="1">
      <c r="A296" s="446"/>
      <c r="B296" s="443"/>
      <c r="C296" s="443"/>
      <c r="D296" s="443"/>
      <c r="E296" s="443"/>
      <c r="F296" s="443"/>
      <c r="G296" s="443"/>
      <c r="H296" s="443"/>
      <c r="I296" s="443"/>
      <c r="J296" s="443"/>
      <c r="K296" s="447"/>
      <c r="L296" s="73"/>
    </row>
    <row r="297" spans="1:12" ht="15" customHeight="1">
      <c r="A297" s="469"/>
      <c r="B297" s="423"/>
      <c r="C297" s="423"/>
      <c r="D297" s="423"/>
      <c r="E297" s="423"/>
      <c r="F297" s="423"/>
      <c r="G297" s="423"/>
      <c r="H297" s="54"/>
      <c r="I297" s="105"/>
      <c r="J297" s="92"/>
      <c r="K297" s="290"/>
      <c r="L297" s="73"/>
    </row>
    <row r="298" spans="1:12" ht="3" customHeight="1">
      <c r="A298" s="446"/>
      <c r="B298" s="443"/>
      <c r="C298" s="443"/>
      <c r="D298" s="443"/>
      <c r="E298" s="443"/>
      <c r="F298" s="443"/>
      <c r="G298" s="443"/>
      <c r="H298" s="443"/>
      <c r="I298" s="443"/>
      <c r="J298" s="443"/>
      <c r="K298" s="447"/>
      <c r="L298" s="73"/>
    </row>
    <row r="299" spans="1:12" ht="15" customHeight="1">
      <c r="A299" s="469"/>
      <c r="B299" s="423"/>
      <c r="C299" s="423"/>
      <c r="D299" s="423"/>
      <c r="E299" s="423"/>
      <c r="F299" s="423"/>
      <c r="G299" s="423"/>
      <c r="H299" s="54"/>
      <c r="I299" s="105"/>
      <c r="J299" s="54"/>
      <c r="K299" s="290"/>
      <c r="L299" s="73"/>
    </row>
    <row r="300" spans="1:12" ht="3" customHeight="1">
      <c r="A300" s="446"/>
      <c r="B300" s="443"/>
      <c r="C300" s="443"/>
      <c r="D300" s="443"/>
      <c r="E300" s="443"/>
      <c r="F300" s="443"/>
      <c r="G300" s="443"/>
      <c r="H300" s="443"/>
      <c r="I300" s="443"/>
      <c r="J300" s="443"/>
      <c r="K300" s="447"/>
      <c r="L300" s="73"/>
    </row>
    <row r="301" spans="1:12" ht="15" customHeight="1">
      <c r="A301" s="469"/>
      <c r="B301" s="423"/>
      <c r="C301" s="423"/>
      <c r="D301" s="423"/>
      <c r="E301" s="423"/>
      <c r="F301" s="423"/>
      <c r="G301" s="423"/>
      <c r="H301" s="54"/>
      <c r="I301" s="105"/>
      <c r="J301" s="92"/>
      <c r="K301" s="290"/>
      <c r="L301" s="73"/>
    </row>
    <row r="302" spans="1:12" ht="3" customHeight="1">
      <c r="A302" s="446"/>
      <c r="B302" s="443"/>
      <c r="C302" s="443"/>
      <c r="D302" s="443"/>
      <c r="E302" s="443"/>
      <c r="F302" s="443"/>
      <c r="G302" s="443"/>
      <c r="H302" s="443"/>
      <c r="I302" s="443"/>
      <c r="J302" s="443"/>
      <c r="K302" s="447"/>
      <c r="L302" s="73"/>
    </row>
    <row r="303" spans="1:12" ht="15" customHeight="1">
      <c r="A303" s="469"/>
      <c r="B303" s="423"/>
      <c r="C303" s="423"/>
      <c r="D303" s="423"/>
      <c r="E303" s="423"/>
      <c r="F303" s="423"/>
      <c r="G303" s="423"/>
      <c r="H303" s="105"/>
      <c r="I303" s="105"/>
      <c r="J303" s="105"/>
      <c r="K303" s="290"/>
      <c r="L303" s="73"/>
    </row>
    <row r="304" spans="1:12" ht="3" customHeight="1">
      <c r="A304" s="446"/>
      <c r="B304" s="443"/>
      <c r="C304" s="443"/>
      <c r="D304" s="443"/>
      <c r="E304" s="443"/>
      <c r="F304" s="443"/>
      <c r="G304" s="443"/>
      <c r="H304" s="443"/>
      <c r="I304" s="443"/>
      <c r="J304" s="443"/>
      <c r="K304" s="447"/>
      <c r="L304" s="73"/>
    </row>
    <row r="305" spans="1:12" ht="20.100000000000001" customHeight="1">
      <c r="A305" s="453" t="s">
        <v>293</v>
      </c>
      <c r="B305" s="460"/>
      <c r="C305" s="460"/>
      <c r="D305" s="460"/>
      <c r="E305" s="460"/>
      <c r="F305" s="460"/>
      <c r="G305" s="460"/>
      <c r="H305" s="460"/>
      <c r="I305" s="460"/>
      <c r="J305" s="460"/>
      <c r="K305" s="461"/>
      <c r="L305" s="73"/>
    </row>
    <row r="306" spans="1:12" ht="3" customHeight="1">
      <c r="A306" s="446"/>
      <c r="B306" s="443"/>
      <c r="C306" s="443"/>
      <c r="D306" s="443"/>
      <c r="E306" s="443"/>
      <c r="F306" s="443"/>
      <c r="G306" s="443"/>
      <c r="H306" s="443"/>
      <c r="I306" s="443"/>
      <c r="J306" s="443"/>
      <c r="K306" s="447"/>
      <c r="L306" s="73"/>
    </row>
    <row r="307" spans="1:12" ht="15" customHeight="1">
      <c r="A307" s="45" t="s">
        <v>250</v>
      </c>
      <c r="B307" s="275"/>
      <c r="C307" s="467" t="s">
        <v>294</v>
      </c>
      <c r="D307" s="467"/>
      <c r="E307" s="467"/>
      <c r="F307" s="467"/>
      <c r="G307" s="467"/>
      <c r="H307" s="467"/>
      <c r="I307" s="467"/>
      <c r="J307" s="467"/>
      <c r="K307" s="468"/>
      <c r="L307" s="73"/>
    </row>
    <row r="308" spans="1:12" ht="3" customHeight="1">
      <c r="A308" s="446"/>
      <c r="B308" s="443"/>
      <c r="C308" s="443"/>
      <c r="D308" s="443"/>
      <c r="E308" s="443"/>
      <c r="F308" s="443"/>
      <c r="G308" s="443"/>
      <c r="H308" s="443"/>
      <c r="I308" s="443"/>
      <c r="J308" s="443"/>
      <c r="K308" s="447"/>
      <c r="L308" s="73"/>
    </row>
    <row r="309" spans="1:12" ht="15" customHeight="1">
      <c r="A309" s="200">
        <v>1</v>
      </c>
      <c r="B309" s="276"/>
      <c r="C309" s="376"/>
      <c r="D309" s="376"/>
      <c r="E309" s="376"/>
      <c r="F309" s="376"/>
      <c r="G309" s="376"/>
      <c r="H309" s="376"/>
      <c r="I309" s="376"/>
      <c r="J309" s="376"/>
      <c r="K309" s="377"/>
      <c r="L309" s="73"/>
    </row>
    <row r="310" spans="1:12" ht="3" customHeight="1">
      <c r="A310" s="446"/>
      <c r="B310" s="443"/>
      <c r="C310" s="443"/>
      <c r="D310" s="443"/>
      <c r="E310" s="443"/>
      <c r="F310" s="443"/>
      <c r="G310" s="443"/>
      <c r="H310" s="443"/>
      <c r="I310" s="443"/>
      <c r="J310" s="443"/>
      <c r="K310" s="447"/>
      <c r="L310" s="73"/>
    </row>
    <row r="311" spans="1:12" ht="15" customHeight="1">
      <c r="A311" s="48">
        <v>2</v>
      </c>
      <c r="B311" s="276"/>
      <c r="C311" s="376"/>
      <c r="D311" s="376"/>
      <c r="E311" s="376"/>
      <c r="F311" s="376"/>
      <c r="G311" s="376"/>
      <c r="H311" s="376"/>
      <c r="I311" s="376"/>
      <c r="J311" s="376"/>
      <c r="K311" s="377"/>
      <c r="L311" s="73"/>
    </row>
    <row r="312" spans="1:12" ht="3" customHeight="1">
      <c r="A312" s="446"/>
      <c r="B312" s="443"/>
      <c r="C312" s="443"/>
      <c r="D312" s="443"/>
      <c r="E312" s="443"/>
      <c r="F312" s="443"/>
      <c r="G312" s="443"/>
      <c r="H312" s="443"/>
      <c r="I312" s="443"/>
      <c r="J312" s="443"/>
      <c r="K312" s="447"/>
      <c r="L312" s="73"/>
    </row>
    <row r="313" spans="1:12" ht="15" customHeight="1">
      <c r="A313" s="238">
        <v>3</v>
      </c>
      <c r="B313" s="277"/>
      <c r="C313" s="376"/>
      <c r="D313" s="376"/>
      <c r="E313" s="376"/>
      <c r="F313" s="376"/>
      <c r="G313" s="376"/>
      <c r="H313" s="376"/>
      <c r="I313" s="376"/>
      <c r="J313" s="376"/>
      <c r="K313" s="377"/>
      <c r="L313" s="73"/>
    </row>
    <row r="314" spans="1:12" ht="3" customHeight="1">
      <c r="A314" s="446"/>
      <c r="B314" s="443"/>
      <c r="C314" s="443"/>
      <c r="D314" s="443"/>
      <c r="E314" s="443"/>
      <c r="F314" s="443"/>
      <c r="G314" s="443"/>
      <c r="H314" s="443"/>
      <c r="I314" s="443"/>
      <c r="J314" s="443"/>
      <c r="K314" s="447"/>
      <c r="L314" s="73"/>
    </row>
    <row r="315" spans="1:12" ht="15" customHeight="1">
      <c r="A315" s="463" t="s">
        <v>295</v>
      </c>
      <c r="B315" s="464"/>
      <c r="C315" s="464"/>
      <c r="D315" s="464"/>
      <c r="E315" s="464"/>
      <c r="F315" s="464"/>
      <c r="G315" s="464"/>
      <c r="H315" s="464"/>
      <c r="I315" s="464"/>
      <c r="J315" s="464"/>
      <c r="K315" s="465"/>
      <c r="L315" s="73"/>
    </row>
    <row r="316" spans="1:12" ht="3" customHeight="1">
      <c r="A316" s="446"/>
      <c r="B316" s="443"/>
      <c r="C316" s="443"/>
      <c r="D316" s="443"/>
      <c r="E316" s="443"/>
      <c r="F316" s="443"/>
      <c r="G316" s="443"/>
      <c r="H316" s="443"/>
      <c r="I316" s="443"/>
      <c r="J316" s="443"/>
      <c r="K316" s="447"/>
      <c r="L316" s="73"/>
    </row>
    <row r="317" spans="1:12" ht="30">
      <c r="A317" s="278" t="s">
        <v>250</v>
      </c>
      <c r="B317" s="279"/>
      <c r="C317" s="466" t="s">
        <v>296</v>
      </c>
      <c r="D317" s="466"/>
      <c r="E317" s="466"/>
      <c r="F317" s="466"/>
      <c r="G317" s="466"/>
      <c r="H317" s="280"/>
      <c r="I317" s="287" t="s">
        <v>297</v>
      </c>
      <c r="J317" s="280"/>
      <c r="K317" s="289"/>
      <c r="L317" s="73"/>
    </row>
    <row r="318" spans="1:12" ht="3" customHeight="1">
      <c r="A318" s="446"/>
      <c r="B318" s="443"/>
      <c r="C318" s="443"/>
      <c r="D318" s="443"/>
      <c r="E318" s="443"/>
      <c r="F318" s="443"/>
      <c r="G318" s="443"/>
      <c r="H318" s="443"/>
      <c r="I318" s="443"/>
      <c r="J318" s="443"/>
      <c r="K318" s="447"/>
      <c r="L318" s="73"/>
    </row>
    <row r="319" spans="1:12" ht="15" customHeight="1">
      <c r="A319" s="200">
        <v>1</v>
      </c>
      <c r="B319" s="276"/>
      <c r="C319" s="462" t="s">
        <v>298</v>
      </c>
      <c r="D319" s="462"/>
      <c r="E319" s="462"/>
      <c r="F319" s="462"/>
      <c r="G319" s="462"/>
      <c r="H319" s="54"/>
      <c r="I319" s="105" t="s">
        <v>79</v>
      </c>
      <c r="J319" s="54"/>
      <c r="K319" s="204"/>
      <c r="L319" s="73"/>
    </row>
    <row r="320" spans="1:12" ht="3" customHeight="1">
      <c r="A320" s="446"/>
      <c r="B320" s="443"/>
      <c r="C320" s="443"/>
      <c r="D320" s="443"/>
      <c r="E320" s="443"/>
      <c r="F320" s="443"/>
      <c r="G320" s="443"/>
      <c r="H320" s="443"/>
      <c r="I320" s="443"/>
      <c r="J320" s="443"/>
      <c r="K320" s="447"/>
      <c r="L320" s="73"/>
    </row>
    <row r="321" spans="1:12" ht="15" customHeight="1">
      <c r="A321" s="48">
        <v>2</v>
      </c>
      <c r="B321" s="276"/>
      <c r="C321" s="458" t="s">
        <v>299</v>
      </c>
      <c r="D321" s="458"/>
      <c r="E321" s="458"/>
      <c r="F321" s="458"/>
      <c r="G321" s="458"/>
      <c r="H321" s="54"/>
      <c r="I321" s="105" t="s">
        <v>79</v>
      </c>
      <c r="J321" s="54"/>
      <c r="K321" s="207"/>
      <c r="L321" s="73"/>
    </row>
    <row r="322" spans="1:12" ht="3" customHeight="1">
      <c r="A322" s="446"/>
      <c r="B322" s="443"/>
      <c r="C322" s="443"/>
      <c r="D322" s="443"/>
      <c r="E322" s="443"/>
      <c r="F322" s="443"/>
      <c r="G322" s="443"/>
      <c r="H322" s="443"/>
      <c r="I322" s="443"/>
      <c r="J322" s="443"/>
      <c r="K322" s="447"/>
      <c r="L322" s="73"/>
    </row>
    <row r="323" spans="1:12" ht="15" customHeight="1">
      <c r="A323" s="200">
        <v>3</v>
      </c>
      <c r="B323" s="276"/>
      <c r="C323" s="462" t="s">
        <v>80</v>
      </c>
      <c r="D323" s="462"/>
      <c r="E323" s="462"/>
      <c r="F323" s="462"/>
      <c r="G323" s="462"/>
      <c r="H323" s="54"/>
      <c r="I323" s="105" t="s">
        <v>79</v>
      </c>
      <c r="J323" s="54"/>
      <c r="K323" s="204"/>
      <c r="L323" s="73"/>
    </row>
    <row r="324" spans="1:12" ht="3" customHeight="1">
      <c r="A324" s="446"/>
      <c r="B324" s="443"/>
      <c r="C324" s="443"/>
      <c r="D324" s="443"/>
      <c r="E324" s="443"/>
      <c r="F324" s="443"/>
      <c r="G324" s="443"/>
      <c r="H324" s="443"/>
      <c r="I324" s="443"/>
      <c r="J324" s="443"/>
      <c r="K324" s="447"/>
      <c r="L324" s="73"/>
    </row>
    <row r="325" spans="1:12" ht="15" customHeight="1">
      <c r="A325" s="48">
        <v>4</v>
      </c>
      <c r="B325" s="276"/>
      <c r="C325" s="458" t="s">
        <v>300</v>
      </c>
      <c r="D325" s="458"/>
      <c r="E325" s="458"/>
      <c r="F325" s="458"/>
      <c r="G325" s="458"/>
      <c r="H325" s="54"/>
      <c r="I325" s="105" t="s">
        <v>79</v>
      </c>
      <c r="J325" s="54"/>
      <c r="K325" s="207"/>
      <c r="L325" s="73"/>
    </row>
    <row r="326" spans="1:12" s="6" customFormat="1" ht="3" customHeight="1">
      <c r="A326" s="446"/>
      <c r="B326" s="443"/>
      <c r="C326" s="443"/>
      <c r="D326" s="443"/>
      <c r="E326" s="443"/>
      <c r="F326" s="443"/>
      <c r="G326" s="443"/>
      <c r="H326" s="443"/>
      <c r="I326" s="443"/>
      <c r="J326" s="443"/>
      <c r="K326" s="447"/>
      <c r="L326" s="73"/>
    </row>
    <row r="327" spans="1:12" s="6" customFormat="1" ht="15" customHeight="1">
      <c r="A327" s="200">
        <v>5</v>
      </c>
      <c r="B327" s="276"/>
      <c r="C327" s="462" t="s">
        <v>301</v>
      </c>
      <c r="D327" s="462"/>
      <c r="E327" s="462"/>
      <c r="F327" s="462"/>
      <c r="G327" s="462"/>
      <c r="H327" s="291"/>
      <c r="I327" s="105" t="s">
        <v>79</v>
      </c>
      <c r="J327" s="54"/>
      <c r="K327" s="204"/>
      <c r="L327" s="73"/>
    </row>
    <row r="328" spans="1:12" s="6" customFormat="1" ht="2.1" customHeight="1">
      <c r="A328" s="446"/>
      <c r="B328" s="443"/>
      <c r="C328" s="443"/>
      <c r="D328" s="443"/>
      <c r="E328" s="443"/>
      <c r="F328" s="443"/>
      <c r="G328" s="443"/>
      <c r="H328" s="443"/>
      <c r="I328" s="443"/>
      <c r="J328" s="443"/>
      <c r="K328" s="447"/>
      <c r="L328" s="73"/>
    </row>
    <row r="329" spans="1:12" s="6" customFormat="1" ht="15" customHeight="1">
      <c r="A329" s="48">
        <v>6</v>
      </c>
      <c r="B329" s="276"/>
      <c r="C329" s="458" t="s">
        <v>302</v>
      </c>
      <c r="D329" s="458"/>
      <c r="E329" s="458"/>
      <c r="F329" s="458"/>
      <c r="G329" s="458"/>
      <c r="H329" s="291"/>
      <c r="I329" s="105" t="s">
        <v>79</v>
      </c>
      <c r="J329" s="54"/>
      <c r="K329" s="207"/>
      <c r="L329" s="73"/>
    </row>
    <row r="330" spans="1:12" s="6" customFormat="1" ht="2.1" customHeight="1">
      <c r="A330" s="446"/>
      <c r="B330" s="443"/>
      <c r="C330" s="443"/>
      <c r="D330" s="443"/>
      <c r="E330" s="443"/>
      <c r="F330" s="443"/>
      <c r="G330" s="443"/>
      <c r="H330" s="443"/>
      <c r="I330" s="443"/>
      <c r="J330" s="443"/>
      <c r="K330" s="447"/>
      <c r="L330" s="73"/>
    </row>
    <row r="331" spans="1:12" s="6" customFormat="1" ht="15" customHeight="1">
      <c r="A331" s="200">
        <v>7</v>
      </c>
      <c r="B331" s="276"/>
      <c r="C331" s="462" t="s">
        <v>303</v>
      </c>
      <c r="D331" s="462"/>
      <c r="E331" s="462"/>
      <c r="F331" s="462"/>
      <c r="G331" s="462"/>
      <c r="H331" s="291"/>
      <c r="I331" s="105" t="s">
        <v>79</v>
      </c>
      <c r="J331" s="54"/>
      <c r="K331" s="204"/>
      <c r="L331" s="73"/>
    </row>
    <row r="332" spans="1:12" s="6" customFormat="1" ht="2.1" customHeight="1">
      <c r="A332" s="446"/>
      <c r="B332" s="443"/>
      <c r="C332" s="443"/>
      <c r="D332" s="443"/>
      <c r="E332" s="443"/>
      <c r="F332" s="443"/>
      <c r="G332" s="443"/>
      <c r="H332" s="443"/>
      <c r="I332" s="443"/>
      <c r="J332" s="443"/>
      <c r="K332" s="447"/>
      <c r="L332" s="73"/>
    </row>
    <row r="333" spans="1:12" s="6" customFormat="1" ht="15" customHeight="1">
      <c r="A333" s="48">
        <v>8</v>
      </c>
      <c r="B333" s="276"/>
      <c r="C333" s="458" t="s">
        <v>304</v>
      </c>
      <c r="D333" s="458"/>
      <c r="E333" s="458"/>
      <c r="F333" s="458"/>
      <c r="G333" s="458"/>
      <c r="H333" s="291"/>
      <c r="I333" s="105" t="s">
        <v>79</v>
      </c>
      <c r="J333" s="54"/>
      <c r="K333" s="207"/>
      <c r="L333" s="73"/>
    </row>
    <row r="334" spans="1:12" s="6" customFormat="1" ht="2.1" customHeight="1">
      <c r="A334" s="446"/>
      <c r="B334" s="443"/>
      <c r="C334" s="443"/>
      <c r="D334" s="443"/>
      <c r="E334" s="443"/>
      <c r="F334" s="443"/>
      <c r="G334" s="443"/>
      <c r="H334" s="443"/>
      <c r="I334" s="443"/>
      <c r="J334" s="443"/>
      <c r="K334" s="447"/>
      <c r="L334" s="73"/>
    </row>
    <row r="335" spans="1:12" s="6" customFormat="1" ht="15" customHeight="1">
      <c r="A335" s="238">
        <v>9</v>
      </c>
      <c r="B335" s="277"/>
      <c r="C335" s="459" t="s">
        <v>305</v>
      </c>
      <c r="D335" s="459"/>
      <c r="E335" s="459"/>
      <c r="F335" s="459"/>
      <c r="G335" s="459"/>
      <c r="H335" s="292"/>
      <c r="I335" s="105" t="s">
        <v>79</v>
      </c>
      <c r="J335" s="105"/>
      <c r="K335" s="84"/>
      <c r="L335" s="73"/>
    </row>
    <row r="336" spans="1:12" s="6" customFormat="1" ht="2.1" customHeight="1">
      <c r="A336" s="446"/>
      <c r="B336" s="443"/>
      <c r="C336" s="443"/>
      <c r="D336" s="443"/>
      <c r="E336" s="443"/>
      <c r="F336" s="443"/>
      <c r="G336" s="443"/>
      <c r="H336" s="443"/>
      <c r="I336" s="443"/>
      <c r="J336" s="443"/>
      <c r="K336" s="447"/>
      <c r="L336" s="73"/>
    </row>
    <row r="337" spans="1:16378" ht="24.75" customHeight="1">
      <c r="A337" s="453" t="s">
        <v>306</v>
      </c>
      <c r="B337" s="460"/>
      <c r="C337" s="460"/>
      <c r="D337" s="460"/>
      <c r="E337" s="460"/>
      <c r="F337" s="460"/>
      <c r="G337" s="460"/>
      <c r="H337" s="460"/>
      <c r="I337" s="460"/>
      <c r="J337" s="460"/>
      <c r="K337" s="461"/>
      <c r="L337" s="73"/>
    </row>
    <row r="338" spans="1:16378" ht="3" customHeight="1">
      <c r="A338" s="446"/>
      <c r="B338" s="443"/>
      <c r="C338" s="443"/>
      <c r="D338" s="443"/>
      <c r="E338" s="443"/>
      <c r="F338" s="443"/>
      <c r="G338" s="443"/>
      <c r="H338" s="443"/>
      <c r="I338" s="443"/>
      <c r="J338" s="443"/>
      <c r="K338" s="447"/>
      <c r="L338" s="73"/>
    </row>
    <row r="339" spans="1:16378" ht="125.25" customHeight="1">
      <c r="A339" s="45" t="s">
        <v>307</v>
      </c>
      <c r="B339" s="47"/>
      <c r="C339" s="25" t="s">
        <v>79</v>
      </c>
      <c r="D339" s="38"/>
      <c r="E339" s="441" t="s">
        <v>308</v>
      </c>
      <c r="F339" s="275"/>
      <c r="G339" s="358" t="s">
        <v>644</v>
      </c>
      <c r="H339" s="359"/>
      <c r="I339" s="359"/>
      <c r="J339" s="359"/>
      <c r="K339" s="360"/>
      <c r="L339" s="73"/>
    </row>
    <row r="340" spans="1:16378" ht="1.5" hidden="1" customHeight="1">
      <c r="A340" s="293"/>
      <c r="B340" s="276"/>
      <c r="C340" s="276"/>
      <c r="D340" s="276"/>
      <c r="E340" s="442"/>
      <c r="F340" s="276"/>
      <c r="G340" s="361"/>
      <c r="H340" s="362"/>
      <c r="I340" s="362"/>
      <c r="J340" s="362"/>
      <c r="K340" s="363"/>
      <c r="L340" s="73"/>
    </row>
    <row r="341" spans="1:16378" ht="47.25" customHeight="1">
      <c r="A341" s="200" t="s">
        <v>309</v>
      </c>
      <c r="B341" s="50"/>
      <c r="C341" s="105" t="s">
        <v>310</v>
      </c>
      <c r="E341" s="442"/>
      <c r="F341" s="276"/>
      <c r="G341" s="364"/>
      <c r="H341" s="365"/>
      <c r="I341" s="365"/>
      <c r="J341" s="365"/>
      <c r="K341" s="366"/>
      <c r="L341" s="73"/>
    </row>
    <row r="342" spans="1:16378" ht="14.25" customHeight="1">
      <c r="A342" s="446"/>
      <c r="B342" s="443"/>
      <c r="C342" s="443"/>
      <c r="D342" s="443"/>
      <c r="E342" s="443"/>
      <c r="F342" s="443"/>
      <c r="G342" s="443"/>
      <c r="H342" s="443"/>
      <c r="I342" s="443"/>
      <c r="J342" s="443"/>
      <c r="K342" s="447"/>
      <c r="L342" s="73"/>
    </row>
    <row r="343" spans="1:16378" ht="15" customHeight="1">
      <c r="A343" s="48" t="s">
        <v>311</v>
      </c>
      <c r="B343" s="50"/>
      <c r="C343" s="337" t="s">
        <v>608</v>
      </c>
      <c r="D343" s="29"/>
      <c r="E343" s="49" t="s">
        <v>312</v>
      </c>
      <c r="F343" s="54"/>
      <c r="G343" s="337" t="s">
        <v>596</v>
      </c>
      <c r="H343" s="50"/>
      <c r="I343" s="230" t="s">
        <v>313</v>
      </c>
      <c r="J343" s="50"/>
      <c r="K343" s="100" t="s">
        <v>314</v>
      </c>
      <c r="L343" s="73"/>
      <c r="M343" s="29"/>
      <c r="N343" s="29"/>
      <c r="O343" s="29"/>
      <c r="P343" s="29"/>
      <c r="Q343" s="29"/>
      <c r="R343" s="29"/>
      <c r="S343" s="29"/>
      <c r="T343" s="29"/>
      <c r="U343" s="29"/>
      <c r="V343" s="29"/>
      <c r="W343" s="29"/>
      <c r="X343" s="29"/>
      <c r="Y343" s="29"/>
      <c r="Z343" s="29"/>
      <c r="AA343" s="29"/>
      <c r="AB343" s="29"/>
      <c r="AC343" s="29"/>
      <c r="AD343" s="29"/>
      <c r="AE343" s="29"/>
      <c r="AF343" s="29"/>
      <c r="AG343" s="29"/>
      <c r="AH343" s="29"/>
      <c r="AI343" s="29"/>
      <c r="AJ343" s="29"/>
      <c r="AK343" s="29"/>
      <c r="AL343" s="29"/>
      <c r="AM343" s="29"/>
      <c r="AN343" s="29"/>
      <c r="AO343" s="29"/>
      <c r="AP343" s="29"/>
      <c r="AQ343" s="29"/>
      <c r="AR343" s="29"/>
      <c r="AS343" s="29"/>
      <c r="AT343" s="29"/>
      <c r="AU343" s="29"/>
      <c r="AV343" s="29"/>
      <c r="AW343" s="29"/>
      <c r="AX343" s="29"/>
      <c r="AY343" s="29"/>
      <c r="AZ343" s="29"/>
      <c r="BA343" s="29"/>
      <c r="BB343" s="29"/>
      <c r="BC343" s="29"/>
      <c r="BD343" s="29"/>
      <c r="BE343" s="29"/>
      <c r="BF343" s="29"/>
      <c r="BG343" s="29"/>
      <c r="BH343" s="29"/>
      <c r="BI343" s="29"/>
      <c r="BJ343" s="29"/>
      <c r="BK343" s="29"/>
      <c r="BL343" s="29"/>
      <c r="BM343" s="29"/>
      <c r="BN343" s="29"/>
      <c r="BO343" s="29"/>
      <c r="BP343" s="29"/>
      <c r="BQ343" s="29"/>
      <c r="BR343" s="29"/>
      <c r="BS343" s="29"/>
      <c r="BT343" s="29"/>
      <c r="BU343" s="29"/>
      <c r="BV343" s="29"/>
      <c r="BW343" s="29"/>
      <c r="BX343" s="29"/>
      <c r="BY343" s="29"/>
      <c r="BZ343" s="29"/>
      <c r="CA343" s="29"/>
      <c r="CB343" s="29"/>
      <c r="CC343" s="29"/>
      <c r="CD343" s="29"/>
      <c r="CE343" s="29"/>
      <c r="CF343" s="29"/>
      <c r="CG343" s="29"/>
      <c r="CH343" s="29"/>
      <c r="CI343" s="29"/>
      <c r="CJ343" s="29"/>
      <c r="CK343" s="29"/>
      <c r="CL343" s="29"/>
      <c r="CM343" s="29"/>
      <c r="CN343" s="29"/>
      <c r="CO343" s="29"/>
      <c r="CP343" s="29"/>
      <c r="CQ343" s="29"/>
      <c r="CR343" s="29"/>
      <c r="CS343" s="29"/>
      <c r="CT343" s="29"/>
      <c r="CU343" s="29"/>
      <c r="CV343" s="29"/>
      <c r="CW343" s="29"/>
      <c r="CX343" s="29"/>
      <c r="CY343" s="29"/>
      <c r="CZ343" s="29"/>
      <c r="DA343" s="29"/>
      <c r="DB343" s="29"/>
      <c r="DC343" s="29"/>
      <c r="DD343" s="29"/>
      <c r="DE343" s="29"/>
      <c r="DF343" s="29"/>
      <c r="DG343" s="29"/>
      <c r="DH343" s="29"/>
      <c r="DI343" s="29"/>
      <c r="DJ343" s="29"/>
      <c r="DK343" s="29"/>
      <c r="DL343" s="29"/>
      <c r="DM343" s="29"/>
      <c r="DN343" s="29"/>
      <c r="DO343" s="29"/>
      <c r="DP343" s="29"/>
      <c r="DQ343" s="29"/>
      <c r="DR343" s="29"/>
      <c r="DS343" s="29"/>
      <c r="DT343" s="29"/>
      <c r="DU343" s="29"/>
      <c r="DV343" s="29"/>
      <c r="DW343" s="29"/>
      <c r="DX343" s="29"/>
      <c r="DY343" s="29"/>
      <c r="DZ343" s="29"/>
      <c r="EA343" s="29"/>
      <c r="EB343" s="29"/>
      <c r="EC343" s="29"/>
      <c r="ED343" s="29"/>
      <c r="EE343" s="29"/>
      <c r="EF343" s="29"/>
      <c r="EG343" s="29"/>
      <c r="EH343" s="29"/>
      <c r="EI343" s="29"/>
      <c r="EJ343" s="29"/>
      <c r="EK343" s="29"/>
      <c r="EL343" s="29"/>
      <c r="EM343" s="29"/>
      <c r="EN343" s="29"/>
      <c r="EO343" s="29"/>
      <c r="EP343" s="29"/>
      <c r="EQ343" s="29"/>
      <c r="ER343" s="29"/>
      <c r="ES343" s="29"/>
      <c r="ET343" s="29"/>
      <c r="EU343" s="29"/>
      <c r="EV343" s="29"/>
      <c r="EW343" s="29"/>
      <c r="EX343" s="29"/>
      <c r="EY343" s="29"/>
      <c r="EZ343" s="29"/>
      <c r="FA343" s="29"/>
      <c r="FB343" s="29"/>
      <c r="FC343" s="29"/>
      <c r="FD343" s="29"/>
      <c r="FE343" s="29"/>
      <c r="FF343" s="29"/>
      <c r="FG343" s="29"/>
      <c r="FH343" s="29"/>
      <c r="FI343" s="29"/>
      <c r="FJ343" s="29"/>
      <c r="FK343" s="29"/>
      <c r="FL343" s="29"/>
      <c r="FM343" s="29"/>
      <c r="FN343" s="29"/>
      <c r="FO343" s="29"/>
      <c r="FP343" s="29"/>
      <c r="FQ343" s="29"/>
      <c r="FR343" s="29"/>
      <c r="FS343" s="29"/>
      <c r="FT343" s="29"/>
      <c r="FU343" s="29"/>
      <c r="FV343" s="29"/>
      <c r="FW343" s="29"/>
      <c r="FX343" s="29"/>
      <c r="FY343" s="29"/>
      <c r="FZ343" s="29"/>
      <c r="GA343" s="29"/>
      <c r="GB343" s="29"/>
      <c r="GC343" s="29"/>
      <c r="GD343" s="29"/>
      <c r="GE343" s="29"/>
      <c r="GF343" s="29"/>
      <c r="GG343" s="29"/>
      <c r="GH343" s="29"/>
      <c r="GI343" s="29"/>
      <c r="GJ343" s="29"/>
      <c r="GK343" s="29"/>
      <c r="GL343" s="29"/>
      <c r="GM343" s="29"/>
      <c r="GN343" s="29"/>
      <c r="GO343" s="29"/>
      <c r="GP343" s="29"/>
      <c r="GQ343" s="29"/>
      <c r="GR343" s="29"/>
      <c r="GS343" s="29"/>
      <c r="GT343" s="29"/>
      <c r="GU343" s="29"/>
      <c r="GV343" s="29"/>
      <c r="GW343" s="29"/>
      <c r="GX343" s="29"/>
      <c r="GY343" s="29"/>
      <c r="GZ343" s="29"/>
      <c r="HA343" s="29"/>
      <c r="HB343" s="29"/>
      <c r="HC343" s="29"/>
      <c r="HD343" s="29"/>
      <c r="HE343" s="29"/>
      <c r="HF343" s="29"/>
      <c r="HG343" s="29"/>
      <c r="HH343" s="29"/>
      <c r="HI343" s="29"/>
      <c r="HJ343" s="29"/>
      <c r="HK343" s="29"/>
      <c r="HL343" s="29"/>
      <c r="HM343" s="29"/>
      <c r="HN343" s="29"/>
      <c r="HO343" s="29"/>
      <c r="HP343" s="29"/>
      <c r="HQ343" s="29"/>
      <c r="HR343" s="29"/>
      <c r="HS343" s="29"/>
      <c r="HT343" s="29"/>
      <c r="HU343" s="29"/>
      <c r="HV343" s="29"/>
      <c r="HW343" s="29"/>
      <c r="HX343" s="29"/>
      <c r="HY343" s="29"/>
      <c r="HZ343" s="29"/>
      <c r="IA343" s="29"/>
      <c r="IB343" s="29"/>
      <c r="IC343" s="29"/>
      <c r="ID343" s="29"/>
      <c r="IE343" s="29"/>
      <c r="IF343" s="29"/>
      <c r="IG343" s="29"/>
      <c r="IH343" s="29"/>
      <c r="II343" s="29"/>
      <c r="IJ343" s="29"/>
      <c r="IK343" s="29"/>
      <c r="IL343" s="29"/>
      <c r="IM343" s="29"/>
      <c r="IN343" s="29"/>
      <c r="IO343" s="29"/>
      <c r="IP343" s="29"/>
      <c r="IQ343" s="29"/>
      <c r="IR343" s="29"/>
      <c r="IS343" s="29"/>
      <c r="IT343" s="29"/>
      <c r="IU343" s="29"/>
      <c r="IV343" s="29"/>
      <c r="IW343" s="29"/>
      <c r="IX343" s="29"/>
      <c r="IY343" s="29"/>
      <c r="IZ343" s="29"/>
      <c r="JA343" s="29"/>
      <c r="JB343" s="29"/>
      <c r="JC343" s="29"/>
      <c r="JD343" s="29"/>
      <c r="JE343" s="29"/>
      <c r="JF343" s="29"/>
      <c r="JG343" s="29"/>
      <c r="JH343" s="29"/>
      <c r="JI343" s="29"/>
      <c r="JJ343" s="29"/>
      <c r="JK343" s="29"/>
      <c r="JL343" s="29"/>
      <c r="JM343" s="29"/>
      <c r="JN343" s="29"/>
      <c r="JO343" s="29"/>
      <c r="JP343" s="29"/>
      <c r="JQ343" s="29"/>
      <c r="JR343" s="29"/>
      <c r="JS343" s="29"/>
      <c r="JT343" s="29"/>
      <c r="JU343" s="29"/>
      <c r="JV343" s="29"/>
      <c r="JW343" s="29"/>
      <c r="JX343" s="29"/>
      <c r="JY343" s="29"/>
      <c r="JZ343" s="29"/>
      <c r="KA343" s="29"/>
      <c r="KB343" s="29"/>
      <c r="KC343" s="29"/>
      <c r="KD343" s="29"/>
      <c r="KE343" s="29"/>
      <c r="KF343" s="29"/>
      <c r="KG343" s="29"/>
      <c r="KH343" s="29"/>
      <c r="KI343" s="29"/>
      <c r="KJ343" s="29"/>
      <c r="KK343" s="29"/>
      <c r="KL343" s="29"/>
      <c r="KM343" s="29"/>
      <c r="KN343" s="29"/>
      <c r="KO343" s="29"/>
      <c r="KP343" s="29"/>
      <c r="KQ343" s="29"/>
      <c r="KR343" s="29"/>
      <c r="KS343" s="29"/>
      <c r="KT343" s="29"/>
      <c r="KU343" s="29"/>
      <c r="KV343" s="29"/>
      <c r="KW343" s="29"/>
      <c r="KX343" s="29"/>
      <c r="KY343" s="29"/>
      <c r="KZ343" s="29"/>
      <c r="LA343" s="29"/>
      <c r="LB343" s="29"/>
      <c r="LC343" s="29"/>
      <c r="LD343" s="29"/>
      <c r="LE343" s="29"/>
      <c r="LF343" s="29"/>
      <c r="LG343" s="29"/>
      <c r="LH343" s="29"/>
      <c r="LI343" s="29"/>
      <c r="LJ343" s="29"/>
      <c r="LK343" s="29"/>
      <c r="LL343" s="29"/>
      <c r="LM343" s="29"/>
      <c r="LN343" s="29"/>
      <c r="LO343" s="29"/>
      <c r="LP343" s="29"/>
      <c r="LQ343" s="29"/>
      <c r="LR343" s="29"/>
      <c r="LS343" s="29"/>
      <c r="LT343" s="29"/>
      <c r="LU343" s="29"/>
      <c r="LV343" s="29"/>
      <c r="LW343" s="29"/>
      <c r="LX343" s="29"/>
      <c r="LY343" s="29"/>
      <c r="LZ343" s="29"/>
      <c r="MA343" s="29"/>
      <c r="MB343" s="29"/>
      <c r="MC343" s="29"/>
      <c r="MD343" s="29"/>
      <c r="ME343" s="29"/>
      <c r="MF343" s="29"/>
      <c r="MG343" s="29"/>
      <c r="MH343" s="29"/>
      <c r="MI343" s="29"/>
      <c r="MJ343" s="29"/>
      <c r="MK343" s="29"/>
      <c r="ML343" s="29"/>
      <c r="MM343" s="29"/>
      <c r="MN343" s="29"/>
      <c r="MO343" s="29"/>
      <c r="MP343" s="29"/>
      <c r="MQ343" s="29"/>
      <c r="MR343" s="29"/>
      <c r="MS343" s="29"/>
      <c r="MT343" s="29"/>
      <c r="MU343" s="29"/>
      <c r="MV343" s="29"/>
      <c r="MW343" s="29"/>
      <c r="MX343" s="29"/>
      <c r="MY343" s="29"/>
      <c r="MZ343" s="29"/>
      <c r="NA343" s="29"/>
      <c r="NB343" s="29"/>
      <c r="NC343" s="29"/>
      <c r="ND343" s="29"/>
      <c r="NE343" s="29"/>
      <c r="NF343" s="29"/>
      <c r="NG343" s="29"/>
      <c r="NH343" s="29"/>
      <c r="NI343" s="29"/>
      <c r="NJ343" s="29"/>
      <c r="NK343" s="29"/>
      <c r="NL343" s="29"/>
      <c r="NM343" s="29"/>
      <c r="NN343" s="29"/>
      <c r="NO343" s="29"/>
      <c r="NP343" s="29"/>
      <c r="NQ343" s="29"/>
      <c r="NR343" s="29"/>
      <c r="NS343" s="29"/>
      <c r="NT343" s="29"/>
      <c r="NU343" s="29"/>
      <c r="NV343" s="29"/>
      <c r="NW343" s="29"/>
      <c r="NX343" s="29"/>
      <c r="NY343" s="29"/>
      <c r="NZ343" s="29"/>
      <c r="OA343" s="29"/>
      <c r="OB343" s="29"/>
      <c r="OC343" s="29"/>
      <c r="OD343" s="29"/>
      <c r="OE343" s="29"/>
      <c r="OF343" s="29"/>
      <c r="OG343" s="29"/>
      <c r="OH343" s="29"/>
      <c r="OI343" s="29"/>
      <c r="OJ343" s="29"/>
      <c r="OK343" s="29"/>
      <c r="OL343" s="29"/>
      <c r="OM343" s="29"/>
      <c r="ON343" s="29"/>
      <c r="OO343" s="29"/>
      <c r="OP343" s="29"/>
      <c r="OQ343" s="29"/>
      <c r="OR343" s="29"/>
      <c r="OS343" s="29"/>
      <c r="OT343" s="29"/>
      <c r="OU343" s="29"/>
      <c r="OV343" s="29"/>
      <c r="OW343" s="29"/>
      <c r="OX343" s="29"/>
      <c r="OY343" s="29"/>
      <c r="OZ343" s="29"/>
      <c r="PA343" s="29"/>
      <c r="PB343" s="29"/>
      <c r="PC343" s="29"/>
      <c r="PD343" s="29"/>
      <c r="PE343" s="29"/>
      <c r="PF343" s="29"/>
      <c r="PG343" s="29"/>
      <c r="PH343" s="29"/>
      <c r="PI343" s="29"/>
      <c r="PJ343" s="29"/>
      <c r="PK343" s="29"/>
      <c r="PL343" s="29"/>
      <c r="PM343" s="29"/>
      <c r="PN343" s="29"/>
      <c r="PO343" s="29"/>
      <c r="PP343" s="29"/>
      <c r="PQ343" s="29"/>
      <c r="PR343" s="29"/>
      <c r="PS343" s="29"/>
      <c r="PT343" s="29"/>
      <c r="PU343" s="29"/>
      <c r="PV343" s="29"/>
      <c r="PW343" s="29"/>
      <c r="PX343" s="29"/>
      <c r="PY343" s="29"/>
      <c r="PZ343" s="29"/>
      <c r="QA343" s="29"/>
      <c r="QB343" s="29"/>
      <c r="QC343" s="29"/>
      <c r="QD343" s="29"/>
      <c r="QE343" s="29"/>
      <c r="QF343" s="29"/>
      <c r="QG343" s="29"/>
      <c r="QH343" s="29"/>
      <c r="QI343" s="29"/>
      <c r="QJ343" s="29"/>
      <c r="QK343" s="29"/>
      <c r="QL343" s="29"/>
      <c r="QM343" s="29"/>
      <c r="QN343" s="29"/>
      <c r="QO343" s="29"/>
      <c r="QP343" s="29"/>
      <c r="QQ343" s="29"/>
      <c r="QR343" s="29"/>
      <c r="QS343" s="29"/>
      <c r="QT343" s="29"/>
      <c r="QU343" s="29"/>
      <c r="QV343" s="29"/>
      <c r="QW343" s="29"/>
      <c r="QX343" s="29"/>
      <c r="QY343" s="29"/>
      <c r="QZ343" s="29"/>
      <c r="RA343" s="29"/>
      <c r="RB343" s="29"/>
      <c r="RC343" s="29"/>
      <c r="RD343" s="29"/>
      <c r="RE343" s="29"/>
      <c r="RF343" s="29"/>
      <c r="RG343" s="29"/>
      <c r="RH343" s="29"/>
      <c r="RI343" s="29"/>
      <c r="RJ343" s="29"/>
      <c r="RK343" s="29"/>
      <c r="RL343" s="29"/>
      <c r="RM343" s="29"/>
      <c r="RN343" s="29"/>
      <c r="RO343" s="29"/>
      <c r="RP343" s="29"/>
      <c r="RQ343" s="29"/>
      <c r="RR343" s="29"/>
      <c r="RS343" s="29"/>
      <c r="RT343" s="29"/>
      <c r="RU343" s="29"/>
      <c r="RV343" s="29"/>
      <c r="RW343" s="29"/>
      <c r="RX343" s="29"/>
      <c r="RY343" s="29"/>
      <c r="RZ343" s="29"/>
      <c r="SA343" s="29"/>
      <c r="SB343" s="29"/>
      <c r="SC343" s="29"/>
      <c r="SD343" s="29"/>
      <c r="SE343" s="29"/>
      <c r="SF343" s="29"/>
      <c r="SG343" s="29"/>
      <c r="SH343" s="29"/>
      <c r="SI343" s="29"/>
      <c r="SJ343" s="29"/>
      <c r="SK343" s="29"/>
      <c r="SL343" s="29"/>
      <c r="SM343" s="29"/>
      <c r="SN343" s="29"/>
      <c r="SO343" s="29"/>
      <c r="SP343" s="29"/>
      <c r="SQ343" s="29"/>
      <c r="SR343" s="29"/>
      <c r="SS343" s="29"/>
      <c r="ST343" s="29"/>
      <c r="SU343" s="29"/>
      <c r="SV343" s="29"/>
      <c r="SW343" s="29"/>
      <c r="SX343" s="29"/>
      <c r="SY343" s="29"/>
      <c r="SZ343" s="29"/>
      <c r="TA343" s="29"/>
      <c r="TB343" s="29"/>
      <c r="TC343" s="29"/>
      <c r="TD343" s="29"/>
      <c r="TE343" s="29"/>
      <c r="TF343" s="29"/>
      <c r="TG343" s="29"/>
      <c r="TH343" s="29"/>
      <c r="TI343" s="29"/>
      <c r="TJ343" s="29"/>
      <c r="TK343" s="29"/>
      <c r="TL343" s="29"/>
      <c r="TM343" s="29"/>
      <c r="TN343" s="29"/>
      <c r="TO343" s="29"/>
      <c r="TP343" s="29"/>
      <c r="TQ343" s="29"/>
      <c r="TR343" s="29"/>
      <c r="TS343" s="29"/>
      <c r="TT343" s="29"/>
      <c r="TU343" s="29"/>
      <c r="TV343" s="29"/>
      <c r="TW343" s="29"/>
      <c r="TX343" s="29"/>
      <c r="TY343" s="29"/>
      <c r="TZ343" s="29"/>
      <c r="UA343" s="29"/>
      <c r="UB343" s="29"/>
      <c r="UC343" s="29"/>
      <c r="UD343" s="29"/>
      <c r="UE343" s="29"/>
      <c r="UF343" s="29"/>
      <c r="UG343" s="29"/>
      <c r="UH343" s="29"/>
      <c r="UI343" s="29"/>
      <c r="UJ343" s="29"/>
      <c r="UK343" s="29"/>
      <c r="UL343" s="29"/>
      <c r="UM343" s="29"/>
      <c r="UN343" s="29"/>
      <c r="UO343" s="29"/>
      <c r="UP343" s="29"/>
      <c r="UQ343" s="29"/>
      <c r="UR343" s="29"/>
      <c r="US343" s="29"/>
      <c r="UT343" s="29"/>
      <c r="UU343" s="29"/>
      <c r="UV343" s="29"/>
      <c r="UW343" s="29"/>
      <c r="UX343" s="29"/>
      <c r="UY343" s="29"/>
      <c r="UZ343" s="29"/>
      <c r="VA343" s="29"/>
      <c r="VB343" s="29"/>
      <c r="VC343" s="29"/>
      <c r="VD343" s="29"/>
      <c r="VE343" s="29"/>
      <c r="VF343" s="29"/>
      <c r="VG343" s="29"/>
      <c r="VH343" s="29"/>
      <c r="VI343" s="29"/>
      <c r="VJ343" s="29"/>
      <c r="VK343" s="29"/>
      <c r="VL343" s="29"/>
      <c r="VM343" s="29"/>
      <c r="VN343" s="29"/>
      <c r="VO343" s="29"/>
      <c r="VP343" s="29"/>
      <c r="VQ343" s="29"/>
      <c r="VR343" s="29"/>
      <c r="VS343" s="29"/>
      <c r="VT343" s="29"/>
      <c r="VU343" s="29"/>
      <c r="VV343" s="29"/>
      <c r="VW343" s="29"/>
      <c r="VX343" s="29"/>
      <c r="VY343" s="29"/>
      <c r="VZ343" s="29"/>
      <c r="WA343" s="29"/>
      <c r="WB343" s="29"/>
      <c r="WC343" s="29"/>
      <c r="WD343" s="29"/>
      <c r="WE343" s="29"/>
      <c r="WF343" s="29"/>
      <c r="WG343" s="29"/>
      <c r="WH343" s="29"/>
      <c r="WI343" s="29"/>
      <c r="WJ343" s="29"/>
      <c r="WK343" s="29"/>
      <c r="WL343" s="29"/>
      <c r="WM343" s="29"/>
      <c r="WN343" s="29"/>
      <c r="WO343" s="29"/>
      <c r="WP343" s="29"/>
      <c r="WQ343" s="29"/>
      <c r="WR343" s="29"/>
      <c r="WS343" s="29"/>
      <c r="WT343" s="29"/>
      <c r="WU343" s="29"/>
      <c r="WV343" s="29"/>
      <c r="WW343" s="29"/>
      <c r="WX343" s="29"/>
      <c r="WY343" s="29"/>
      <c r="WZ343" s="29"/>
      <c r="XA343" s="29"/>
      <c r="XB343" s="29"/>
      <c r="XC343" s="29"/>
      <c r="XD343" s="29"/>
      <c r="XE343" s="29"/>
      <c r="XF343" s="29"/>
      <c r="XG343" s="29"/>
      <c r="XH343" s="29"/>
      <c r="XI343" s="29"/>
      <c r="XJ343" s="29"/>
      <c r="XK343" s="29"/>
      <c r="XL343" s="29"/>
      <c r="XM343" s="29"/>
      <c r="XN343" s="29"/>
      <c r="XO343" s="29"/>
      <c r="XP343" s="29"/>
      <c r="XQ343" s="29"/>
      <c r="XR343" s="29"/>
      <c r="XS343" s="29"/>
      <c r="XT343" s="29"/>
      <c r="XU343" s="29"/>
      <c r="XV343" s="29"/>
      <c r="XW343" s="29"/>
      <c r="XX343" s="29"/>
      <c r="XY343" s="29"/>
      <c r="XZ343" s="29"/>
      <c r="YA343" s="29"/>
      <c r="YB343" s="29"/>
      <c r="YC343" s="29"/>
      <c r="YD343" s="29"/>
      <c r="YE343" s="29"/>
      <c r="YF343" s="29"/>
      <c r="YG343" s="29"/>
      <c r="YH343" s="29"/>
      <c r="YI343" s="29"/>
      <c r="YJ343" s="29"/>
      <c r="YK343" s="29"/>
      <c r="YL343" s="29"/>
      <c r="YM343" s="29"/>
      <c r="YN343" s="29"/>
      <c r="YO343" s="29"/>
      <c r="YP343" s="29"/>
      <c r="YQ343" s="29"/>
      <c r="YR343" s="29"/>
      <c r="YS343" s="29"/>
      <c r="YT343" s="29"/>
      <c r="YU343" s="29"/>
      <c r="YV343" s="29"/>
      <c r="YW343" s="29"/>
      <c r="YX343" s="29"/>
      <c r="YY343" s="29"/>
      <c r="YZ343" s="29"/>
      <c r="ZA343" s="29"/>
      <c r="ZB343" s="29"/>
      <c r="ZC343" s="29"/>
      <c r="ZD343" s="29"/>
      <c r="ZE343" s="29"/>
      <c r="ZF343" s="29"/>
      <c r="ZG343" s="29"/>
      <c r="ZH343" s="29"/>
      <c r="ZI343" s="29"/>
      <c r="ZJ343" s="29"/>
      <c r="ZK343" s="29"/>
      <c r="ZL343" s="29"/>
      <c r="ZM343" s="29"/>
      <c r="ZN343" s="29"/>
      <c r="ZO343" s="29"/>
      <c r="ZP343" s="29"/>
      <c r="ZQ343" s="29"/>
      <c r="ZR343" s="29"/>
      <c r="ZS343" s="29"/>
      <c r="ZT343" s="29"/>
      <c r="ZU343" s="29"/>
      <c r="ZV343" s="29"/>
      <c r="ZW343" s="29"/>
      <c r="ZX343" s="29"/>
      <c r="ZY343" s="29"/>
      <c r="ZZ343" s="29"/>
      <c r="AAA343" s="29"/>
      <c r="AAB343" s="29"/>
      <c r="AAC343" s="29"/>
      <c r="AAD343" s="29"/>
      <c r="AAE343" s="29"/>
      <c r="AAF343" s="29"/>
      <c r="AAG343" s="29"/>
      <c r="AAH343" s="29"/>
      <c r="AAI343" s="29"/>
      <c r="AAJ343" s="29"/>
      <c r="AAK343" s="29"/>
      <c r="AAL343" s="29"/>
      <c r="AAM343" s="29"/>
      <c r="AAN343" s="29"/>
      <c r="AAO343" s="29"/>
      <c r="AAP343" s="29"/>
      <c r="AAQ343" s="29"/>
      <c r="AAR343" s="29"/>
      <c r="AAS343" s="29"/>
      <c r="AAT343" s="29"/>
      <c r="AAU343" s="29"/>
      <c r="AAV343" s="29"/>
      <c r="AAW343" s="29"/>
      <c r="AAX343" s="29"/>
      <c r="AAY343" s="29"/>
      <c r="AAZ343" s="29"/>
      <c r="ABA343" s="29"/>
      <c r="ABB343" s="29"/>
      <c r="ABC343" s="29"/>
      <c r="ABD343" s="29"/>
      <c r="ABE343" s="29"/>
      <c r="ABF343" s="29"/>
      <c r="ABG343" s="29"/>
      <c r="ABH343" s="29"/>
      <c r="ABI343" s="29"/>
      <c r="ABJ343" s="29"/>
      <c r="ABK343" s="29"/>
      <c r="ABL343" s="29"/>
      <c r="ABM343" s="29"/>
      <c r="ABN343" s="29"/>
      <c r="ABO343" s="29"/>
      <c r="ABP343" s="29"/>
      <c r="ABQ343" s="29"/>
      <c r="ABR343" s="29"/>
      <c r="ABS343" s="29"/>
      <c r="ABT343" s="29"/>
      <c r="ABU343" s="29"/>
      <c r="ABV343" s="29"/>
      <c r="ABW343" s="29"/>
      <c r="ABX343" s="29"/>
      <c r="ABY343" s="29"/>
      <c r="ABZ343" s="29"/>
      <c r="ACA343" s="29"/>
      <c r="ACB343" s="29"/>
      <c r="ACC343" s="29"/>
      <c r="ACD343" s="29"/>
      <c r="ACE343" s="29"/>
      <c r="ACF343" s="29"/>
      <c r="ACG343" s="29"/>
      <c r="ACH343" s="29"/>
      <c r="ACI343" s="29"/>
      <c r="ACJ343" s="29"/>
      <c r="ACK343" s="29"/>
      <c r="ACL343" s="29"/>
      <c r="ACM343" s="29"/>
      <c r="ACN343" s="29"/>
      <c r="ACO343" s="29"/>
      <c r="ACP343" s="29"/>
      <c r="ACQ343" s="29"/>
      <c r="ACR343" s="29"/>
      <c r="ACS343" s="29"/>
      <c r="ACT343" s="29"/>
      <c r="ACU343" s="29"/>
      <c r="ACV343" s="29"/>
      <c r="ACW343" s="29"/>
      <c r="ACX343" s="29"/>
      <c r="ACY343" s="29"/>
      <c r="ACZ343" s="29"/>
      <c r="ADA343" s="29"/>
      <c r="ADB343" s="29"/>
      <c r="ADC343" s="29"/>
      <c r="ADD343" s="29"/>
      <c r="ADE343" s="29"/>
      <c r="ADF343" s="29"/>
      <c r="ADG343" s="29"/>
      <c r="ADH343" s="29"/>
      <c r="ADI343" s="29"/>
      <c r="ADJ343" s="29"/>
      <c r="ADK343" s="29"/>
      <c r="ADL343" s="29"/>
      <c r="ADM343" s="29"/>
      <c r="ADN343" s="29"/>
      <c r="ADO343" s="29"/>
      <c r="ADP343" s="29"/>
      <c r="ADQ343" s="29"/>
      <c r="ADR343" s="29"/>
      <c r="ADS343" s="29"/>
      <c r="ADT343" s="29"/>
      <c r="ADU343" s="29"/>
      <c r="ADV343" s="29"/>
      <c r="ADW343" s="29"/>
      <c r="ADX343" s="29"/>
      <c r="ADY343" s="29"/>
      <c r="ADZ343" s="29"/>
      <c r="AEA343" s="29"/>
      <c r="AEB343" s="29"/>
      <c r="AEC343" s="29"/>
      <c r="AED343" s="29"/>
      <c r="AEE343" s="29"/>
      <c r="AEF343" s="29"/>
      <c r="AEG343" s="29"/>
      <c r="AEH343" s="29"/>
      <c r="AEI343" s="29"/>
      <c r="AEJ343" s="29"/>
      <c r="AEK343" s="29"/>
      <c r="AEL343" s="29"/>
      <c r="AEM343" s="29"/>
      <c r="AEN343" s="29"/>
      <c r="AEO343" s="29"/>
      <c r="AEP343" s="29"/>
      <c r="AEQ343" s="29"/>
      <c r="AER343" s="29"/>
      <c r="AES343" s="29"/>
      <c r="AET343" s="29"/>
      <c r="AEU343" s="29"/>
      <c r="AEV343" s="29"/>
      <c r="AEW343" s="29"/>
      <c r="AEX343" s="29"/>
      <c r="AEY343" s="29"/>
      <c r="AEZ343" s="29"/>
      <c r="AFA343" s="29"/>
      <c r="AFB343" s="29"/>
      <c r="AFC343" s="29"/>
      <c r="AFD343" s="29"/>
      <c r="AFE343" s="29"/>
      <c r="AFF343" s="29"/>
      <c r="AFG343" s="29"/>
      <c r="AFH343" s="29"/>
      <c r="AFI343" s="29"/>
      <c r="AFJ343" s="29"/>
      <c r="AFK343" s="29"/>
      <c r="AFL343" s="29"/>
      <c r="AFM343" s="29"/>
      <c r="AFN343" s="29"/>
      <c r="AFO343" s="29"/>
      <c r="AFP343" s="29"/>
      <c r="AFQ343" s="29"/>
      <c r="AFR343" s="29"/>
      <c r="AFS343" s="29"/>
      <c r="AFT343" s="29"/>
      <c r="AFU343" s="29"/>
      <c r="AFV343" s="29"/>
      <c r="AFW343" s="29"/>
      <c r="AFX343" s="29"/>
      <c r="AFY343" s="29"/>
      <c r="AFZ343" s="29"/>
      <c r="AGA343" s="29"/>
      <c r="AGB343" s="29"/>
      <c r="AGC343" s="29"/>
      <c r="AGD343" s="29"/>
      <c r="AGE343" s="29"/>
      <c r="AGF343" s="29"/>
      <c r="AGG343" s="29"/>
      <c r="AGH343" s="29"/>
      <c r="AGI343" s="29"/>
      <c r="AGJ343" s="29"/>
      <c r="AGK343" s="29"/>
      <c r="AGL343" s="29"/>
      <c r="AGM343" s="29"/>
      <c r="AGN343" s="29"/>
      <c r="AGO343" s="29"/>
      <c r="AGP343" s="29"/>
      <c r="AGQ343" s="29"/>
      <c r="AGR343" s="29"/>
      <c r="AGS343" s="29"/>
      <c r="AGT343" s="29"/>
      <c r="AGU343" s="29"/>
      <c r="AGV343" s="29"/>
      <c r="AGW343" s="29"/>
      <c r="AGX343" s="29"/>
      <c r="AGY343" s="29"/>
      <c r="AGZ343" s="29"/>
      <c r="AHA343" s="29"/>
      <c r="AHB343" s="29"/>
      <c r="AHC343" s="29"/>
      <c r="AHD343" s="29"/>
      <c r="AHE343" s="29"/>
      <c r="AHF343" s="29"/>
      <c r="AHG343" s="29"/>
      <c r="AHH343" s="29"/>
      <c r="AHI343" s="29"/>
      <c r="AHJ343" s="29"/>
      <c r="AHK343" s="29"/>
      <c r="AHL343" s="29"/>
      <c r="AHM343" s="29"/>
      <c r="AHN343" s="29"/>
      <c r="AHO343" s="29"/>
      <c r="AHP343" s="29"/>
      <c r="AHQ343" s="29"/>
      <c r="AHR343" s="29"/>
      <c r="AHS343" s="29"/>
      <c r="AHT343" s="29"/>
      <c r="AHU343" s="29"/>
      <c r="AHV343" s="29"/>
      <c r="AHW343" s="29"/>
      <c r="AHX343" s="29"/>
      <c r="AHY343" s="29"/>
      <c r="AHZ343" s="29"/>
      <c r="AIA343" s="29"/>
      <c r="AIB343" s="29"/>
      <c r="AIC343" s="29"/>
      <c r="AID343" s="29"/>
      <c r="AIE343" s="29"/>
      <c r="AIF343" s="29"/>
      <c r="AIG343" s="29"/>
      <c r="AIH343" s="29"/>
      <c r="AII343" s="29"/>
      <c r="AIJ343" s="29"/>
      <c r="AIK343" s="29"/>
      <c r="AIL343" s="29"/>
      <c r="AIM343" s="29"/>
      <c r="AIN343" s="29"/>
      <c r="AIO343" s="29"/>
      <c r="AIP343" s="29"/>
      <c r="AIQ343" s="29"/>
      <c r="AIR343" s="29"/>
      <c r="AIS343" s="29"/>
      <c r="AIT343" s="29"/>
      <c r="AIU343" s="29"/>
      <c r="AIV343" s="29"/>
      <c r="AIW343" s="29"/>
      <c r="AIX343" s="29"/>
      <c r="AIY343" s="29"/>
      <c r="AIZ343" s="29"/>
      <c r="AJA343" s="29"/>
      <c r="AJB343" s="29"/>
      <c r="AJC343" s="29"/>
      <c r="AJD343" s="29"/>
      <c r="AJE343" s="29"/>
      <c r="AJF343" s="29"/>
      <c r="AJG343" s="29"/>
      <c r="AJH343" s="29"/>
      <c r="AJI343" s="29"/>
      <c r="AJJ343" s="29"/>
      <c r="AJK343" s="29"/>
      <c r="AJL343" s="29"/>
      <c r="AJM343" s="29"/>
      <c r="AJN343" s="29"/>
      <c r="AJO343" s="29"/>
      <c r="AJP343" s="29"/>
      <c r="AJQ343" s="29"/>
      <c r="AJR343" s="29"/>
      <c r="AJS343" s="29"/>
      <c r="AJT343" s="29"/>
      <c r="AJU343" s="29"/>
      <c r="AJV343" s="29"/>
      <c r="AJW343" s="29"/>
      <c r="AJX343" s="29"/>
      <c r="AJY343" s="29"/>
      <c r="AJZ343" s="29"/>
      <c r="AKA343" s="29"/>
      <c r="AKB343" s="29"/>
      <c r="AKC343" s="29"/>
      <c r="AKD343" s="29"/>
      <c r="AKE343" s="29"/>
      <c r="AKF343" s="29"/>
      <c r="AKG343" s="29"/>
      <c r="AKH343" s="29"/>
      <c r="AKI343" s="29"/>
      <c r="AKJ343" s="29"/>
      <c r="AKK343" s="29"/>
      <c r="AKL343" s="29"/>
      <c r="AKM343" s="29"/>
      <c r="AKN343" s="29"/>
      <c r="AKO343" s="29"/>
      <c r="AKP343" s="29"/>
      <c r="AKQ343" s="29"/>
      <c r="AKR343" s="29"/>
      <c r="AKS343" s="29"/>
      <c r="AKT343" s="29"/>
      <c r="AKU343" s="29"/>
      <c r="AKV343" s="29"/>
      <c r="AKW343" s="29"/>
      <c r="AKX343" s="29"/>
      <c r="AKY343" s="29"/>
      <c r="AKZ343" s="29"/>
      <c r="ALA343" s="29"/>
      <c r="ALB343" s="29"/>
      <c r="ALC343" s="29"/>
      <c r="ALD343" s="29"/>
      <c r="ALE343" s="29"/>
      <c r="ALF343" s="29"/>
      <c r="ALG343" s="29"/>
      <c r="ALH343" s="29"/>
      <c r="ALI343" s="29"/>
      <c r="ALJ343" s="29"/>
      <c r="ALK343" s="29"/>
      <c r="ALL343" s="29"/>
      <c r="ALM343" s="29"/>
      <c r="ALN343" s="29"/>
      <c r="ALO343" s="29"/>
      <c r="ALP343" s="29"/>
      <c r="ALQ343" s="29"/>
      <c r="ALR343" s="29"/>
      <c r="ALS343" s="29"/>
      <c r="ALT343" s="29"/>
      <c r="ALU343" s="29"/>
      <c r="ALV343" s="29"/>
      <c r="ALW343" s="29"/>
      <c r="ALX343" s="29"/>
      <c r="ALY343" s="29"/>
      <c r="ALZ343" s="29"/>
      <c r="AMA343" s="29"/>
      <c r="AMB343" s="29"/>
      <c r="AMC343" s="29"/>
      <c r="AMD343" s="29"/>
      <c r="AME343" s="29"/>
      <c r="AMF343" s="29"/>
      <c r="AMG343" s="29"/>
      <c r="AMH343" s="29"/>
      <c r="AMI343" s="29"/>
      <c r="AMJ343" s="29"/>
      <c r="AMK343" s="29"/>
      <c r="AML343" s="29"/>
      <c r="AMM343" s="29"/>
      <c r="AMN343" s="29"/>
      <c r="AMO343" s="29"/>
      <c r="AMP343" s="29"/>
      <c r="AMQ343" s="29"/>
      <c r="AMR343" s="29"/>
      <c r="AMS343" s="29"/>
      <c r="AMT343" s="29"/>
      <c r="AMU343" s="29"/>
      <c r="AMV343" s="29"/>
      <c r="AMW343" s="29"/>
      <c r="AMX343" s="29"/>
      <c r="AMY343" s="29"/>
      <c r="AMZ343" s="29"/>
      <c r="ANA343" s="29"/>
      <c r="ANB343" s="29"/>
      <c r="ANC343" s="29"/>
      <c r="AND343" s="29"/>
      <c r="ANE343" s="29"/>
      <c r="ANF343" s="29"/>
      <c r="ANG343" s="29"/>
      <c r="ANH343" s="29"/>
      <c r="ANI343" s="29"/>
      <c r="ANJ343" s="29"/>
      <c r="ANK343" s="29"/>
      <c r="ANL343" s="29"/>
      <c r="ANM343" s="29"/>
      <c r="ANN343" s="29"/>
      <c r="ANO343" s="29"/>
      <c r="ANP343" s="29"/>
      <c r="ANQ343" s="29"/>
      <c r="ANR343" s="29"/>
      <c r="ANS343" s="29"/>
      <c r="ANT343" s="29"/>
      <c r="ANU343" s="29"/>
      <c r="ANV343" s="29"/>
      <c r="ANW343" s="29"/>
      <c r="ANX343" s="29"/>
      <c r="ANY343" s="29"/>
      <c r="ANZ343" s="29"/>
      <c r="AOA343" s="29"/>
      <c r="AOB343" s="29"/>
      <c r="AOC343" s="29"/>
      <c r="AOD343" s="29"/>
      <c r="AOE343" s="29"/>
      <c r="AOF343" s="29"/>
      <c r="AOG343" s="29"/>
      <c r="AOH343" s="29"/>
      <c r="AOI343" s="29"/>
      <c r="AOJ343" s="29"/>
      <c r="AOK343" s="29"/>
      <c r="AOL343" s="29"/>
      <c r="AOM343" s="29"/>
      <c r="AON343" s="29"/>
      <c r="AOO343" s="29"/>
      <c r="AOP343" s="29"/>
      <c r="AOQ343" s="29"/>
      <c r="AOR343" s="29"/>
      <c r="AOS343" s="29"/>
      <c r="AOT343" s="29"/>
      <c r="AOU343" s="29"/>
      <c r="AOV343" s="29"/>
      <c r="AOW343" s="29"/>
      <c r="AOX343" s="29"/>
      <c r="AOY343" s="29"/>
      <c r="AOZ343" s="29"/>
      <c r="APA343" s="29"/>
      <c r="APB343" s="29"/>
      <c r="APC343" s="29"/>
      <c r="APD343" s="29"/>
      <c r="APE343" s="29"/>
      <c r="APF343" s="29"/>
      <c r="APG343" s="29"/>
      <c r="APH343" s="29"/>
      <c r="API343" s="29"/>
      <c r="APJ343" s="29"/>
      <c r="APK343" s="29"/>
      <c r="APL343" s="29"/>
      <c r="APM343" s="29"/>
      <c r="APN343" s="29"/>
      <c r="APO343" s="29"/>
      <c r="APP343" s="29"/>
      <c r="APQ343" s="29"/>
      <c r="APR343" s="29"/>
      <c r="APS343" s="29"/>
      <c r="APT343" s="29"/>
      <c r="APU343" s="29"/>
      <c r="APV343" s="29"/>
      <c r="APW343" s="29"/>
      <c r="APX343" s="29"/>
      <c r="APY343" s="29"/>
      <c r="APZ343" s="29"/>
      <c r="AQA343" s="29"/>
      <c r="AQB343" s="29"/>
      <c r="AQC343" s="29"/>
      <c r="AQD343" s="29"/>
      <c r="AQE343" s="29"/>
      <c r="AQF343" s="29"/>
      <c r="AQG343" s="29"/>
      <c r="AQH343" s="29"/>
      <c r="AQI343" s="29"/>
      <c r="AQJ343" s="29"/>
      <c r="AQK343" s="29"/>
      <c r="AQL343" s="29"/>
      <c r="AQM343" s="29"/>
      <c r="AQN343" s="29"/>
      <c r="AQO343" s="29"/>
      <c r="AQP343" s="29"/>
      <c r="AQQ343" s="29"/>
      <c r="AQR343" s="29"/>
      <c r="AQS343" s="29"/>
      <c r="AQT343" s="29"/>
      <c r="AQU343" s="29"/>
      <c r="AQV343" s="29"/>
      <c r="AQW343" s="29"/>
      <c r="AQX343" s="29"/>
      <c r="AQY343" s="29"/>
      <c r="AQZ343" s="29"/>
      <c r="ARA343" s="29"/>
      <c r="ARB343" s="29"/>
      <c r="ARC343" s="29"/>
      <c r="ARD343" s="29"/>
      <c r="ARE343" s="29"/>
      <c r="ARF343" s="29"/>
      <c r="ARG343" s="29"/>
      <c r="ARH343" s="29"/>
      <c r="ARI343" s="29"/>
      <c r="ARJ343" s="29"/>
      <c r="ARK343" s="29"/>
      <c r="ARL343" s="29"/>
      <c r="ARM343" s="29"/>
      <c r="ARN343" s="29"/>
      <c r="ARO343" s="29"/>
      <c r="ARP343" s="29"/>
      <c r="ARQ343" s="29"/>
      <c r="ARR343" s="29"/>
      <c r="ARS343" s="29"/>
      <c r="ART343" s="29"/>
      <c r="ARU343" s="29"/>
      <c r="ARV343" s="29"/>
      <c r="ARW343" s="29"/>
      <c r="ARX343" s="29"/>
      <c r="ARY343" s="29"/>
      <c r="ARZ343" s="29"/>
      <c r="ASA343" s="29"/>
      <c r="ASB343" s="29"/>
      <c r="ASC343" s="29"/>
      <c r="ASD343" s="29"/>
      <c r="ASE343" s="29"/>
      <c r="ASF343" s="29"/>
      <c r="ASG343" s="29"/>
      <c r="ASH343" s="29"/>
      <c r="ASI343" s="29"/>
      <c r="ASJ343" s="29"/>
      <c r="ASK343" s="29"/>
      <c r="ASL343" s="29"/>
      <c r="ASM343" s="29"/>
      <c r="ASN343" s="29"/>
      <c r="ASO343" s="29"/>
      <c r="ASP343" s="29"/>
      <c r="ASQ343" s="29"/>
      <c r="ASR343" s="29"/>
      <c r="ASS343" s="29"/>
      <c r="AST343" s="29"/>
      <c r="ASU343" s="29"/>
      <c r="ASV343" s="29"/>
      <c r="ASW343" s="29"/>
      <c r="ASX343" s="29"/>
      <c r="ASY343" s="29"/>
      <c r="ASZ343" s="29"/>
      <c r="ATA343" s="29"/>
      <c r="ATB343" s="29"/>
      <c r="ATC343" s="29"/>
      <c r="ATD343" s="29"/>
      <c r="ATE343" s="29"/>
      <c r="ATF343" s="29"/>
      <c r="ATG343" s="29"/>
      <c r="ATH343" s="29"/>
      <c r="ATI343" s="29"/>
      <c r="ATJ343" s="29"/>
      <c r="ATK343" s="29"/>
      <c r="ATL343" s="29"/>
      <c r="ATM343" s="29"/>
      <c r="ATN343" s="29"/>
      <c r="ATO343" s="29"/>
      <c r="ATP343" s="29"/>
      <c r="ATQ343" s="29"/>
      <c r="ATR343" s="29"/>
      <c r="ATS343" s="29"/>
      <c r="ATT343" s="29"/>
      <c r="ATU343" s="29"/>
      <c r="ATV343" s="29"/>
      <c r="ATW343" s="29"/>
      <c r="ATX343" s="29"/>
      <c r="ATY343" s="29"/>
      <c r="ATZ343" s="29"/>
      <c r="AUA343" s="29"/>
      <c r="AUB343" s="29"/>
      <c r="AUC343" s="29"/>
      <c r="AUD343" s="29"/>
      <c r="AUE343" s="29"/>
      <c r="AUF343" s="29"/>
      <c r="AUG343" s="29"/>
      <c r="AUH343" s="29"/>
      <c r="AUI343" s="29"/>
      <c r="AUJ343" s="29"/>
      <c r="AUK343" s="29"/>
      <c r="AUL343" s="29"/>
      <c r="AUM343" s="29"/>
      <c r="AUN343" s="29"/>
      <c r="AUO343" s="29"/>
      <c r="AUP343" s="29"/>
      <c r="AUQ343" s="29"/>
      <c r="AUR343" s="29"/>
      <c r="AUS343" s="29"/>
      <c r="AUT343" s="29"/>
      <c r="AUU343" s="29"/>
      <c r="AUV343" s="29"/>
      <c r="AUW343" s="29"/>
      <c r="AUX343" s="29"/>
      <c r="AUY343" s="29"/>
      <c r="AUZ343" s="29"/>
      <c r="AVA343" s="29"/>
      <c r="AVB343" s="29"/>
      <c r="AVC343" s="29"/>
      <c r="AVD343" s="29"/>
      <c r="AVE343" s="29"/>
      <c r="AVF343" s="29"/>
      <c r="AVG343" s="29"/>
      <c r="AVH343" s="29"/>
      <c r="AVI343" s="29"/>
      <c r="AVJ343" s="29"/>
      <c r="AVK343" s="29"/>
      <c r="AVL343" s="29"/>
      <c r="AVM343" s="29"/>
      <c r="AVN343" s="29"/>
      <c r="AVO343" s="29"/>
      <c r="AVP343" s="29"/>
      <c r="AVQ343" s="29"/>
      <c r="AVR343" s="29"/>
      <c r="AVS343" s="29"/>
      <c r="AVT343" s="29"/>
      <c r="AVU343" s="29"/>
      <c r="AVV343" s="29"/>
      <c r="AVW343" s="29"/>
      <c r="AVX343" s="29"/>
      <c r="AVY343" s="29"/>
      <c r="AVZ343" s="29"/>
      <c r="AWA343" s="29"/>
      <c r="AWB343" s="29"/>
      <c r="AWC343" s="29"/>
      <c r="AWD343" s="29"/>
      <c r="AWE343" s="29"/>
      <c r="AWF343" s="29"/>
      <c r="AWG343" s="29"/>
      <c r="AWH343" s="29"/>
      <c r="AWI343" s="29"/>
      <c r="AWJ343" s="29"/>
      <c r="AWK343" s="29"/>
      <c r="AWL343" s="29"/>
      <c r="AWM343" s="29"/>
      <c r="AWN343" s="29"/>
      <c r="AWO343" s="29"/>
      <c r="AWP343" s="29"/>
      <c r="AWQ343" s="29"/>
      <c r="AWR343" s="29"/>
      <c r="AWS343" s="29"/>
      <c r="AWT343" s="29"/>
      <c r="AWU343" s="29"/>
      <c r="AWV343" s="29"/>
      <c r="AWW343" s="29"/>
      <c r="AWX343" s="29"/>
      <c r="AWY343" s="29"/>
      <c r="AWZ343" s="29"/>
      <c r="AXA343" s="29"/>
      <c r="AXB343" s="29"/>
      <c r="AXC343" s="29"/>
      <c r="AXD343" s="29"/>
      <c r="AXE343" s="29"/>
      <c r="AXF343" s="29"/>
      <c r="AXG343" s="29"/>
      <c r="AXH343" s="29"/>
      <c r="AXI343" s="29"/>
      <c r="AXJ343" s="29"/>
      <c r="AXK343" s="29"/>
      <c r="AXL343" s="29"/>
      <c r="AXM343" s="29"/>
      <c r="AXN343" s="29"/>
      <c r="AXO343" s="29"/>
      <c r="AXP343" s="29"/>
      <c r="AXQ343" s="29"/>
      <c r="AXR343" s="29"/>
      <c r="AXS343" s="29"/>
      <c r="AXT343" s="29"/>
      <c r="AXU343" s="29"/>
      <c r="AXV343" s="29"/>
      <c r="AXW343" s="29"/>
      <c r="AXX343" s="29"/>
      <c r="AXY343" s="29"/>
      <c r="AXZ343" s="29"/>
      <c r="AYA343" s="29"/>
      <c r="AYB343" s="29"/>
      <c r="AYC343" s="29"/>
      <c r="AYD343" s="29"/>
      <c r="AYE343" s="29"/>
      <c r="AYF343" s="29"/>
      <c r="AYG343" s="29"/>
      <c r="AYH343" s="29"/>
      <c r="AYI343" s="29"/>
      <c r="AYJ343" s="29"/>
      <c r="AYK343" s="29"/>
      <c r="AYL343" s="29"/>
      <c r="AYM343" s="29"/>
      <c r="AYN343" s="29"/>
      <c r="AYO343" s="29"/>
      <c r="AYP343" s="29"/>
      <c r="AYQ343" s="29"/>
      <c r="AYR343" s="29"/>
      <c r="AYS343" s="29"/>
      <c r="AYT343" s="29"/>
      <c r="AYU343" s="29"/>
      <c r="AYV343" s="29"/>
      <c r="AYW343" s="29"/>
      <c r="AYX343" s="29"/>
      <c r="AYY343" s="29"/>
      <c r="AYZ343" s="29"/>
      <c r="AZA343" s="29"/>
      <c r="AZB343" s="29"/>
      <c r="AZC343" s="29"/>
      <c r="AZD343" s="29"/>
      <c r="AZE343" s="29"/>
      <c r="AZF343" s="29"/>
      <c r="AZG343" s="29"/>
      <c r="AZH343" s="29"/>
      <c r="AZI343" s="29"/>
      <c r="AZJ343" s="29"/>
      <c r="AZK343" s="29"/>
      <c r="AZL343" s="29"/>
      <c r="AZM343" s="29"/>
      <c r="AZN343" s="29"/>
      <c r="AZO343" s="29"/>
      <c r="AZP343" s="29"/>
      <c r="AZQ343" s="29"/>
      <c r="AZR343" s="29"/>
      <c r="AZS343" s="29"/>
      <c r="AZT343" s="29"/>
      <c r="AZU343" s="29"/>
      <c r="AZV343" s="29"/>
      <c r="AZW343" s="29"/>
      <c r="AZX343" s="29"/>
      <c r="AZY343" s="29"/>
      <c r="AZZ343" s="29"/>
      <c r="BAA343" s="29"/>
      <c r="BAB343" s="29"/>
      <c r="BAC343" s="29"/>
      <c r="BAD343" s="29"/>
      <c r="BAE343" s="29"/>
      <c r="BAF343" s="29"/>
      <c r="BAG343" s="29"/>
      <c r="BAH343" s="29"/>
      <c r="BAI343" s="29"/>
      <c r="BAJ343" s="29"/>
      <c r="BAK343" s="29"/>
      <c r="BAL343" s="29"/>
      <c r="BAM343" s="29"/>
      <c r="BAN343" s="29"/>
      <c r="BAO343" s="29"/>
      <c r="BAP343" s="29"/>
      <c r="BAQ343" s="29"/>
      <c r="BAR343" s="29"/>
      <c r="BAS343" s="29"/>
      <c r="BAT343" s="29"/>
      <c r="BAU343" s="29"/>
      <c r="BAV343" s="29"/>
      <c r="BAW343" s="29"/>
      <c r="BAX343" s="29"/>
      <c r="BAY343" s="29"/>
      <c r="BAZ343" s="29"/>
      <c r="BBA343" s="29"/>
      <c r="BBB343" s="29"/>
      <c r="BBC343" s="29"/>
      <c r="BBD343" s="29"/>
      <c r="BBE343" s="29"/>
      <c r="BBF343" s="29"/>
      <c r="BBG343" s="29"/>
      <c r="BBH343" s="29"/>
      <c r="BBI343" s="29"/>
      <c r="BBJ343" s="29"/>
      <c r="BBK343" s="29"/>
      <c r="BBL343" s="29"/>
      <c r="BBM343" s="29"/>
      <c r="BBN343" s="29"/>
      <c r="BBO343" s="29"/>
      <c r="BBP343" s="29"/>
      <c r="BBQ343" s="29"/>
      <c r="BBR343" s="29"/>
      <c r="BBS343" s="29"/>
      <c r="BBT343" s="29"/>
      <c r="BBU343" s="29"/>
      <c r="BBV343" s="29"/>
      <c r="BBW343" s="29"/>
      <c r="BBX343" s="29"/>
      <c r="BBY343" s="29"/>
      <c r="BBZ343" s="29"/>
      <c r="BCA343" s="29"/>
      <c r="BCB343" s="29"/>
      <c r="BCC343" s="29"/>
      <c r="BCD343" s="29"/>
      <c r="BCE343" s="29"/>
      <c r="BCF343" s="29"/>
      <c r="BCG343" s="29"/>
      <c r="BCH343" s="29"/>
      <c r="BCI343" s="29"/>
      <c r="BCJ343" s="29"/>
      <c r="BCK343" s="29"/>
      <c r="BCL343" s="29"/>
      <c r="BCM343" s="29"/>
      <c r="BCN343" s="29"/>
      <c r="BCO343" s="29"/>
      <c r="BCP343" s="29"/>
      <c r="BCQ343" s="29"/>
      <c r="BCR343" s="29"/>
      <c r="BCS343" s="29"/>
      <c r="BCT343" s="29"/>
      <c r="BCU343" s="29"/>
      <c r="BCV343" s="29"/>
      <c r="BCW343" s="29"/>
      <c r="BCX343" s="29"/>
      <c r="BCY343" s="29"/>
      <c r="BCZ343" s="29"/>
      <c r="BDA343" s="29"/>
      <c r="BDB343" s="29"/>
      <c r="BDC343" s="29"/>
      <c r="BDD343" s="29"/>
      <c r="BDE343" s="29"/>
      <c r="BDF343" s="29"/>
      <c r="BDG343" s="29"/>
      <c r="BDH343" s="29"/>
      <c r="BDI343" s="29"/>
      <c r="BDJ343" s="29"/>
      <c r="BDK343" s="29"/>
      <c r="BDL343" s="29"/>
      <c r="BDM343" s="29"/>
      <c r="BDN343" s="29"/>
      <c r="BDO343" s="29"/>
      <c r="BDP343" s="29"/>
      <c r="BDQ343" s="29"/>
      <c r="BDR343" s="29"/>
      <c r="BDS343" s="29"/>
      <c r="BDT343" s="29"/>
      <c r="BDU343" s="29"/>
      <c r="BDV343" s="29"/>
      <c r="BDW343" s="29"/>
      <c r="BDX343" s="29"/>
      <c r="BDY343" s="29"/>
      <c r="BDZ343" s="29"/>
      <c r="BEA343" s="29"/>
      <c r="BEB343" s="29"/>
      <c r="BEC343" s="29"/>
      <c r="BED343" s="29"/>
      <c r="BEE343" s="29"/>
      <c r="BEF343" s="29"/>
      <c r="BEG343" s="29"/>
      <c r="BEH343" s="29"/>
      <c r="BEI343" s="29"/>
      <c r="BEJ343" s="29"/>
      <c r="BEK343" s="29"/>
      <c r="BEL343" s="29"/>
      <c r="BEM343" s="29"/>
      <c r="BEN343" s="29"/>
      <c r="BEO343" s="29"/>
      <c r="BEP343" s="29"/>
      <c r="BEQ343" s="29"/>
      <c r="BER343" s="29"/>
      <c r="BES343" s="29"/>
      <c r="BET343" s="29"/>
      <c r="BEU343" s="29"/>
      <c r="BEV343" s="29"/>
      <c r="BEW343" s="29"/>
      <c r="BEX343" s="29"/>
      <c r="BEY343" s="29"/>
      <c r="BEZ343" s="29"/>
      <c r="BFA343" s="29"/>
      <c r="BFB343" s="29"/>
      <c r="BFC343" s="29"/>
      <c r="BFD343" s="29"/>
      <c r="BFE343" s="29"/>
      <c r="BFF343" s="29"/>
      <c r="BFG343" s="29"/>
      <c r="BFH343" s="29"/>
      <c r="BFI343" s="29"/>
      <c r="BFJ343" s="29"/>
      <c r="BFK343" s="29"/>
      <c r="BFL343" s="29"/>
      <c r="BFM343" s="29"/>
      <c r="BFN343" s="29"/>
      <c r="BFO343" s="29"/>
      <c r="BFP343" s="29"/>
      <c r="BFQ343" s="29"/>
      <c r="BFR343" s="29"/>
      <c r="BFS343" s="29"/>
      <c r="BFT343" s="29"/>
      <c r="BFU343" s="29"/>
      <c r="BFV343" s="29"/>
      <c r="BFW343" s="29"/>
      <c r="BFX343" s="29"/>
      <c r="BFY343" s="29"/>
      <c r="BFZ343" s="29"/>
      <c r="BGA343" s="29"/>
      <c r="BGB343" s="29"/>
      <c r="BGC343" s="29"/>
      <c r="BGD343" s="29"/>
      <c r="BGE343" s="29"/>
      <c r="BGF343" s="29"/>
      <c r="BGG343" s="29"/>
      <c r="BGH343" s="29"/>
      <c r="BGI343" s="29"/>
      <c r="BGJ343" s="29"/>
      <c r="BGK343" s="29"/>
      <c r="BGL343" s="29"/>
      <c r="BGM343" s="29"/>
      <c r="BGN343" s="29"/>
      <c r="BGO343" s="29"/>
      <c r="BGP343" s="29"/>
      <c r="BGQ343" s="29"/>
      <c r="BGR343" s="29"/>
      <c r="BGS343" s="29"/>
      <c r="BGT343" s="29"/>
      <c r="BGU343" s="29"/>
      <c r="BGV343" s="29"/>
      <c r="BGW343" s="29"/>
      <c r="BGX343" s="29"/>
      <c r="BGY343" s="29"/>
      <c r="BGZ343" s="29"/>
      <c r="BHA343" s="29"/>
      <c r="BHB343" s="29"/>
      <c r="BHC343" s="29"/>
      <c r="BHD343" s="29"/>
      <c r="BHE343" s="29"/>
      <c r="BHF343" s="29"/>
      <c r="BHG343" s="29"/>
      <c r="BHH343" s="29"/>
      <c r="BHI343" s="29"/>
      <c r="BHJ343" s="29"/>
      <c r="BHK343" s="29"/>
      <c r="BHL343" s="29"/>
      <c r="BHM343" s="29"/>
      <c r="BHN343" s="29"/>
      <c r="BHO343" s="29"/>
      <c r="BHP343" s="29"/>
      <c r="BHQ343" s="29"/>
      <c r="BHR343" s="29"/>
      <c r="BHS343" s="29"/>
      <c r="BHT343" s="29"/>
      <c r="BHU343" s="29"/>
      <c r="BHV343" s="29"/>
      <c r="BHW343" s="29"/>
      <c r="BHX343" s="29"/>
      <c r="BHY343" s="29"/>
      <c r="BHZ343" s="29"/>
      <c r="BIA343" s="29"/>
      <c r="BIB343" s="29"/>
      <c r="BIC343" s="29"/>
      <c r="BID343" s="29"/>
      <c r="BIE343" s="29"/>
      <c r="BIF343" s="29"/>
      <c r="BIG343" s="29"/>
      <c r="BIH343" s="29"/>
      <c r="BII343" s="29"/>
      <c r="BIJ343" s="29"/>
      <c r="BIK343" s="29"/>
      <c r="BIL343" s="29"/>
      <c r="BIM343" s="29"/>
      <c r="BIN343" s="29"/>
      <c r="BIO343" s="29"/>
      <c r="BIP343" s="29"/>
      <c r="BIQ343" s="29"/>
      <c r="BIR343" s="29"/>
      <c r="BIS343" s="29"/>
      <c r="BIT343" s="29"/>
      <c r="BIU343" s="29"/>
      <c r="BIV343" s="29"/>
      <c r="BIW343" s="29"/>
      <c r="BIX343" s="29"/>
      <c r="BIY343" s="29"/>
      <c r="BIZ343" s="29"/>
      <c r="BJA343" s="29"/>
      <c r="BJB343" s="29"/>
      <c r="BJC343" s="29"/>
      <c r="BJD343" s="29"/>
      <c r="BJE343" s="29"/>
      <c r="BJF343" s="29"/>
      <c r="BJG343" s="29"/>
      <c r="BJH343" s="29"/>
      <c r="BJI343" s="29"/>
      <c r="BJJ343" s="29"/>
      <c r="BJK343" s="29"/>
      <c r="BJL343" s="29"/>
      <c r="BJM343" s="29"/>
      <c r="BJN343" s="29"/>
      <c r="BJO343" s="29"/>
      <c r="BJP343" s="29"/>
      <c r="BJQ343" s="29"/>
      <c r="BJR343" s="29"/>
      <c r="BJS343" s="29"/>
      <c r="BJT343" s="29"/>
      <c r="BJU343" s="29"/>
      <c r="BJV343" s="29"/>
      <c r="BJW343" s="29"/>
      <c r="BJX343" s="29"/>
      <c r="BJY343" s="29"/>
      <c r="BJZ343" s="29"/>
      <c r="BKA343" s="29"/>
      <c r="BKB343" s="29"/>
      <c r="BKC343" s="29"/>
      <c r="BKD343" s="29"/>
      <c r="BKE343" s="29"/>
      <c r="BKF343" s="29"/>
      <c r="BKG343" s="29"/>
      <c r="BKH343" s="29"/>
      <c r="BKI343" s="29"/>
      <c r="BKJ343" s="29"/>
      <c r="BKK343" s="29"/>
      <c r="BKL343" s="29"/>
      <c r="BKM343" s="29"/>
      <c r="BKN343" s="29"/>
      <c r="BKO343" s="29"/>
      <c r="BKP343" s="29"/>
      <c r="BKQ343" s="29"/>
      <c r="BKR343" s="29"/>
      <c r="BKS343" s="29"/>
      <c r="BKT343" s="29"/>
      <c r="BKU343" s="29"/>
      <c r="BKV343" s="29"/>
      <c r="BKW343" s="29"/>
      <c r="BKX343" s="29"/>
      <c r="BKY343" s="29"/>
      <c r="BKZ343" s="29"/>
      <c r="BLA343" s="29"/>
      <c r="BLB343" s="29"/>
      <c r="BLC343" s="29"/>
      <c r="BLD343" s="29"/>
      <c r="BLE343" s="29"/>
      <c r="BLF343" s="29"/>
      <c r="BLG343" s="29"/>
      <c r="BLH343" s="29"/>
      <c r="BLI343" s="29"/>
      <c r="BLJ343" s="29"/>
      <c r="BLK343" s="29"/>
      <c r="BLL343" s="29"/>
      <c r="BLM343" s="29"/>
      <c r="BLN343" s="29"/>
      <c r="BLO343" s="29"/>
      <c r="BLP343" s="29"/>
      <c r="BLQ343" s="29"/>
      <c r="BLR343" s="29"/>
      <c r="BLS343" s="29"/>
      <c r="BLT343" s="29"/>
      <c r="BLU343" s="29"/>
      <c r="BLV343" s="29"/>
      <c r="BLW343" s="29"/>
      <c r="BLX343" s="29"/>
      <c r="BLY343" s="29"/>
      <c r="BLZ343" s="29"/>
      <c r="BMA343" s="29"/>
      <c r="BMB343" s="29"/>
      <c r="BMC343" s="29"/>
      <c r="BMD343" s="29"/>
      <c r="BME343" s="29"/>
      <c r="BMF343" s="29"/>
      <c r="BMG343" s="29"/>
      <c r="BMH343" s="29"/>
      <c r="BMI343" s="29"/>
      <c r="BMJ343" s="29"/>
      <c r="BMK343" s="29"/>
      <c r="BML343" s="29"/>
      <c r="BMM343" s="29"/>
      <c r="BMN343" s="29"/>
      <c r="BMO343" s="29"/>
      <c r="BMP343" s="29"/>
      <c r="BMQ343" s="29"/>
      <c r="BMR343" s="29"/>
      <c r="BMS343" s="29"/>
      <c r="BMT343" s="29"/>
      <c r="BMU343" s="29"/>
      <c r="BMV343" s="29"/>
      <c r="BMW343" s="29"/>
      <c r="BMX343" s="29"/>
      <c r="BMY343" s="29"/>
      <c r="BMZ343" s="29"/>
      <c r="BNA343" s="29"/>
      <c r="BNB343" s="29"/>
      <c r="BNC343" s="29"/>
      <c r="BND343" s="29"/>
      <c r="BNE343" s="29"/>
      <c r="BNF343" s="29"/>
      <c r="BNG343" s="29"/>
      <c r="BNH343" s="29"/>
      <c r="BNI343" s="29"/>
      <c r="BNJ343" s="29"/>
      <c r="BNK343" s="29"/>
      <c r="BNL343" s="29"/>
      <c r="BNM343" s="29"/>
      <c r="BNN343" s="29"/>
      <c r="BNO343" s="29"/>
      <c r="BNP343" s="29"/>
      <c r="BNQ343" s="29"/>
      <c r="BNR343" s="29"/>
      <c r="BNS343" s="29"/>
      <c r="BNT343" s="29"/>
      <c r="BNU343" s="29"/>
      <c r="BNV343" s="29"/>
      <c r="BNW343" s="29"/>
      <c r="BNX343" s="29"/>
      <c r="BNY343" s="29"/>
      <c r="BNZ343" s="29"/>
      <c r="BOA343" s="29"/>
      <c r="BOB343" s="29"/>
      <c r="BOC343" s="29"/>
      <c r="BOD343" s="29"/>
      <c r="BOE343" s="29"/>
      <c r="BOF343" s="29"/>
      <c r="BOG343" s="29"/>
      <c r="BOH343" s="29"/>
      <c r="BOI343" s="29"/>
      <c r="BOJ343" s="29"/>
      <c r="BOK343" s="29"/>
      <c r="BOL343" s="29"/>
      <c r="BOM343" s="29"/>
      <c r="BON343" s="29"/>
      <c r="BOO343" s="29"/>
      <c r="BOP343" s="29"/>
      <c r="BOQ343" s="29"/>
      <c r="BOR343" s="29"/>
      <c r="BOS343" s="29"/>
      <c r="BOT343" s="29"/>
      <c r="BOU343" s="29"/>
      <c r="BOV343" s="29"/>
      <c r="BOW343" s="29"/>
      <c r="BOX343" s="29"/>
      <c r="BOY343" s="29"/>
      <c r="BOZ343" s="29"/>
      <c r="BPA343" s="29"/>
      <c r="BPB343" s="29"/>
      <c r="BPC343" s="29"/>
      <c r="BPD343" s="29"/>
      <c r="BPE343" s="29"/>
      <c r="BPF343" s="29"/>
      <c r="BPG343" s="29"/>
      <c r="BPH343" s="29"/>
      <c r="BPI343" s="29"/>
      <c r="BPJ343" s="29"/>
      <c r="BPK343" s="29"/>
      <c r="BPL343" s="29"/>
      <c r="BPM343" s="29"/>
      <c r="BPN343" s="29"/>
      <c r="BPO343" s="29"/>
      <c r="BPP343" s="29"/>
      <c r="BPQ343" s="29"/>
      <c r="BPR343" s="29"/>
      <c r="BPS343" s="29"/>
      <c r="BPT343" s="29"/>
      <c r="BPU343" s="29"/>
      <c r="BPV343" s="29"/>
      <c r="BPW343" s="29"/>
      <c r="BPX343" s="29"/>
      <c r="BPY343" s="29"/>
      <c r="BPZ343" s="29"/>
      <c r="BQA343" s="29"/>
      <c r="BQB343" s="29"/>
      <c r="BQC343" s="29"/>
      <c r="BQD343" s="29"/>
      <c r="BQE343" s="29"/>
      <c r="BQF343" s="29"/>
      <c r="BQG343" s="29"/>
      <c r="BQH343" s="29"/>
      <c r="BQI343" s="29"/>
      <c r="BQJ343" s="29"/>
      <c r="BQK343" s="29"/>
      <c r="BQL343" s="29"/>
      <c r="BQM343" s="29"/>
      <c r="BQN343" s="29"/>
      <c r="BQO343" s="29"/>
      <c r="BQP343" s="29"/>
      <c r="BQQ343" s="29"/>
      <c r="BQR343" s="29"/>
      <c r="BQS343" s="29"/>
      <c r="BQT343" s="29"/>
      <c r="BQU343" s="29"/>
      <c r="BQV343" s="29"/>
      <c r="BQW343" s="29"/>
      <c r="BQX343" s="29"/>
      <c r="BQY343" s="29"/>
      <c r="BQZ343" s="29"/>
      <c r="BRA343" s="29"/>
      <c r="BRB343" s="29"/>
      <c r="BRC343" s="29"/>
      <c r="BRD343" s="29"/>
      <c r="BRE343" s="29"/>
      <c r="BRF343" s="29"/>
      <c r="BRG343" s="29"/>
      <c r="BRH343" s="29"/>
      <c r="BRI343" s="29"/>
      <c r="BRJ343" s="29"/>
      <c r="BRK343" s="29"/>
      <c r="BRL343" s="29"/>
      <c r="BRM343" s="29"/>
      <c r="BRN343" s="29"/>
      <c r="BRO343" s="29"/>
      <c r="BRP343" s="29"/>
      <c r="BRQ343" s="29"/>
      <c r="BRR343" s="29"/>
      <c r="BRS343" s="29"/>
      <c r="BRT343" s="29"/>
      <c r="BRU343" s="29"/>
      <c r="BRV343" s="29"/>
      <c r="BRW343" s="29"/>
      <c r="BRX343" s="29"/>
      <c r="BRY343" s="29"/>
      <c r="BRZ343" s="29"/>
      <c r="BSA343" s="29"/>
      <c r="BSB343" s="29"/>
      <c r="BSC343" s="29"/>
      <c r="BSD343" s="29"/>
      <c r="BSE343" s="29"/>
      <c r="BSF343" s="29"/>
      <c r="BSG343" s="29"/>
      <c r="BSH343" s="29"/>
      <c r="BSI343" s="29"/>
      <c r="BSJ343" s="29"/>
      <c r="BSK343" s="29"/>
      <c r="BSL343" s="29"/>
      <c r="BSM343" s="29"/>
      <c r="BSN343" s="29"/>
      <c r="BSO343" s="29"/>
      <c r="BSP343" s="29"/>
      <c r="BSQ343" s="29"/>
      <c r="BSR343" s="29"/>
      <c r="BSS343" s="29"/>
      <c r="BST343" s="29"/>
      <c r="BSU343" s="29"/>
      <c r="BSV343" s="29"/>
      <c r="BSW343" s="29"/>
      <c r="BSX343" s="29"/>
      <c r="BSY343" s="29"/>
      <c r="BSZ343" s="29"/>
      <c r="BTA343" s="29"/>
      <c r="BTB343" s="29"/>
      <c r="BTC343" s="29"/>
      <c r="BTD343" s="29"/>
      <c r="BTE343" s="29"/>
      <c r="BTF343" s="29"/>
      <c r="BTG343" s="29"/>
      <c r="BTH343" s="29"/>
      <c r="BTI343" s="29"/>
      <c r="BTJ343" s="29"/>
      <c r="BTK343" s="29"/>
      <c r="BTL343" s="29"/>
      <c r="BTM343" s="29"/>
      <c r="BTN343" s="29"/>
      <c r="BTO343" s="29"/>
      <c r="BTP343" s="29"/>
      <c r="BTQ343" s="29"/>
      <c r="BTR343" s="29"/>
      <c r="BTS343" s="29"/>
      <c r="BTT343" s="29"/>
      <c r="BTU343" s="29"/>
      <c r="BTV343" s="29"/>
      <c r="BTW343" s="29"/>
      <c r="BTX343" s="29"/>
      <c r="BTY343" s="29"/>
      <c r="BTZ343" s="29"/>
      <c r="BUA343" s="29"/>
      <c r="BUB343" s="29"/>
      <c r="BUC343" s="29"/>
      <c r="BUD343" s="29"/>
      <c r="BUE343" s="29"/>
      <c r="BUF343" s="29"/>
      <c r="BUG343" s="29"/>
      <c r="BUH343" s="29"/>
      <c r="BUI343" s="29"/>
      <c r="BUJ343" s="29"/>
      <c r="BUK343" s="29"/>
      <c r="BUL343" s="29"/>
      <c r="BUM343" s="29"/>
      <c r="BUN343" s="29"/>
      <c r="BUO343" s="29"/>
      <c r="BUP343" s="29"/>
      <c r="BUQ343" s="29"/>
      <c r="BUR343" s="29"/>
      <c r="BUS343" s="29"/>
      <c r="BUT343" s="29"/>
      <c r="BUU343" s="29"/>
      <c r="BUV343" s="29"/>
      <c r="BUW343" s="29"/>
      <c r="BUX343" s="29"/>
      <c r="BUY343" s="29"/>
      <c r="BUZ343" s="29"/>
      <c r="BVA343" s="29"/>
      <c r="BVB343" s="29"/>
      <c r="BVC343" s="29"/>
      <c r="BVD343" s="29"/>
      <c r="BVE343" s="29"/>
      <c r="BVF343" s="29"/>
      <c r="BVG343" s="29"/>
      <c r="BVH343" s="29"/>
      <c r="BVI343" s="29"/>
      <c r="BVJ343" s="29"/>
      <c r="BVK343" s="29"/>
      <c r="BVL343" s="29"/>
      <c r="BVM343" s="29"/>
      <c r="BVN343" s="29"/>
      <c r="BVO343" s="29"/>
      <c r="BVP343" s="29"/>
      <c r="BVQ343" s="29"/>
      <c r="BVR343" s="29"/>
      <c r="BVS343" s="29"/>
      <c r="BVT343" s="29"/>
      <c r="BVU343" s="29"/>
      <c r="BVV343" s="29"/>
      <c r="BVW343" s="29"/>
      <c r="BVX343" s="29"/>
      <c r="BVY343" s="29"/>
      <c r="BVZ343" s="29"/>
      <c r="BWA343" s="29"/>
      <c r="BWB343" s="29"/>
      <c r="BWC343" s="29"/>
      <c r="BWD343" s="29"/>
      <c r="BWE343" s="29"/>
      <c r="BWF343" s="29"/>
      <c r="BWG343" s="29"/>
      <c r="BWH343" s="29"/>
      <c r="BWI343" s="29"/>
      <c r="BWJ343" s="29"/>
      <c r="BWK343" s="29"/>
      <c r="BWL343" s="29"/>
      <c r="BWM343" s="29"/>
      <c r="BWN343" s="29"/>
      <c r="BWO343" s="29"/>
      <c r="BWP343" s="29"/>
      <c r="BWQ343" s="29"/>
      <c r="BWR343" s="29"/>
      <c r="BWS343" s="29"/>
      <c r="BWT343" s="29"/>
      <c r="BWU343" s="29"/>
      <c r="BWV343" s="29"/>
      <c r="BWW343" s="29"/>
      <c r="BWX343" s="29"/>
      <c r="BWY343" s="29"/>
      <c r="BWZ343" s="29"/>
      <c r="BXA343" s="29"/>
      <c r="BXB343" s="29"/>
      <c r="BXC343" s="29"/>
      <c r="BXD343" s="29"/>
      <c r="BXE343" s="29"/>
      <c r="BXF343" s="29"/>
      <c r="BXG343" s="29"/>
      <c r="BXH343" s="29"/>
      <c r="BXI343" s="29"/>
      <c r="BXJ343" s="29"/>
      <c r="BXK343" s="29"/>
      <c r="BXL343" s="29"/>
      <c r="BXM343" s="29"/>
      <c r="BXN343" s="29"/>
      <c r="BXO343" s="29"/>
      <c r="BXP343" s="29"/>
      <c r="BXQ343" s="29"/>
      <c r="BXR343" s="29"/>
      <c r="BXS343" s="29"/>
      <c r="BXT343" s="29"/>
      <c r="BXU343" s="29"/>
      <c r="BXV343" s="29"/>
      <c r="BXW343" s="29"/>
      <c r="BXX343" s="29"/>
      <c r="BXY343" s="29"/>
      <c r="BXZ343" s="29"/>
      <c r="BYA343" s="29"/>
      <c r="BYB343" s="29"/>
      <c r="BYC343" s="29"/>
      <c r="BYD343" s="29"/>
      <c r="BYE343" s="29"/>
      <c r="BYF343" s="29"/>
      <c r="BYG343" s="29"/>
      <c r="BYH343" s="29"/>
      <c r="BYI343" s="29"/>
      <c r="BYJ343" s="29"/>
      <c r="BYK343" s="29"/>
      <c r="BYL343" s="29"/>
      <c r="BYM343" s="29"/>
      <c r="BYN343" s="29"/>
      <c r="BYO343" s="29"/>
      <c r="BYP343" s="29"/>
      <c r="BYQ343" s="29"/>
      <c r="BYR343" s="29"/>
      <c r="BYS343" s="29"/>
      <c r="BYT343" s="29"/>
      <c r="BYU343" s="29"/>
      <c r="BYV343" s="29"/>
      <c r="BYW343" s="29"/>
      <c r="BYX343" s="29"/>
      <c r="BYY343" s="29"/>
      <c r="BYZ343" s="29"/>
      <c r="BZA343" s="29"/>
      <c r="BZB343" s="29"/>
      <c r="BZC343" s="29"/>
      <c r="BZD343" s="29"/>
      <c r="BZE343" s="29"/>
      <c r="BZF343" s="29"/>
      <c r="BZG343" s="29"/>
      <c r="BZH343" s="29"/>
      <c r="BZI343" s="29"/>
      <c r="BZJ343" s="29"/>
      <c r="BZK343" s="29"/>
      <c r="BZL343" s="29"/>
      <c r="BZM343" s="29"/>
      <c r="BZN343" s="29"/>
      <c r="BZO343" s="29"/>
      <c r="BZP343" s="29"/>
      <c r="BZQ343" s="29"/>
      <c r="BZR343" s="29"/>
      <c r="BZS343" s="29"/>
      <c r="BZT343" s="29"/>
      <c r="BZU343" s="29"/>
      <c r="BZV343" s="29"/>
      <c r="BZW343" s="29"/>
      <c r="BZX343" s="29"/>
      <c r="BZY343" s="29"/>
      <c r="BZZ343" s="29"/>
      <c r="CAA343" s="29"/>
      <c r="CAB343" s="29"/>
      <c r="CAC343" s="29"/>
      <c r="CAD343" s="29"/>
      <c r="CAE343" s="29"/>
      <c r="CAF343" s="29"/>
      <c r="CAG343" s="29"/>
      <c r="CAH343" s="29"/>
      <c r="CAI343" s="29"/>
      <c r="CAJ343" s="29"/>
      <c r="CAK343" s="29"/>
      <c r="CAL343" s="29"/>
      <c r="CAM343" s="29"/>
      <c r="CAN343" s="29"/>
      <c r="CAO343" s="29"/>
      <c r="CAP343" s="29"/>
      <c r="CAQ343" s="29"/>
      <c r="CAR343" s="29"/>
      <c r="CAS343" s="29"/>
      <c r="CAT343" s="29"/>
      <c r="CAU343" s="29"/>
      <c r="CAV343" s="29"/>
      <c r="CAW343" s="29"/>
      <c r="CAX343" s="29"/>
      <c r="CAY343" s="29"/>
      <c r="CAZ343" s="29"/>
      <c r="CBA343" s="29"/>
      <c r="CBB343" s="29"/>
      <c r="CBC343" s="29"/>
      <c r="CBD343" s="29"/>
      <c r="CBE343" s="29"/>
      <c r="CBF343" s="29"/>
      <c r="CBG343" s="29"/>
      <c r="CBH343" s="29"/>
      <c r="CBI343" s="29"/>
      <c r="CBJ343" s="29"/>
      <c r="CBK343" s="29"/>
      <c r="CBL343" s="29"/>
      <c r="CBM343" s="29"/>
      <c r="CBN343" s="29"/>
      <c r="CBO343" s="29"/>
      <c r="CBP343" s="29"/>
      <c r="CBQ343" s="29"/>
      <c r="CBR343" s="29"/>
      <c r="CBS343" s="29"/>
      <c r="CBT343" s="29"/>
      <c r="CBU343" s="29"/>
      <c r="CBV343" s="29"/>
      <c r="CBW343" s="29"/>
      <c r="CBX343" s="29"/>
      <c r="CBY343" s="29"/>
      <c r="CBZ343" s="29"/>
      <c r="CCA343" s="29"/>
      <c r="CCB343" s="29"/>
      <c r="CCC343" s="29"/>
      <c r="CCD343" s="29"/>
      <c r="CCE343" s="29"/>
      <c r="CCF343" s="29"/>
      <c r="CCG343" s="29"/>
      <c r="CCH343" s="29"/>
      <c r="CCI343" s="29"/>
      <c r="CCJ343" s="29"/>
      <c r="CCK343" s="29"/>
      <c r="CCL343" s="29"/>
      <c r="CCM343" s="29"/>
      <c r="CCN343" s="29"/>
      <c r="CCO343" s="29"/>
      <c r="CCP343" s="29"/>
      <c r="CCQ343" s="29"/>
      <c r="CCR343" s="29"/>
      <c r="CCS343" s="29"/>
      <c r="CCT343" s="29"/>
      <c r="CCU343" s="29"/>
      <c r="CCV343" s="29"/>
      <c r="CCW343" s="29"/>
      <c r="CCX343" s="29"/>
      <c r="CCY343" s="29"/>
      <c r="CCZ343" s="29"/>
      <c r="CDA343" s="29"/>
      <c r="CDB343" s="29"/>
      <c r="CDC343" s="29"/>
      <c r="CDD343" s="29"/>
      <c r="CDE343" s="29"/>
      <c r="CDF343" s="29"/>
      <c r="CDG343" s="29"/>
      <c r="CDH343" s="29"/>
      <c r="CDI343" s="29"/>
      <c r="CDJ343" s="29"/>
      <c r="CDK343" s="29"/>
      <c r="CDL343" s="29"/>
      <c r="CDM343" s="29"/>
      <c r="CDN343" s="29"/>
      <c r="CDO343" s="29"/>
      <c r="CDP343" s="29"/>
      <c r="CDQ343" s="29"/>
      <c r="CDR343" s="29"/>
      <c r="CDS343" s="29"/>
      <c r="CDT343" s="29"/>
      <c r="CDU343" s="29"/>
      <c r="CDV343" s="29"/>
      <c r="CDW343" s="29"/>
      <c r="CDX343" s="29"/>
      <c r="CDY343" s="29"/>
      <c r="CDZ343" s="29"/>
      <c r="CEA343" s="29"/>
      <c r="CEB343" s="29"/>
      <c r="CEC343" s="29"/>
      <c r="CED343" s="29"/>
      <c r="CEE343" s="29"/>
      <c r="CEF343" s="29"/>
      <c r="CEG343" s="29"/>
      <c r="CEH343" s="29"/>
      <c r="CEI343" s="29"/>
      <c r="CEJ343" s="29"/>
      <c r="CEK343" s="29"/>
      <c r="CEL343" s="29"/>
      <c r="CEM343" s="29"/>
      <c r="CEN343" s="29"/>
      <c r="CEO343" s="29"/>
      <c r="CEP343" s="29"/>
      <c r="CEQ343" s="29"/>
      <c r="CER343" s="29"/>
      <c r="CES343" s="29"/>
      <c r="CET343" s="29"/>
      <c r="CEU343" s="29"/>
      <c r="CEV343" s="29"/>
      <c r="CEW343" s="29"/>
      <c r="CEX343" s="29"/>
      <c r="CEY343" s="29"/>
      <c r="CEZ343" s="29"/>
      <c r="CFA343" s="29"/>
      <c r="CFB343" s="29"/>
      <c r="CFC343" s="29"/>
      <c r="CFD343" s="29"/>
      <c r="CFE343" s="29"/>
      <c r="CFF343" s="29"/>
      <c r="CFG343" s="29"/>
      <c r="CFH343" s="29"/>
      <c r="CFI343" s="29"/>
      <c r="CFJ343" s="29"/>
      <c r="CFK343" s="29"/>
      <c r="CFL343" s="29"/>
      <c r="CFM343" s="29"/>
      <c r="CFN343" s="29"/>
      <c r="CFO343" s="29"/>
      <c r="CFP343" s="29"/>
      <c r="CFQ343" s="29"/>
      <c r="CFR343" s="29"/>
      <c r="CFS343" s="29"/>
      <c r="CFT343" s="29"/>
      <c r="CFU343" s="29"/>
      <c r="CFV343" s="29"/>
      <c r="CFW343" s="29"/>
      <c r="CFX343" s="29"/>
      <c r="CFY343" s="29"/>
      <c r="CFZ343" s="29"/>
      <c r="CGA343" s="29"/>
      <c r="CGB343" s="29"/>
      <c r="CGC343" s="29"/>
      <c r="CGD343" s="29"/>
      <c r="CGE343" s="29"/>
      <c r="CGF343" s="29"/>
      <c r="CGG343" s="29"/>
      <c r="CGH343" s="29"/>
      <c r="CGI343" s="29"/>
      <c r="CGJ343" s="29"/>
      <c r="CGK343" s="29"/>
      <c r="CGL343" s="29"/>
      <c r="CGM343" s="29"/>
      <c r="CGN343" s="29"/>
      <c r="CGO343" s="29"/>
      <c r="CGP343" s="29"/>
      <c r="CGQ343" s="29"/>
      <c r="CGR343" s="29"/>
      <c r="CGS343" s="29"/>
      <c r="CGT343" s="29"/>
      <c r="CGU343" s="29"/>
      <c r="CGV343" s="29"/>
      <c r="CGW343" s="29"/>
      <c r="CGX343" s="29"/>
      <c r="CGY343" s="29"/>
      <c r="CGZ343" s="29"/>
      <c r="CHA343" s="29"/>
      <c r="CHB343" s="29"/>
      <c r="CHC343" s="29"/>
      <c r="CHD343" s="29"/>
      <c r="CHE343" s="29"/>
      <c r="CHF343" s="29"/>
      <c r="CHG343" s="29"/>
      <c r="CHH343" s="29"/>
      <c r="CHI343" s="29"/>
      <c r="CHJ343" s="29"/>
      <c r="CHK343" s="29"/>
      <c r="CHL343" s="29"/>
      <c r="CHM343" s="29"/>
      <c r="CHN343" s="29"/>
      <c r="CHO343" s="29"/>
      <c r="CHP343" s="29"/>
      <c r="CHQ343" s="29"/>
      <c r="CHR343" s="29"/>
      <c r="CHS343" s="29"/>
      <c r="CHT343" s="29"/>
      <c r="CHU343" s="29"/>
      <c r="CHV343" s="29"/>
      <c r="CHW343" s="29"/>
      <c r="CHX343" s="29"/>
      <c r="CHY343" s="29"/>
      <c r="CHZ343" s="29"/>
      <c r="CIA343" s="29"/>
      <c r="CIB343" s="29"/>
      <c r="CIC343" s="29"/>
      <c r="CID343" s="29"/>
      <c r="CIE343" s="29"/>
      <c r="CIF343" s="29"/>
      <c r="CIG343" s="29"/>
      <c r="CIH343" s="29"/>
      <c r="CII343" s="29"/>
      <c r="CIJ343" s="29"/>
      <c r="CIK343" s="29"/>
      <c r="CIL343" s="29"/>
      <c r="CIM343" s="29"/>
      <c r="CIN343" s="29"/>
      <c r="CIO343" s="29"/>
      <c r="CIP343" s="29"/>
      <c r="CIQ343" s="29"/>
      <c r="CIR343" s="29"/>
      <c r="CIS343" s="29"/>
      <c r="CIT343" s="29"/>
      <c r="CIU343" s="29"/>
      <c r="CIV343" s="29"/>
      <c r="CIW343" s="29"/>
      <c r="CIX343" s="29"/>
      <c r="CIY343" s="29"/>
      <c r="CIZ343" s="29"/>
      <c r="CJA343" s="29"/>
      <c r="CJB343" s="29"/>
      <c r="CJC343" s="29"/>
      <c r="CJD343" s="29"/>
      <c r="CJE343" s="29"/>
      <c r="CJF343" s="29"/>
      <c r="CJG343" s="29"/>
      <c r="CJH343" s="29"/>
      <c r="CJI343" s="29"/>
      <c r="CJJ343" s="29"/>
      <c r="CJK343" s="29"/>
      <c r="CJL343" s="29"/>
      <c r="CJM343" s="29"/>
      <c r="CJN343" s="29"/>
      <c r="CJO343" s="29"/>
      <c r="CJP343" s="29"/>
      <c r="CJQ343" s="29"/>
      <c r="CJR343" s="29"/>
      <c r="CJS343" s="29"/>
      <c r="CJT343" s="29"/>
      <c r="CJU343" s="29"/>
      <c r="CJV343" s="29"/>
      <c r="CJW343" s="29"/>
      <c r="CJX343" s="29"/>
      <c r="CJY343" s="29"/>
      <c r="CJZ343" s="29"/>
      <c r="CKA343" s="29"/>
      <c r="CKB343" s="29"/>
      <c r="CKC343" s="29"/>
      <c r="CKD343" s="29"/>
      <c r="CKE343" s="29"/>
      <c r="CKF343" s="29"/>
      <c r="CKG343" s="29"/>
      <c r="CKH343" s="29"/>
      <c r="CKI343" s="29"/>
      <c r="CKJ343" s="29"/>
      <c r="CKK343" s="29"/>
      <c r="CKL343" s="29"/>
      <c r="CKM343" s="29"/>
      <c r="CKN343" s="29"/>
      <c r="CKO343" s="29"/>
      <c r="CKP343" s="29"/>
      <c r="CKQ343" s="29"/>
      <c r="CKR343" s="29"/>
      <c r="CKS343" s="29"/>
      <c r="CKT343" s="29"/>
      <c r="CKU343" s="29"/>
      <c r="CKV343" s="29"/>
      <c r="CKW343" s="29"/>
      <c r="CKX343" s="29"/>
      <c r="CKY343" s="29"/>
      <c r="CKZ343" s="29"/>
      <c r="CLA343" s="29"/>
      <c r="CLB343" s="29"/>
      <c r="CLC343" s="29"/>
      <c r="CLD343" s="29"/>
      <c r="CLE343" s="29"/>
      <c r="CLF343" s="29"/>
      <c r="CLG343" s="29"/>
      <c r="CLH343" s="29"/>
      <c r="CLI343" s="29"/>
      <c r="CLJ343" s="29"/>
      <c r="CLK343" s="29"/>
      <c r="CLL343" s="29"/>
      <c r="CLM343" s="29"/>
      <c r="CLN343" s="29"/>
      <c r="CLO343" s="29"/>
      <c r="CLP343" s="29"/>
      <c r="CLQ343" s="29"/>
      <c r="CLR343" s="29"/>
      <c r="CLS343" s="29"/>
      <c r="CLT343" s="29"/>
      <c r="CLU343" s="29"/>
      <c r="CLV343" s="29"/>
      <c r="CLW343" s="29"/>
      <c r="CLX343" s="29"/>
      <c r="CLY343" s="29"/>
      <c r="CLZ343" s="29"/>
      <c r="CMA343" s="29"/>
      <c r="CMB343" s="29"/>
      <c r="CMC343" s="29"/>
      <c r="CMD343" s="29"/>
      <c r="CME343" s="29"/>
      <c r="CMF343" s="29"/>
      <c r="CMG343" s="29"/>
      <c r="CMH343" s="29"/>
      <c r="CMI343" s="29"/>
      <c r="CMJ343" s="29"/>
      <c r="CMK343" s="29"/>
      <c r="CML343" s="29"/>
      <c r="CMM343" s="29"/>
      <c r="CMN343" s="29"/>
      <c r="CMO343" s="29"/>
      <c r="CMP343" s="29"/>
      <c r="CMQ343" s="29"/>
      <c r="CMR343" s="29"/>
      <c r="CMS343" s="29"/>
      <c r="CMT343" s="29"/>
      <c r="CMU343" s="29"/>
      <c r="CMV343" s="29"/>
      <c r="CMW343" s="29"/>
      <c r="CMX343" s="29"/>
      <c r="CMY343" s="29"/>
      <c r="CMZ343" s="29"/>
      <c r="CNA343" s="29"/>
      <c r="CNB343" s="29"/>
      <c r="CNC343" s="29"/>
      <c r="CND343" s="29"/>
      <c r="CNE343" s="29"/>
      <c r="CNF343" s="29"/>
      <c r="CNG343" s="29"/>
      <c r="CNH343" s="29"/>
      <c r="CNI343" s="29"/>
      <c r="CNJ343" s="29"/>
      <c r="CNK343" s="29"/>
      <c r="CNL343" s="29"/>
      <c r="CNM343" s="29"/>
      <c r="CNN343" s="29"/>
      <c r="CNO343" s="29"/>
      <c r="CNP343" s="29"/>
      <c r="CNQ343" s="29"/>
      <c r="CNR343" s="29"/>
      <c r="CNS343" s="29"/>
      <c r="CNT343" s="29"/>
      <c r="CNU343" s="29"/>
      <c r="CNV343" s="29"/>
      <c r="CNW343" s="29"/>
      <c r="CNX343" s="29"/>
      <c r="CNY343" s="29"/>
      <c r="CNZ343" s="29"/>
      <c r="COA343" s="29"/>
      <c r="COB343" s="29"/>
      <c r="COC343" s="29"/>
      <c r="COD343" s="29"/>
      <c r="COE343" s="29"/>
      <c r="COF343" s="29"/>
      <c r="COG343" s="29"/>
      <c r="COH343" s="29"/>
      <c r="COI343" s="29"/>
      <c r="COJ343" s="29"/>
      <c r="COK343" s="29"/>
      <c r="COL343" s="29"/>
      <c r="COM343" s="29"/>
      <c r="CON343" s="29"/>
      <c r="COO343" s="29"/>
      <c r="COP343" s="29"/>
      <c r="COQ343" s="29"/>
      <c r="COR343" s="29"/>
      <c r="COS343" s="29"/>
      <c r="COT343" s="29"/>
      <c r="COU343" s="29"/>
      <c r="COV343" s="29"/>
      <c r="COW343" s="29"/>
      <c r="COX343" s="29"/>
      <c r="COY343" s="29"/>
      <c r="COZ343" s="29"/>
      <c r="CPA343" s="29"/>
      <c r="CPB343" s="29"/>
      <c r="CPC343" s="29"/>
      <c r="CPD343" s="29"/>
      <c r="CPE343" s="29"/>
      <c r="CPF343" s="29"/>
      <c r="CPG343" s="29"/>
      <c r="CPH343" s="29"/>
      <c r="CPI343" s="29"/>
      <c r="CPJ343" s="29"/>
      <c r="CPK343" s="29"/>
      <c r="CPL343" s="29"/>
      <c r="CPM343" s="29"/>
      <c r="CPN343" s="29"/>
      <c r="CPO343" s="29"/>
      <c r="CPP343" s="29"/>
      <c r="CPQ343" s="29"/>
      <c r="CPR343" s="29"/>
      <c r="CPS343" s="29"/>
      <c r="CPT343" s="29"/>
      <c r="CPU343" s="29"/>
      <c r="CPV343" s="29"/>
      <c r="CPW343" s="29"/>
      <c r="CPX343" s="29"/>
      <c r="CPY343" s="29"/>
      <c r="CPZ343" s="29"/>
      <c r="CQA343" s="29"/>
      <c r="CQB343" s="29"/>
      <c r="CQC343" s="29"/>
      <c r="CQD343" s="29"/>
      <c r="CQE343" s="29"/>
      <c r="CQF343" s="29"/>
      <c r="CQG343" s="29"/>
      <c r="CQH343" s="29"/>
      <c r="CQI343" s="29"/>
      <c r="CQJ343" s="29"/>
      <c r="CQK343" s="29"/>
      <c r="CQL343" s="29"/>
      <c r="CQM343" s="29"/>
      <c r="CQN343" s="29"/>
      <c r="CQO343" s="29"/>
      <c r="CQP343" s="29"/>
      <c r="CQQ343" s="29"/>
      <c r="CQR343" s="29"/>
      <c r="CQS343" s="29"/>
      <c r="CQT343" s="29"/>
      <c r="CQU343" s="29"/>
      <c r="CQV343" s="29"/>
      <c r="CQW343" s="29"/>
      <c r="CQX343" s="29"/>
      <c r="CQY343" s="29"/>
      <c r="CQZ343" s="29"/>
      <c r="CRA343" s="29"/>
      <c r="CRB343" s="29"/>
      <c r="CRC343" s="29"/>
      <c r="CRD343" s="29"/>
      <c r="CRE343" s="29"/>
      <c r="CRF343" s="29"/>
      <c r="CRG343" s="29"/>
      <c r="CRH343" s="29"/>
      <c r="CRI343" s="29"/>
      <c r="CRJ343" s="29"/>
      <c r="CRK343" s="29"/>
      <c r="CRL343" s="29"/>
      <c r="CRM343" s="29"/>
      <c r="CRN343" s="29"/>
      <c r="CRO343" s="29"/>
      <c r="CRP343" s="29"/>
      <c r="CRQ343" s="29"/>
      <c r="CRR343" s="29"/>
      <c r="CRS343" s="29"/>
      <c r="CRT343" s="29"/>
      <c r="CRU343" s="29"/>
      <c r="CRV343" s="29"/>
      <c r="CRW343" s="29"/>
      <c r="CRX343" s="29"/>
      <c r="CRY343" s="29"/>
      <c r="CRZ343" s="29"/>
      <c r="CSA343" s="29"/>
      <c r="CSB343" s="29"/>
      <c r="CSC343" s="29"/>
      <c r="CSD343" s="29"/>
      <c r="CSE343" s="29"/>
      <c r="CSF343" s="29"/>
      <c r="CSG343" s="29"/>
      <c r="CSH343" s="29"/>
      <c r="CSI343" s="29"/>
      <c r="CSJ343" s="29"/>
      <c r="CSK343" s="29"/>
      <c r="CSL343" s="29"/>
      <c r="CSM343" s="29"/>
      <c r="CSN343" s="29"/>
      <c r="CSO343" s="29"/>
      <c r="CSP343" s="29"/>
      <c r="CSQ343" s="29"/>
      <c r="CSR343" s="29"/>
      <c r="CSS343" s="29"/>
      <c r="CST343" s="29"/>
      <c r="CSU343" s="29"/>
      <c r="CSV343" s="29"/>
      <c r="CSW343" s="29"/>
      <c r="CSX343" s="29"/>
      <c r="CSY343" s="29"/>
      <c r="CSZ343" s="29"/>
      <c r="CTA343" s="29"/>
      <c r="CTB343" s="29"/>
      <c r="CTC343" s="29"/>
      <c r="CTD343" s="29"/>
      <c r="CTE343" s="29"/>
      <c r="CTF343" s="29"/>
      <c r="CTG343" s="29"/>
      <c r="CTH343" s="29"/>
      <c r="CTI343" s="29"/>
      <c r="CTJ343" s="29"/>
      <c r="CTK343" s="29"/>
      <c r="CTL343" s="29"/>
      <c r="CTM343" s="29"/>
      <c r="CTN343" s="29"/>
      <c r="CTO343" s="29"/>
      <c r="CTP343" s="29"/>
      <c r="CTQ343" s="29"/>
      <c r="CTR343" s="29"/>
      <c r="CTS343" s="29"/>
      <c r="CTT343" s="29"/>
      <c r="CTU343" s="29"/>
      <c r="CTV343" s="29"/>
      <c r="CTW343" s="29"/>
      <c r="CTX343" s="29"/>
      <c r="CTY343" s="29"/>
      <c r="CTZ343" s="29"/>
      <c r="CUA343" s="29"/>
      <c r="CUB343" s="29"/>
      <c r="CUC343" s="29"/>
      <c r="CUD343" s="29"/>
      <c r="CUE343" s="29"/>
      <c r="CUF343" s="29"/>
      <c r="CUG343" s="29"/>
      <c r="CUH343" s="29"/>
      <c r="CUI343" s="29"/>
      <c r="CUJ343" s="29"/>
      <c r="CUK343" s="29"/>
      <c r="CUL343" s="29"/>
      <c r="CUM343" s="29"/>
      <c r="CUN343" s="29"/>
      <c r="CUO343" s="29"/>
      <c r="CUP343" s="29"/>
      <c r="CUQ343" s="29"/>
      <c r="CUR343" s="29"/>
      <c r="CUS343" s="29"/>
      <c r="CUT343" s="29"/>
      <c r="CUU343" s="29"/>
      <c r="CUV343" s="29"/>
      <c r="CUW343" s="29"/>
      <c r="CUX343" s="29"/>
      <c r="CUY343" s="29"/>
      <c r="CUZ343" s="29"/>
      <c r="CVA343" s="29"/>
      <c r="CVB343" s="29"/>
      <c r="CVC343" s="29"/>
      <c r="CVD343" s="29"/>
      <c r="CVE343" s="29"/>
      <c r="CVF343" s="29"/>
      <c r="CVG343" s="29"/>
      <c r="CVH343" s="29"/>
      <c r="CVI343" s="29"/>
      <c r="CVJ343" s="29"/>
      <c r="CVK343" s="29"/>
      <c r="CVL343" s="29"/>
      <c r="CVM343" s="29"/>
      <c r="CVN343" s="29"/>
      <c r="CVO343" s="29"/>
      <c r="CVP343" s="29"/>
      <c r="CVQ343" s="29"/>
      <c r="CVR343" s="29"/>
      <c r="CVS343" s="29"/>
      <c r="CVT343" s="29"/>
      <c r="CVU343" s="29"/>
      <c r="CVV343" s="29"/>
      <c r="CVW343" s="29"/>
      <c r="CVX343" s="29"/>
      <c r="CVY343" s="29"/>
      <c r="CVZ343" s="29"/>
      <c r="CWA343" s="29"/>
      <c r="CWB343" s="29"/>
      <c r="CWC343" s="29"/>
      <c r="CWD343" s="29"/>
      <c r="CWE343" s="29"/>
      <c r="CWF343" s="29"/>
      <c r="CWG343" s="29"/>
      <c r="CWH343" s="29"/>
      <c r="CWI343" s="29"/>
      <c r="CWJ343" s="29"/>
      <c r="CWK343" s="29"/>
      <c r="CWL343" s="29"/>
      <c r="CWM343" s="29"/>
      <c r="CWN343" s="29"/>
      <c r="CWO343" s="29"/>
      <c r="CWP343" s="29"/>
      <c r="CWQ343" s="29"/>
      <c r="CWR343" s="29"/>
      <c r="CWS343" s="29"/>
      <c r="CWT343" s="29"/>
      <c r="CWU343" s="29"/>
      <c r="CWV343" s="29"/>
      <c r="CWW343" s="29"/>
      <c r="CWX343" s="29"/>
      <c r="CWY343" s="29"/>
      <c r="CWZ343" s="29"/>
      <c r="CXA343" s="29"/>
      <c r="CXB343" s="29"/>
      <c r="CXC343" s="29"/>
      <c r="CXD343" s="29"/>
      <c r="CXE343" s="29"/>
      <c r="CXF343" s="29"/>
      <c r="CXG343" s="29"/>
      <c r="CXH343" s="29"/>
      <c r="CXI343" s="29"/>
      <c r="CXJ343" s="29"/>
      <c r="CXK343" s="29"/>
      <c r="CXL343" s="29"/>
      <c r="CXM343" s="29"/>
      <c r="CXN343" s="29"/>
      <c r="CXO343" s="29"/>
      <c r="CXP343" s="29"/>
      <c r="CXQ343" s="29"/>
      <c r="CXR343" s="29"/>
      <c r="CXS343" s="29"/>
      <c r="CXT343" s="29"/>
      <c r="CXU343" s="29"/>
      <c r="CXV343" s="29"/>
      <c r="CXW343" s="29"/>
      <c r="CXX343" s="29"/>
      <c r="CXY343" s="29"/>
      <c r="CXZ343" s="29"/>
      <c r="CYA343" s="29"/>
      <c r="CYB343" s="29"/>
      <c r="CYC343" s="29"/>
      <c r="CYD343" s="29"/>
      <c r="CYE343" s="29"/>
      <c r="CYF343" s="29"/>
      <c r="CYG343" s="29"/>
      <c r="CYH343" s="29"/>
      <c r="CYI343" s="29"/>
      <c r="CYJ343" s="29"/>
      <c r="CYK343" s="29"/>
      <c r="CYL343" s="29"/>
      <c r="CYM343" s="29"/>
      <c r="CYN343" s="29"/>
      <c r="CYO343" s="29"/>
      <c r="CYP343" s="29"/>
      <c r="CYQ343" s="29"/>
      <c r="CYR343" s="29"/>
      <c r="CYS343" s="29"/>
      <c r="CYT343" s="29"/>
      <c r="CYU343" s="29"/>
      <c r="CYV343" s="29"/>
      <c r="CYW343" s="29"/>
      <c r="CYX343" s="29"/>
      <c r="CYY343" s="29"/>
      <c r="CYZ343" s="29"/>
      <c r="CZA343" s="29"/>
      <c r="CZB343" s="29"/>
      <c r="CZC343" s="29"/>
      <c r="CZD343" s="29"/>
      <c r="CZE343" s="29"/>
      <c r="CZF343" s="29"/>
      <c r="CZG343" s="29"/>
      <c r="CZH343" s="29"/>
      <c r="CZI343" s="29"/>
      <c r="CZJ343" s="29"/>
      <c r="CZK343" s="29"/>
      <c r="CZL343" s="29"/>
      <c r="CZM343" s="29"/>
      <c r="CZN343" s="29"/>
      <c r="CZO343" s="29"/>
      <c r="CZP343" s="29"/>
      <c r="CZQ343" s="29"/>
      <c r="CZR343" s="29"/>
      <c r="CZS343" s="29"/>
      <c r="CZT343" s="29"/>
      <c r="CZU343" s="29"/>
      <c r="CZV343" s="29"/>
      <c r="CZW343" s="29"/>
      <c r="CZX343" s="29"/>
      <c r="CZY343" s="29"/>
      <c r="CZZ343" s="29"/>
      <c r="DAA343" s="29"/>
      <c r="DAB343" s="29"/>
      <c r="DAC343" s="29"/>
      <c r="DAD343" s="29"/>
      <c r="DAE343" s="29"/>
      <c r="DAF343" s="29"/>
      <c r="DAG343" s="29"/>
      <c r="DAH343" s="29"/>
      <c r="DAI343" s="29"/>
      <c r="DAJ343" s="29"/>
      <c r="DAK343" s="29"/>
      <c r="DAL343" s="29"/>
      <c r="DAM343" s="29"/>
      <c r="DAN343" s="29"/>
      <c r="DAO343" s="29"/>
      <c r="DAP343" s="29"/>
      <c r="DAQ343" s="29"/>
      <c r="DAR343" s="29"/>
      <c r="DAS343" s="29"/>
      <c r="DAT343" s="29"/>
      <c r="DAU343" s="29"/>
      <c r="DAV343" s="29"/>
      <c r="DAW343" s="29"/>
      <c r="DAX343" s="29"/>
      <c r="DAY343" s="29"/>
      <c r="DAZ343" s="29"/>
      <c r="DBA343" s="29"/>
      <c r="DBB343" s="29"/>
      <c r="DBC343" s="29"/>
      <c r="DBD343" s="29"/>
      <c r="DBE343" s="29"/>
      <c r="DBF343" s="29"/>
      <c r="DBG343" s="29"/>
      <c r="DBH343" s="29"/>
      <c r="DBI343" s="29"/>
      <c r="DBJ343" s="29"/>
      <c r="DBK343" s="29"/>
      <c r="DBL343" s="29"/>
      <c r="DBM343" s="29"/>
      <c r="DBN343" s="29"/>
      <c r="DBO343" s="29"/>
      <c r="DBP343" s="29"/>
      <c r="DBQ343" s="29"/>
      <c r="DBR343" s="29"/>
      <c r="DBS343" s="29"/>
      <c r="DBT343" s="29"/>
      <c r="DBU343" s="29"/>
      <c r="DBV343" s="29"/>
      <c r="DBW343" s="29"/>
      <c r="DBX343" s="29"/>
      <c r="DBY343" s="29"/>
      <c r="DBZ343" s="29"/>
      <c r="DCA343" s="29"/>
      <c r="DCB343" s="29"/>
      <c r="DCC343" s="29"/>
      <c r="DCD343" s="29"/>
      <c r="DCE343" s="29"/>
      <c r="DCF343" s="29"/>
      <c r="DCG343" s="29"/>
      <c r="DCH343" s="29"/>
      <c r="DCI343" s="29"/>
      <c r="DCJ343" s="29"/>
      <c r="DCK343" s="29"/>
      <c r="DCL343" s="29"/>
      <c r="DCM343" s="29"/>
      <c r="DCN343" s="29"/>
      <c r="DCO343" s="29"/>
      <c r="DCP343" s="29"/>
      <c r="DCQ343" s="29"/>
      <c r="DCR343" s="29"/>
      <c r="DCS343" s="29"/>
      <c r="DCT343" s="29"/>
      <c r="DCU343" s="29"/>
      <c r="DCV343" s="29"/>
      <c r="DCW343" s="29"/>
      <c r="DCX343" s="29"/>
      <c r="DCY343" s="29"/>
      <c r="DCZ343" s="29"/>
      <c r="DDA343" s="29"/>
      <c r="DDB343" s="29"/>
      <c r="DDC343" s="29"/>
      <c r="DDD343" s="29"/>
      <c r="DDE343" s="29"/>
      <c r="DDF343" s="29"/>
      <c r="DDG343" s="29"/>
      <c r="DDH343" s="29"/>
      <c r="DDI343" s="29"/>
      <c r="DDJ343" s="29"/>
      <c r="DDK343" s="29"/>
      <c r="DDL343" s="29"/>
      <c r="DDM343" s="29"/>
      <c r="DDN343" s="29"/>
      <c r="DDO343" s="29"/>
      <c r="DDP343" s="29"/>
      <c r="DDQ343" s="29"/>
      <c r="DDR343" s="29"/>
      <c r="DDS343" s="29"/>
      <c r="DDT343" s="29"/>
      <c r="DDU343" s="29"/>
      <c r="DDV343" s="29"/>
      <c r="DDW343" s="29"/>
      <c r="DDX343" s="29"/>
      <c r="DDY343" s="29"/>
      <c r="DDZ343" s="29"/>
      <c r="DEA343" s="29"/>
      <c r="DEB343" s="29"/>
      <c r="DEC343" s="29"/>
      <c r="DED343" s="29"/>
      <c r="DEE343" s="29"/>
      <c r="DEF343" s="29"/>
      <c r="DEG343" s="29"/>
      <c r="DEH343" s="29"/>
      <c r="DEI343" s="29"/>
      <c r="DEJ343" s="29"/>
      <c r="DEK343" s="29"/>
      <c r="DEL343" s="29"/>
      <c r="DEM343" s="29"/>
      <c r="DEN343" s="29"/>
      <c r="DEO343" s="29"/>
      <c r="DEP343" s="29"/>
      <c r="DEQ343" s="29"/>
      <c r="DER343" s="29"/>
      <c r="DES343" s="29"/>
      <c r="DET343" s="29"/>
      <c r="DEU343" s="29"/>
      <c r="DEV343" s="29"/>
      <c r="DEW343" s="29"/>
      <c r="DEX343" s="29"/>
      <c r="DEY343" s="29"/>
      <c r="DEZ343" s="29"/>
      <c r="DFA343" s="29"/>
      <c r="DFB343" s="29"/>
      <c r="DFC343" s="29"/>
      <c r="DFD343" s="29"/>
      <c r="DFE343" s="29"/>
      <c r="DFF343" s="29"/>
      <c r="DFG343" s="29"/>
      <c r="DFH343" s="29"/>
      <c r="DFI343" s="29"/>
      <c r="DFJ343" s="29"/>
      <c r="DFK343" s="29"/>
      <c r="DFL343" s="29"/>
      <c r="DFM343" s="29"/>
      <c r="DFN343" s="29"/>
      <c r="DFO343" s="29"/>
      <c r="DFP343" s="29"/>
      <c r="DFQ343" s="29"/>
      <c r="DFR343" s="29"/>
      <c r="DFS343" s="29"/>
      <c r="DFT343" s="29"/>
      <c r="DFU343" s="29"/>
      <c r="DFV343" s="29"/>
      <c r="DFW343" s="29"/>
      <c r="DFX343" s="29"/>
      <c r="DFY343" s="29"/>
      <c r="DFZ343" s="29"/>
      <c r="DGA343" s="29"/>
      <c r="DGB343" s="29"/>
      <c r="DGC343" s="29"/>
      <c r="DGD343" s="29"/>
      <c r="DGE343" s="29"/>
      <c r="DGF343" s="29"/>
      <c r="DGG343" s="29"/>
      <c r="DGH343" s="29"/>
      <c r="DGI343" s="29"/>
      <c r="DGJ343" s="29"/>
      <c r="DGK343" s="29"/>
      <c r="DGL343" s="29"/>
      <c r="DGM343" s="29"/>
      <c r="DGN343" s="29"/>
      <c r="DGO343" s="29"/>
      <c r="DGP343" s="29"/>
      <c r="DGQ343" s="29"/>
      <c r="DGR343" s="29"/>
      <c r="DGS343" s="29"/>
      <c r="DGT343" s="29"/>
      <c r="DGU343" s="29"/>
      <c r="DGV343" s="29"/>
      <c r="DGW343" s="29"/>
      <c r="DGX343" s="29"/>
      <c r="DGY343" s="29"/>
      <c r="DGZ343" s="29"/>
      <c r="DHA343" s="29"/>
      <c r="DHB343" s="29"/>
      <c r="DHC343" s="29"/>
      <c r="DHD343" s="29"/>
      <c r="DHE343" s="29"/>
      <c r="DHF343" s="29"/>
      <c r="DHG343" s="29"/>
      <c r="DHH343" s="29"/>
      <c r="DHI343" s="29"/>
      <c r="DHJ343" s="29"/>
      <c r="DHK343" s="29"/>
      <c r="DHL343" s="29"/>
      <c r="DHM343" s="29"/>
      <c r="DHN343" s="29"/>
      <c r="DHO343" s="29"/>
      <c r="DHP343" s="29"/>
      <c r="DHQ343" s="29"/>
      <c r="DHR343" s="29"/>
      <c r="DHS343" s="29"/>
      <c r="DHT343" s="29"/>
      <c r="DHU343" s="29"/>
      <c r="DHV343" s="29"/>
      <c r="DHW343" s="29"/>
      <c r="DHX343" s="29"/>
      <c r="DHY343" s="29"/>
      <c r="DHZ343" s="29"/>
      <c r="DIA343" s="29"/>
      <c r="DIB343" s="29"/>
      <c r="DIC343" s="29"/>
      <c r="DID343" s="29"/>
      <c r="DIE343" s="29"/>
      <c r="DIF343" s="29"/>
      <c r="DIG343" s="29"/>
      <c r="DIH343" s="29"/>
      <c r="DII343" s="29"/>
      <c r="DIJ343" s="29"/>
      <c r="DIK343" s="29"/>
      <c r="DIL343" s="29"/>
      <c r="DIM343" s="29"/>
      <c r="DIN343" s="29"/>
      <c r="DIO343" s="29"/>
      <c r="DIP343" s="29"/>
      <c r="DIQ343" s="29"/>
      <c r="DIR343" s="29"/>
      <c r="DIS343" s="29"/>
      <c r="DIT343" s="29"/>
      <c r="DIU343" s="29"/>
      <c r="DIV343" s="29"/>
      <c r="DIW343" s="29"/>
      <c r="DIX343" s="29"/>
      <c r="DIY343" s="29"/>
      <c r="DIZ343" s="29"/>
      <c r="DJA343" s="29"/>
      <c r="DJB343" s="29"/>
      <c r="DJC343" s="29"/>
      <c r="DJD343" s="29"/>
      <c r="DJE343" s="29"/>
      <c r="DJF343" s="29"/>
      <c r="DJG343" s="29"/>
      <c r="DJH343" s="29"/>
      <c r="DJI343" s="29"/>
      <c r="DJJ343" s="29"/>
      <c r="DJK343" s="29"/>
      <c r="DJL343" s="29"/>
      <c r="DJM343" s="29"/>
      <c r="DJN343" s="29"/>
      <c r="DJO343" s="29"/>
      <c r="DJP343" s="29"/>
      <c r="DJQ343" s="29"/>
      <c r="DJR343" s="29"/>
      <c r="DJS343" s="29"/>
      <c r="DJT343" s="29"/>
      <c r="DJU343" s="29"/>
      <c r="DJV343" s="29"/>
      <c r="DJW343" s="29"/>
      <c r="DJX343" s="29"/>
      <c r="DJY343" s="29"/>
      <c r="DJZ343" s="29"/>
      <c r="DKA343" s="29"/>
      <c r="DKB343" s="29"/>
      <c r="DKC343" s="29"/>
      <c r="DKD343" s="29"/>
      <c r="DKE343" s="29"/>
      <c r="DKF343" s="29"/>
      <c r="DKG343" s="29"/>
      <c r="DKH343" s="29"/>
      <c r="DKI343" s="29"/>
      <c r="DKJ343" s="29"/>
      <c r="DKK343" s="29"/>
      <c r="DKL343" s="29"/>
      <c r="DKM343" s="29"/>
      <c r="DKN343" s="29"/>
      <c r="DKO343" s="29"/>
      <c r="DKP343" s="29"/>
      <c r="DKQ343" s="29"/>
      <c r="DKR343" s="29"/>
      <c r="DKS343" s="29"/>
      <c r="DKT343" s="29"/>
      <c r="DKU343" s="29"/>
      <c r="DKV343" s="29"/>
      <c r="DKW343" s="29"/>
      <c r="DKX343" s="29"/>
      <c r="DKY343" s="29"/>
      <c r="DKZ343" s="29"/>
      <c r="DLA343" s="29"/>
      <c r="DLB343" s="29"/>
      <c r="DLC343" s="29"/>
      <c r="DLD343" s="29"/>
      <c r="DLE343" s="29"/>
      <c r="DLF343" s="29"/>
      <c r="DLG343" s="29"/>
      <c r="DLH343" s="29"/>
      <c r="DLI343" s="29"/>
      <c r="DLJ343" s="29"/>
      <c r="DLK343" s="29"/>
      <c r="DLL343" s="29"/>
      <c r="DLM343" s="29"/>
      <c r="DLN343" s="29"/>
      <c r="DLO343" s="29"/>
      <c r="DLP343" s="29"/>
      <c r="DLQ343" s="29"/>
      <c r="DLR343" s="29"/>
      <c r="DLS343" s="29"/>
      <c r="DLT343" s="29"/>
      <c r="DLU343" s="29"/>
      <c r="DLV343" s="29"/>
      <c r="DLW343" s="29"/>
      <c r="DLX343" s="29"/>
      <c r="DLY343" s="29"/>
      <c r="DLZ343" s="29"/>
      <c r="DMA343" s="29"/>
      <c r="DMB343" s="29"/>
      <c r="DMC343" s="29"/>
      <c r="DMD343" s="29"/>
      <c r="DME343" s="29"/>
      <c r="DMF343" s="29"/>
      <c r="DMG343" s="29"/>
      <c r="DMH343" s="29"/>
      <c r="DMI343" s="29"/>
      <c r="DMJ343" s="29"/>
      <c r="DMK343" s="29"/>
      <c r="DML343" s="29"/>
      <c r="DMM343" s="29"/>
      <c r="DMN343" s="29"/>
      <c r="DMO343" s="29"/>
      <c r="DMP343" s="29"/>
      <c r="DMQ343" s="29"/>
      <c r="DMR343" s="29"/>
      <c r="DMS343" s="29"/>
      <c r="DMT343" s="29"/>
      <c r="DMU343" s="29"/>
      <c r="DMV343" s="29"/>
      <c r="DMW343" s="29"/>
      <c r="DMX343" s="29"/>
      <c r="DMY343" s="29"/>
      <c r="DMZ343" s="29"/>
      <c r="DNA343" s="29"/>
      <c r="DNB343" s="29"/>
      <c r="DNC343" s="29"/>
      <c r="DND343" s="29"/>
      <c r="DNE343" s="29"/>
      <c r="DNF343" s="29"/>
      <c r="DNG343" s="29"/>
      <c r="DNH343" s="29"/>
      <c r="DNI343" s="29"/>
      <c r="DNJ343" s="29"/>
      <c r="DNK343" s="29"/>
      <c r="DNL343" s="29"/>
      <c r="DNM343" s="29"/>
      <c r="DNN343" s="29"/>
      <c r="DNO343" s="29"/>
      <c r="DNP343" s="29"/>
      <c r="DNQ343" s="29"/>
      <c r="DNR343" s="29"/>
      <c r="DNS343" s="29"/>
      <c r="DNT343" s="29"/>
      <c r="DNU343" s="29"/>
      <c r="DNV343" s="29"/>
      <c r="DNW343" s="29"/>
      <c r="DNX343" s="29"/>
      <c r="DNY343" s="29"/>
      <c r="DNZ343" s="29"/>
      <c r="DOA343" s="29"/>
      <c r="DOB343" s="29"/>
      <c r="DOC343" s="29"/>
      <c r="DOD343" s="29"/>
      <c r="DOE343" s="29"/>
      <c r="DOF343" s="29"/>
      <c r="DOG343" s="29"/>
      <c r="DOH343" s="29"/>
      <c r="DOI343" s="29"/>
      <c r="DOJ343" s="29"/>
      <c r="DOK343" s="29"/>
      <c r="DOL343" s="29"/>
      <c r="DOM343" s="29"/>
      <c r="DON343" s="29"/>
      <c r="DOO343" s="29"/>
      <c r="DOP343" s="29"/>
      <c r="DOQ343" s="29"/>
      <c r="DOR343" s="29"/>
      <c r="DOS343" s="29"/>
      <c r="DOT343" s="29"/>
      <c r="DOU343" s="29"/>
      <c r="DOV343" s="29"/>
      <c r="DOW343" s="29"/>
      <c r="DOX343" s="29"/>
      <c r="DOY343" s="29"/>
      <c r="DOZ343" s="29"/>
      <c r="DPA343" s="29"/>
      <c r="DPB343" s="29"/>
      <c r="DPC343" s="29"/>
      <c r="DPD343" s="29"/>
      <c r="DPE343" s="29"/>
      <c r="DPF343" s="29"/>
      <c r="DPG343" s="29"/>
      <c r="DPH343" s="29"/>
      <c r="DPI343" s="29"/>
      <c r="DPJ343" s="29"/>
      <c r="DPK343" s="29"/>
      <c r="DPL343" s="29"/>
      <c r="DPM343" s="29"/>
      <c r="DPN343" s="29"/>
      <c r="DPO343" s="29"/>
      <c r="DPP343" s="29"/>
      <c r="DPQ343" s="29"/>
      <c r="DPR343" s="29"/>
      <c r="DPS343" s="29"/>
      <c r="DPT343" s="29"/>
      <c r="DPU343" s="29"/>
      <c r="DPV343" s="29"/>
      <c r="DPW343" s="29"/>
      <c r="DPX343" s="29"/>
      <c r="DPY343" s="29"/>
      <c r="DPZ343" s="29"/>
      <c r="DQA343" s="29"/>
      <c r="DQB343" s="29"/>
      <c r="DQC343" s="29"/>
      <c r="DQD343" s="29"/>
      <c r="DQE343" s="29"/>
      <c r="DQF343" s="29"/>
      <c r="DQG343" s="29"/>
      <c r="DQH343" s="29"/>
      <c r="DQI343" s="29"/>
      <c r="DQJ343" s="29"/>
      <c r="DQK343" s="29"/>
      <c r="DQL343" s="29"/>
      <c r="DQM343" s="29"/>
      <c r="DQN343" s="29"/>
      <c r="DQO343" s="29"/>
      <c r="DQP343" s="29"/>
      <c r="DQQ343" s="29"/>
      <c r="DQR343" s="29"/>
      <c r="DQS343" s="29"/>
      <c r="DQT343" s="29"/>
      <c r="DQU343" s="29"/>
      <c r="DQV343" s="29"/>
      <c r="DQW343" s="29"/>
      <c r="DQX343" s="29"/>
      <c r="DQY343" s="29"/>
      <c r="DQZ343" s="29"/>
      <c r="DRA343" s="29"/>
      <c r="DRB343" s="29"/>
      <c r="DRC343" s="29"/>
      <c r="DRD343" s="29"/>
      <c r="DRE343" s="29"/>
      <c r="DRF343" s="29"/>
      <c r="DRG343" s="29"/>
      <c r="DRH343" s="29"/>
      <c r="DRI343" s="29"/>
      <c r="DRJ343" s="29"/>
      <c r="DRK343" s="29"/>
      <c r="DRL343" s="29"/>
      <c r="DRM343" s="29"/>
      <c r="DRN343" s="29"/>
      <c r="DRO343" s="29"/>
      <c r="DRP343" s="29"/>
      <c r="DRQ343" s="29"/>
      <c r="DRR343" s="29"/>
      <c r="DRS343" s="29"/>
      <c r="DRT343" s="29"/>
      <c r="DRU343" s="29"/>
      <c r="DRV343" s="29"/>
      <c r="DRW343" s="29"/>
      <c r="DRX343" s="29"/>
      <c r="DRY343" s="29"/>
      <c r="DRZ343" s="29"/>
      <c r="DSA343" s="29"/>
      <c r="DSB343" s="29"/>
      <c r="DSC343" s="29"/>
      <c r="DSD343" s="29"/>
      <c r="DSE343" s="29"/>
      <c r="DSF343" s="29"/>
      <c r="DSG343" s="29"/>
      <c r="DSH343" s="29"/>
      <c r="DSI343" s="29"/>
      <c r="DSJ343" s="29"/>
      <c r="DSK343" s="29"/>
      <c r="DSL343" s="29"/>
      <c r="DSM343" s="29"/>
      <c r="DSN343" s="29"/>
      <c r="DSO343" s="29"/>
      <c r="DSP343" s="29"/>
      <c r="DSQ343" s="29"/>
      <c r="DSR343" s="29"/>
      <c r="DSS343" s="29"/>
      <c r="DST343" s="29"/>
      <c r="DSU343" s="29"/>
      <c r="DSV343" s="29"/>
      <c r="DSW343" s="29"/>
      <c r="DSX343" s="29"/>
      <c r="DSY343" s="29"/>
      <c r="DSZ343" s="29"/>
      <c r="DTA343" s="29"/>
      <c r="DTB343" s="29"/>
      <c r="DTC343" s="29"/>
      <c r="DTD343" s="29"/>
      <c r="DTE343" s="29"/>
      <c r="DTF343" s="29"/>
      <c r="DTG343" s="29"/>
      <c r="DTH343" s="29"/>
      <c r="DTI343" s="29"/>
      <c r="DTJ343" s="29"/>
      <c r="DTK343" s="29"/>
      <c r="DTL343" s="29"/>
      <c r="DTM343" s="29"/>
      <c r="DTN343" s="29"/>
      <c r="DTO343" s="29"/>
      <c r="DTP343" s="29"/>
      <c r="DTQ343" s="29"/>
      <c r="DTR343" s="29"/>
      <c r="DTS343" s="29"/>
      <c r="DTT343" s="29"/>
      <c r="DTU343" s="29"/>
      <c r="DTV343" s="29"/>
      <c r="DTW343" s="29"/>
      <c r="DTX343" s="29"/>
      <c r="DTY343" s="29"/>
      <c r="DTZ343" s="29"/>
      <c r="DUA343" s="29"/>
      <c r="DUB343" s="29"/>
      <c r="DUC343" s="29"/>
      <c r="DUD343" s="29"/>
      <c r="DUE343" s="29"/>
      <c r="DUF343" s="29"/>
      <c r="DUG343" s="29"/>
      <c r="DUH343" s="29"/>
      <c r="DUI343" s="29"/>
      <c r="DUJ343" s="29"/>
      <c r="DUK343" s="29"/>
      <c r="DUL343" s="29"/>
      <c r="DUM343" s="29"/>
      <c r="DUN343" s="29"/>
      <c r="DUO343" s="29"/>
      <c r="DUP343" s="29"/>
      <c r="DUQ343" s="29"/>
      <c r="DUR343" s="29"/>
      <c r="DUS343" s="29"/>
      <c r="DUT343" s="29"/>
      <c r="DUU343" s="29"/>
      <c r="DUV343" s="29"/>
      <c r="DUW343" s="29"/>
      <c r="DUX343" s="29"/>
      <c r="DUY343" s="29"/>
      <c r="DUZ343" s="29"/>
      <c r="DVA343" s="29"/>
      <c r="DVB343" s="29"/>
      <c r="DVC343" s="29"/>
      <c r="DVD343" s="29"/>
      <c r="DVE343" s="29"/>
      <c r="DVF343" s="29"/>
      <c r="DVG343" s="29"/>
      <c r="DVH343" s="29"/>
      <c r="DVI343" s="29"/>
      <c r="DVJ343" s="29"/>
      <c r="DVK343" s="29"/>
      <c r="DVL343" s="29"/>
      <c r="DVM343" s="29"/>
      <c r="DVN343" s="29"/>
      <c r="DVO343" s="29"/>
      <c r="DVP343" s="29"/>
      <c r="DVQ343" s="29"/>
      <c r="DVR343" s="29"/>
      <c r="DVS343" s="29"/>
      <c r="DVT343" s="29"/>
      <c r="DVU343" s="29"/>
      <c r="DVV343" s="29"/>
      <c r="DVW343" s="29"/>
      <c r="DVX343" s="29"/>
      <c r="DVY343" s="29"/>
      <c r="DVZ343" s="29"/>
      <c r="DWA343" s="29"/>
      <c r="DWB343" s="29"/>
      <c r="DWC343" s="29"/>
      <c r="DWD343" s="29"/>
      <c r="DWE343" s="29"/>
      <c r="DWF343" s="29"/>
      <c r="DWG343" s="29"/>
      <c r="DWH343" s="29"/>
      <c r="DWI343" s="29"/>
      <c r="DWJ343" s="29"/>
      <c r="DWK343" s="29"/>
      <c r="DWL343" s="29"/>
      <c r="DWM343" s="29"/>
      <c r="DWN343" s="29"/>
      <c r="DWO343" s="29"/>
      <c r="DWP343" s="29"/>
      <c r="DWQ343" s="29"/>
      <c r="DWR343" s="29"/>
      <c r="DWS343" s="29"/>
      <c r="DWT343" s="29"/>
      <c r="DWU343" s="29"/>
      <c r="DWV343" s="29"/>
      <c r="DWW343" s="29"/>
      <c r="DWX343" s="29"/>
      <c r="DWY343" s="29"/>
      <c r="DWZ343" s="29"/>
      <c r="DXA343" s="29"/>
      <c r="DXB343" s="29"/>
      <c r="DXC343" s="29"/>
      <c r="DXD343" s="29"/>
      <c r="DXE343" s="29"/>
      <c r="DXF343" s="29"/>
      <c r="DXG343" s="29"/>
      <c r="DXH343" s="29"/>
      <c r="DXI343" s="29"/>
      <c r="DXJ343" s="29"/>
      <c r="DXK343" s="29"/>
      <c r="DXL343" s="29"/>
      <c r="DXM343" s="29"/>
      <c r="DXN343" s="29"/>
      <c r="DXO343" s="29"/>
      <c r="DXP343" s="29"/>
      <c r="DXQ343" s="29"/>
      <c r="DXR343" s="29"/>
      <c r="DXS343" s="29"/>
      <c r="DXT343" s="29"/>
      <c r="DXU343" s="29"/>
      <c r="DXV343" s="29"/>
      <c r="DXW343" s="29"/>
      <c r="DXX343" s="29"/>
      <c r="DXY343" s="29"/>
      <c r="DXZ343" s="29"/>
      <c r="DYA343" s="29"/>
      <c r="DYB343" s="29"/>
      <c r="DYC343" s="29"/>
      <c r="DYD343" s="29"/>
      <c r="DYE343" s="29"/>
      <c r="DYF343" s="29"/>
      <c r="DYG343" s="29"/>
      <c r="DYH343" s="29"/>
      <c r="DYI343" s="29"/>
      <c r="DYJ343" s="29"/>
      <c r="DYK343" s="29"/>
      <c r="DYL343" s="29"/>
      <c r="DYM343" s="29"/>
      <c r="DYN343" s="29"/>
      <c r="DYO343" s="29"/>
      <c r="DYP343" s="29"/>
      <c r="DYQ343" s="29"/>
      <c r="DYR343" s="29"/>
      <c r="DYS343" s="29"/>
      <c r="DYT343" s="29"/>
      <c r="DYU343" s="29"/>
      <c r="DYV343" s="29"/>
      <c r="DYW343" s="29"/>
      <c r="DYX343" s="29"/>
      <c r="DYY343" s="29"/>
      <c r="DYZ343" s="29"/>
      <c r="DZA343" s="29"/>
      <c r="DZB343" s="29"/>
      <c r="DZC343" s="29"/>
      <c r="DZD343" s="29"/>
      <c r="DZE343" s="29"/>
      <c r="DZF343" s="29"/>
      <c r="DZG343" s="29"/>
      <c r="DZH343" s="29"/>
      <c r="DZI343" s="29"/>
      <c r="DZJ343" s="29"/>
      <c r="DZK343" s="29"/>
      <c r="DZL343" s="29"/>
      <c r="DZM343" s="29"/>
      <c r="DZN343" s="29"/>
      <c r="DZO343" s="29"/>
      <c r="DZP343" s="29"/>
      <c r="DZQ343" s="29"/>
      <c r="DZR343" s="29"/>
      <c r="DZS343" s="29"/>
      <c r="DZT343" s="29"/>
      <c r="DZU343" s="29"/>
      <c r="DZV343" s="29"/>
      <c r="DZW343" s="29"/>
      <c r="DZX343" s="29"/>
      <c r="DZY343" s="29"/>
      <c r="DZZ343" s="29"/>
      <c r="EAA343" s="29"/>
      <c r="EAB343" s="29"/>
      <c r="EAC343" s="29"/>
      <c r="EAD343" s="29"/>
      <c r="EAE343" s="29"/>
      <c r="EAF343" s="29"/>
      <c r="EAG343" s="29"/>
      <c r="EAH343" s="29"/>
      <c r="EAI343" s="29"/>
      <c r="EAJ343" s="29"/>
      <c r="EAK343" s="29"/>
      <c r="EAL343" s="29"/>
      <c r="EAM343" s="29"/>
      <c r="EAN343" s="29"/>
      <c r="EAO343" s="29"/>
      <c r="EAP343" s="29"/>
      <c r="EAQ343" s="29"/>
      <c r="EAR343" s="29"/>
      <c r="EAS343" s="29"/>
      <c r="EAT343" s="29"/>
      <c r="EAU343" s="29"/>
      <c r="EAV343" s="29"/>
      <c r="EAW343" s="29"/>
      <c r="EAX343" s="29"/>
      <c r="EAY343" s="29"/>
      <c r="EAZ343" s="29"/>
      <c r="EBA343" s="29"/>
      <c r="EBB343" s="29"/>
      <c r="EBC343" s="29"/>
      <c r="EBD343" s="29"/>
      <c r="EBE343" s="29"/>
      <c r="EBF343" s="29"/>
      <c r="EBG343" s="29"/>
      <c r="EBH343" s="29"/>
      <c r="EBI343" s="29"/>
      <c r="EBJ343" s="29"/>
      <c r="EBK343" s="29"/>
      <c r="EBL343" s="29"/>
      <c r="EBM343" s="29"/>
      <c r="EBN343" s="29"/>
      <c r="EBO343" s="29"/>
      <c r="EBP343" s="29"/>
      <c r="EBQ343" s="29"/>
      <c r="EBR343" s="29"/>
      <c r="EBS343" s="29"/>
      <c r="EBT343" s="29"/>
      <c r="EBU343" s="29"/>
      <c r="EBV343" s="29"/>
      <c r="EBW343" s="29"/>
      <c r="EBX343" s="29"/>
      <c r="EBY343" s="29"/>
      <c r="EBZ343" s="29"/>
      <c r="ECA343" s="29"/>
      <c r="ECB343" s="29"/>
      <c r="ECC343" s="29"/>
      <c r="ECD343" s="29"/>
      <c r="ECE343" s="29"/>
      <c r="ECF343" s="29"/>
      <c r="ECG343" s="29"/>
      <c r="ECH343" s="29"/>
      <c r="ECI343" s="29"/>
      <c r="ECJ343" s="29"/>
      <c r="ECK343" s="29"/>
      <c r="ECL343" s="29"/>
      <c r="ECM343" s="29"/>
      <c r="ECN343" s="29"/>
      <c r="ECO343" s="29"/>
      <c r="ECP343" s="29"/>
      <c r="ECQ343" s="29"/>
      <c r="ECR343" s="29"/>
      <c r="ECS343" s="29"/>
      <c r="ECT343" s="29"/>
      <c r="ECU343" s="29"/>
      <c r="ECV343" s="29"/>
      <c r="ECW343" s="29"/>
      <c r="ECX343" s="29"/>
      <c r="ECY343" s="29"/>
      <c r="ECZ343" s="29"/>
      <c r="EDA343" s="29"/>
      <c r="EDB343" s="29"/>
      <c r="EDC343" s="29"/>
      <c r="EDD343" s="29"/>
      <c r="EDE343" s="29"/>
      <c r="EDF343" s="29"/>
      <c r="EDG343" s="29"/>
      <c r="EDH343" s="29"/>
      <c r="EDI343" s="29"/>
      <c r="EDJ343" s="29"/>
      <c r="EDK343" s="29"/>
      <c r="EDL343" s="29"/>
      <c r="EDM343" s="29"/>
      <c r="EDN343" s="29"/>
      <c r="EDO343" s="29"/>
      <c r="EDP343" s="29"/>
      <c r="EDQ343" s="29"/>
      <c r="EDR343" s="29"/>
      <c r="EDS343" s="29"/>
      <c r="EDT343" s="29"/>
      <c r="EDU343" s="29"/>
      <c r="EDV343" s="29"/>
      <c r="EDW343" s="29"/>
      <c r="EDX343" s="29"/>
      <c r="EDY343" s="29"/>
      <c r="EDZ343" s="29"/>
      <c r="EEA343" s="29"/>
      <c r="EEB343" s="29"/>
      <c r="EEC343" s="29"/>
      <c r="EED343" s="29"/>
      <c r="EEE343" s="29"/>
      <c r="EEF343" s="29"/>
      <c r="EEG343" s="29"/>
      <c r="EEH343" s="29"/>
      <c r="EEI343" s="29"/>
      <c r="EEJ343" s="29"/>
      <c r="EEK343" s="29"/>
      <c r="EEL343" s="29"/>
      <c r="EEM343" s="29"/>
      <c r="EEN343" s="29"/>
      <c r="EEO343" s="29"/>
      <c r="EEP343" s="29"/>
      <c r="EEQ343" s="29"/>
      <c r="EER343" s="29"/>
      <c r="EES343" s="29"/>
      <c r="EET343" s="29"/>
      <c r="EEU343" s="29"/>
      <c r="EEV343" s="29"/>
      <c r="EEW343" s="29"/>
      <c r="EEX343" s="29"/>
      <c r="EEY343" s="29"/>
      <c r="EEZ343" s="29"/>
      <c r="EFA343" s="29"/>
      <c r="EFB343" s="29"/>
      <c r="EFC343" s="29"/>
      <c r="EFD343" s="29"/>
      <c r="EFE343" s="29"/>
      <c r="EFF343" s="29"/>
      <c r="EFG343" s="29"/>
      <c r="EFH343" s="29"/>
      <c r="EFI343" s="29"/>
      <c r="EFJ343" s="29"/>
      <c r="EFK343" s="29"/>
      <c r="EFL343" s="29"/>
      <c r="EFM343" s="29"/>
      <c r="EFN343" s="29"/>
      <c r="EFO343" s="29"/>
      <c r="EFP343" s="29"/>
      <c r="EFQ343" s="29"/>
      <c r="EFR343" s="29"/>
      <c r="EFS343" s="29"/>
      <c r="EFT343" s="29"/>
      <c r="EFU343" s="29"/>
      <c r="EFV343" s="29"/>
      <c r="EFW343" s="29"/>
      <c r="EFX343" s="29"/>
      <c r="EFY343" s="29"/>
      <c r="EFZ343" s="29"/>
      <c r="EGA343" s="29"/>
      <c r="EGB343" s="29"/>
      <c r="EGC343" s="29"/>
      <c r="EGD343" s="29"/>
      <c r="EGE343" s="29"/>
      <c r="EGF343" s="29"/>
      <c r="EGG343" s="29"/>
      <c r="EGH343" s="29"/>
      <c r="EGI343" s="29"/>
      <c r="EGJ343" s="29"/>
      <c r="EGK343" s="29"/>
      <c r="EGL343" s="29"/>
      <c r="EGM343" s="29"/>
      <c r="EGN343" s="29"/>
      <c r="EGO343" s="29"/>
      <c r="EGP343" s="29"/>
      <c r="EGQ343" s="29"/>
      <c r="EGR343" s="29"/>
      <c r="EGS343" s="29"/>
      <c r="EGT343" s="29"/>
      <c r="EGU343" s="29"/>
      <c r="EGV343" s="29"/>
      <c r="EGW343" s="29"/>
      <c r="EGX343" s="29"/>
      <c r="EGY343" s="29"/>
      <c r="EGZ343" s="29"/>
      <c r="EHA343" s="29"/>
      <c r="EHB343" s="29"/>
      <c r="EHC343" s="29"/>
      <c r="EHD343" s="29"/>
      <c r="EHE343" s="29"/>
      <c r="EHF343" s="29"/>
      <c r="EHG343" s="29"/>
      <c r="EHH343" s="29"/>
      <c r="EHI343" s="29"/>
      <c r="EHJ343" s="29"/>
      <c r="EHK343" s="29"/>
      <c r="EHL343" s="29"/>
      <c r="EHM343" s="29"/>
      <c r="EHN343" s="29"/>
      <c r="EHO343" s="29"/>
      <c r="EHP343" s="29"/>
      <c r="EHQ343" s="29"/>
      <c r="EHR343" s="29"/>
      <c r="EHS343" s="29"/>
      <c r="EHT343" s="29"/>
      <c r="EHU343" s="29"/>
      <c r="EHV343" s="29"/>
      <c r="EHW343" s="29"/>
      <c r="EHX343" s="29"/>
      <c r="EHY343" s="29"/>
      <c r="EHZ343" s="29"/>
      <c r="EIA343" s="29"/>
      <c r="EIB343" s="29"/>
      <c r="EIC343" s="29"/>
      <c r="EID343" s="29"/>
      <c r="EIE343" s="29"/>
      <c r="EIF343" s="29"/>
      <c r="EIG343" s="29"/>
      <c r="EIH343" s="29"/>
      <c r="EII343" s="29"/>
      <c r="EIJ343" s="29"/>
      <c r="EIK343" s="29"/>
      <c r="EIL343" s="29"/>
      <c r="EIM343" s="29"/>
      <c r="EIN343" s="29"/>
      <c r="EIO343" s="29"/>
      <c r="EIP343" s="29"/>
      <c r="EIQ343" s="29"/>
      <c r="EIR343" s="29"/>
      <c r="EIS343" s="29"/>
      <c r="EIT343" s="29"/>
      <c r="EIU343" s="29"/>
      <c r="EIV343" s="29"/>
      <c r="EIW343" s="29"/>
      <c r="EIX343" s="29"/>
      <c r="EIY343" s="29"/>
      <c r="EIZ343" s="29"/>
      <c r="EJA343" s="29"/>
      <c r="EJB343" s="29"/>
      <c r="EJC343" s="29"/>
      <c r="EJD343" s="29"/>
      <c r="EJE343" s="29"/>
      <c r="EJF343" s="29"/>
      <c r="EJG343" s="29"/>
      <c r="EJH343" s="29"/>
      <c r="EJI343" s="29"/>
      <c r="EJJ343" s="29"/>
      <c r="EJK343" s="29"/>
      <c r="EJL343" s="29"/>
      <c r="EJM343" s="29"/>
      <c r="EJN343" s="29"/>
      <c r="EJO343" s="29"/>
      <c r="EJP343" s="29"/>
      <c r="EJQ343" s="29"/>
      <c r="EJR343" s="29"/>
      <c r="EJS343" s="29"/>
      <c r="EJT343" s="29"/>
      <c r="EJU343" s="29"/>
      <c r="EJV343" s="29"/>
      <c r="EJW343" s="29"/>
      <c r="EJX343" s="29"/>
      <c r="EJY343" s="29"/>
      <c r="EJZ343" s="29"/>
      <c r="EKA343" s="29"/>
      <c r="EKB343" s="29"/>
      <c r="EKC343" s="29"/>
      <c r="EKD343" s="29"/>
      <c r="EKE343" s="29"/>
      <c r="EKF343" s="29"/>
      <c r="EKG343" s="29"/>
      <c r="EKH343" s="29"/>
      <c r="EKI343" s="29"/>
      <c r="EKJ343" s="29"/>
      <c r="EKK343" s="29"/>
      <c r="EKL343" s="29"/>
      <c r="EKM343" s="29"/>
      <c r="EKN343" s="29"/>
      <c r="EKO343" s="29"/>
      <c r="EKP343" s="29"/>
      <c r="EKQ343" s="29"/>
      <c r="EKR343" s="29"/>
      <c r="EKS343" s="29"/>
      <c r="EKT343" s="29"/>
      <c r="EKU343" s="29"/>
      <c r="EKV343" s="29"/>
      <c r="EKW343" s="29"/>
      <c r="EKX343" s="29"/>
      <c r="EKY343" s="29"/>
      <c r="EKZ343" s="29"/>
      <c r="ELA343" s="29"/>
      <c r="ELB343" s="29"/>
      <c r="ELC343" s="29"/>
      <c r="ELD343" s="29"/>
      <c r="ELE343" s="29"/>
      <c r="ELF343" s="29"/>
      <c r="ELG343" s="29"/>
      <c r="ELH343" s="29"/>
      <c r="ELI343" s="29"/>
      <c r="ELJ343" s="29"/>
      <c r="ELK343" s="29"/>
      <c r="ELL343" s="29"/>
      <c r="ELM343" s="29"/>
      <c r="ELN343" s="29"/>
      <c r="ELO343" s="29"/>
      <c r="ELP343" s="29"/>
      <c r="ELQ343" s="29"/>
      <c r="ELR343" s="29"/>
      <c r="ELS343" s="29"/>
      <c r="ELT343" s="29"/>
      <c r="ELU343" s="29"/>
      <c r="ELV343" s="29"/>
      <c r="ELW343" s="29"/>
      <c r="ELX343" s="29"/>
      <c r="ELY343" s="29"/>
      <c r="ELZ343" s="29"/>
      <c r="EMA343" s="29"/>
      <c r="EMB343" s="29"/>
      <c r="EMC343" s="29"/>
      <c r="EMD343" s="29"/>
      <c r="EME343" s="29"/>
      <c r="EMF343" s="29"/>
      <c r="EMG343" s="29"/>
      <c r="EMH343" s="29"/>
      <c r="EMI343" s="29"/>
      <c r="EMJ343" s="29"/>
      <c r="EMK343" s="29"/>
      <c r="EML343" s="29"/>
      <c r="EMM343" s="29"/>
      <c r="EMN343" s="29"/>
      <c r="EMO343" s="29"/>
      <c r="EMP343" s="29"/>
      <c r="EMQ343" s="29"/>
      <c r="EMR343" s="29"/>
      <c r="EMS343" s="29"/>
      <c r="EMT343" s="29"/>
      <c r="EMU343" s="29"/>
      <c r="EMV343" s="29"/>
      <c r="EMW343" s="29"/>
      <c r="EMX343" s="29"/>
      <c r="EMY343" s="29"/>
      <c r="EMZ343" s="29"/>
      <c r="ENA343" s="29"/>
      <c r="ENB343" s="29"/>
      <c r="ENC343" s="29"/>
      <c r="END343" s="29"/>
      <c r="ENE343" s="29"/>
      <c r="ENF343" s="29"/>
      <c r="ENG343" s="29"/>
      <c r="ENH343" s="29"/>
      <c r="ENI343" s="29"/>
      <c r="ENJ343" s="29"/>
      <c r="ENK343" s="29"/>
      <c r="ENL343" s="29"/>
      <c r="ENM343" s="29"/>
      <c r="ENN343" s="29"/>
      <c r="ENO343" s="29"/>
      <c r="ENP343" s="29"/>
      <c r="ENQ343" s="29"/>
      <c r="ENR343" s="29"/>
      <c r="ENS343" s="29"/>
      <c r="ENT343" s="29"/>
      <c r="ENU343" s="29"/>
      <c r="ENV343" s="29"/>
      <c r="ENW343" s="29"/>
      <c r="ENX343" s="29"/>
      <c r="ENY343" s="29"/>
      <c r="ENZ343" s="29"/>
      <c r="EOA343" s="29"/>
      <c r="EOB343" s="29"/>
      <c r="EOC343" s="29"/>
      <c r="EOD343" s="29"/>
      <c r="EOE343" s="29"/>
      <c r="EOF343" s="29"/>
      <c r="EOG343" s="29"/>
      <c r="EOH343" s="29"/>
      <c r="EOI343" s="29"/>
      <c r="EOJ343" s="29"/>
      <c r="EOK343" s="29"/>
      <c r="EOL343" s="29"/>
      <c r="EOM343" s="29"/>
      <c r="EON343" s="29"/>
      <c r="EOO343" s="29"/>
      <c r="EOP343" s="29"/>
      <c r="EOQ343" s="29"/>
      <c r="EOR343" s="29"/>
      <c r="EOS343" s="29"/>
      <c r="EOT343" s="29"/>
      <c r="EOU343" s="29"/>
      <c r="EOV343" s="29"/>
      <c r="EOW343" s="29"/>
      <c r="EOX343" s="29"/>
      <c r="EOY343" s="29"/>
      <c r="EOZ343" s="29"/>
      <c r="EPA343" s="29"/>
      <c r="EPB343" s="29"/>
      <c r="EPC343" s="29"/>
      <c r="EPD343" s="29"/>
      <c r="EPE343" s="29"/>
      <c r="EPF343" s="29"/>
      <c r="EPG343" s="29"/>
      <c r="EPH343" s="29"/>
      <c r="EPI343" s="29"/>
      <c r="EPJ343" s="29"/>
      <c r="EPK343" s="29"/>
      <c r="EPL343" s="29"/>
      <c r="EPM343" s="29"/>
      <c r="EPN343" s="29"/>
      <c r="EPO343" s="29"/>
      <c r="EPP343" s="29"/>
      <c r="EPQ343" s="29"/>
      <c r="EPR343" s="29"/>
      <c r="EPS343" s="29"/>
      <c r="EPT343" s="29"/>
      <c r="EPU343" s="29"/>
      <c r="EPV343" s="29"/>
      <c r="EPW343" s="29"/>
      <c r="EPX343" s="29"/>
      <c r="EPY343" s="29"/>
      <c r="EPZ343" s="29"/>
      <c r="EQA343" s="29"/>
      <c r="EQB343" s="29"/>
      <c r="EQC343" s="29"/>
      <c r="EQD343" s="29"/>
      <c r="EQE343" s="29"/>
      <c r="EQF343" s="29"/>
      <c r="EQG343" s="29"/>
      <c r="EQH343" s="29"/>
      <c r="EQI343" s="29"/>
      <c r="EQJ343" s="29"/>
      <c r="EQK343" s="29"/>
      <c r="EQL343" s="29"/>
      <c r="EQM343" s="29"/>
      <c r="EQN343" s="29"/>
      <c r="EQO343" s="29"/>
      <c r="EQP343" s="29"/>
      <c r="EQQ343" s="29"/>
      <c r="EQR343" s="29"/>
      <c r="EQS343" s="29"/>
      <c r="EQT343" s="29"/>
      <c r="EQU343" s="29"/>
      <c r="EQV343" s="29"/>
      <c r="EQW343" s="29"/>
      <c r="EQX343" s="29"/>
      <c r="EQY343" s="29"/>
      <c r="EQZ343" s="29"/>
      <c r="ERA343" s="29"/>
      <c r="ERB343" s="29"/>
      <c r="ERC343" s="29"/>
      <c r="ERD343" s="29"/>
      <c r="ERE343" s="29"/>
      <c r="ERF343" s="29"/>
      <c r="ERG343" s="29"/>
      <c r="ERH343" s="29"/>
      <c r="ERI343" s="29"/>
      <c r="ERJ343" s="29"/>
      <c r="ERK343" s="29"/>
      <c r="ERL343" s="29"/>
      <c r="ERM343" s="29"/>
      <c r="ERN343" s="29"/>
      <c r="ERO343" s="29"/>
      <c r="ERP343" s="29"/>
      <c r="ERQ343" s="29"/>
      <c r="ERR343" s="29"/>
      <c r="ERS343" s="29"/>
      <c r="ERT343" s="29"/>
      <c r="ERU343" s="29"/>
      <c r="ERV343" s="29"/>
      <c r="ERW343" s="29"/>
      <c r="ERX343" s="29"/>
      <c r="ERY343" s="29"/>
      <c r="ERZ343" s="29"/>
      <c r="ESA343" s="29"/>
      <c r="ESB343" s="29"/>
      <c r="ESC343" s="29"/>
      <c r="ESD343" s="29"/>
      <c r="ESE343" s="29"/>
      <c r="ESF343" s="29"/>
      <c r="ESG343" s="29"/>
      <c r="ESH343" s="29"/>
      <c r="ESI343" s="29"/>
      <c r="ESJ343" s="29"/>
      <c r="ESK343" s="29"/>
      <c r="ESL343" s="29"/>
      <c r="ESM343" s="29"/>
      <c r="ESN343" s="29"/>
      <c r="ESO343" s="29"/>
      <c r="ESP343" s="29"/>
      <c r="ESQ343" s="29"/>
      <c r="ESR343" s="29"/>
      <c r="ESS343" s="29"/>
      <c r="EST343" s="29"/>
      <c r="ESU343" s="29"/>
      <c r="ESV343" s="29"/>
      <c r="ESW343" s="29"/>
      <c r="ESX343" s="29"/>
      <c r="ESY343" s="29"/>
      <c r="ESZ343" s="29"/>
      <c r="ETA343" s="29"/>
      <c r="ETB343" s="29"/>
      <c r="ETC343" s="29"/>
      <c r="ETD343" s="29"/>
      <c r="ETE343" s="29"/>
      <c r="ETF343" s="29"/>
      <c r="ETG343" s="29"/>
      <c r="ETH343" s="29"/>
      <c r="ETI343" s="29"/>
      <c r="ETJ343" s="29"/>
      <c r="ETK343" s="29"/>
      <c r="ETL343" s="29"/>
      <c r="ETM343" s="29"/>
      <c r="ETN343" s="29"/>
      <c r="ETO343" s="29"/>
      <c r="ETP343" s="29"/>
      <c r="ETQ343" s="29"/>
      <c r="ETR343" s="29"/>
      <c r="ETS343" s="29"/>
      <c r="ETT343" s="29"/>
      <c r="ETU343" s="29"/>
      <c r="ETV343" s="29"/>
      <c r="ETW343" s="29"/>
      <c r="ETX343" s="29"/>
      <c r="ETY343" s="29"/>
      <c r="ETZ343" s="29"/>
      <c r="EUA343" s="29"/>
      <c r="EUB343" s="29"/>
      <c r="EUC343" s="29"/>
      <c r="EUD343" s="29"/>
      <c r="EUE343" s="29"/>
      <c r="EUF343" s="29"/>
      <c r="EUG343" s="29"/>
      <c r="EUH343" s="29"/>
      <c r="EUI343" s="29"/>
      <c r="EUJ343" s="29"/>
      <c r="EUK343" s="29"/>
      <c r="EUL343" s="29"/>
      <c r="EUM343" s="29"/>
      <c r="EUN343" s="29"/>
      <c r="EUO343" s="29"/>
      <c r="EUP343" s="29"/>
      <c r="EUQ343" s="29"/>
      <c r="EUR343" s="29"/>
      <c r="EUS343" s="29"/>
      <c r="EUT343" s="29"/>
      <c r="EUU343" s="29"/>
      <c r="EUV343" s="29"/>
      <c r="EUW343" s="29"/>
      <c r="EUX343" s="29"/>
      <c r="EUY343" s="29"/>
      <c r="EUZ343" s="29"/>
      <c r="EVA343" s="29"/>
      <c r="EVB343" s="29"/>
      <c r="EVC343" s="29"/>
      <c r="EVD343" s="29"/>
      <c r="EVE343" s="29"/>
      <c r="EVF343" s="29"/>
      <c r="EVG343" s="29"/>
      <c r="EVH343" s="29"/>
      <c r="EVI343" s="29"/>
      <c r="EVJ343" s="29"/>
      <c r="EVK343" s="29"/>
      <c r="EVL343" s="29"/>
      <c r="EVM343" s="29"/>
      <c r="EVN343" s="29"/>
      <c r="EVO343" s="29"/>
      <c r="EVP343" s="29"/>
      <c r="EVQ343" s="29"/>
      <c r="EVR343" s="29"/>
      <c r="EVS343" s="29"/>
      <c r="EVT343" s="29"/>
      <c r="EVU343" s="29"/>
      <c r="EVV343" s="29"/>
      <c r="EVW343" s="29"/>
      <c r="EVX343" s="29"/>
      <c r="EVY343" s="29"/>
      <c r="EVZ343" s="29"/>
      <c r="EWA343" s="29"/>
      <c r="EWB343" s="29"/>
      <c r="EWC343" s="29"/>
      <c r="EWD343" s="29"/>
      <c r="EWE343" s="29"/>
      <c r="EWF343" s="29"/>
      <c r="EWG343" s="29"/>
      <c r="EWH343" s="29"/>
      <c r="EWI343" s="29"/>
      <c r="EWJ343" s="29"/>
      <c r="EWK343" s="29"/>
      <c r="EWL343" s="29"/>
      <c r="EWM343" s="29"/>
      <c r="EWN343" s="29"/>
      <c r="EWO343" s="29"/>
      <c r="EWP343" s="29"/>
      <c r="EWQ343" s="29"/>
      <c r="EWR343" s="29"/>
      <c r="EWS343" s="29"/>
      <c r="EWT343" s="29"/>
      <c r="EWU343" s="29"/>
      <c r="EWV343" s="29"/>
      <c r="EWW343" s="29"/>
      <c r="EWX343" s="29"/>
      <c r="EWY343" s="29"/>
      <c r="EWZ343" s="29"/>
      <c r="EXA343" s="29"/>
      <c r="EXB343" s="29"/>
      <c r="EXC343" s="29"/>
      <c r="EXD343" s="29"/>
      <c r="EXE343" s="29"/>
      <c r="EXF343" s="29"/>
      <c r="EXG343" s="29"/>
      <c r="EXH343" s="29"/>
      <c r="EXI343" s="29"/>
      <c r="EXJ343" s="29"/>
      <c r="EXK343" s="29"/>
      <c r="EXL343" s="29"/>
      <c r="EXM343" s="29"/>
      <c r="EXN343" s="29"/>
      <c r="EXO343" s="29"/>
      <c r="EXP343" s="29"/>
      <c r="EXQ343" s="29"/>
      <c r="EXR343" s="29"/>
      <c r="EXS343" s="29"/>
      <c r="EXT343" s="29"/>
      <c r="EXU343" s="29"/>
      <c r="EXV343" s="29"/>
      <c r="EXW343" s="29"/>
      <c r="EXX343" s="29"/>
      <c r="EXY343" s="29"/>
      <c r="EXZ343" s="29"/>
      <c r="EYA343" s="29"/>
      <c r="EYB343" s="29"/>
      <c r="EYC343" s="29"/>
      <c r="EYD343" s="29"/>
      <c r="EYE343" s="29"/>
      <c r="EYF343" s="29"/>
      <c r="EYG343" s="29"/>
      <c r="EYH343" s="29"/>
      <c r="EYI343" s="29"/>
      <c r="EYJ343" s="29"/>
      <c r="EYK343" s="29"/>
      <c r="EYL343" s="29"/>
      <c r="EYM343" s="29"/>
      <c r="EYN343" s="29"/>
      <c r="EYO343" s="29"/>
      <c r="EYP343" s="29"/>
      <c r="EYQ343" s="29"/>
      <c r="EYR343" s="29"/>
      <c r="EYS343" s="29"/>
      <c r="EYT343" s="29"/>
      <c r="EYU343" s="29"/>
      <c r="EYV343" s="29"/>
      <c r="EYW343" s="29"/>
      <c r="EYX343" s="29"/>
      <c r="EYY343" s="29"/>
      <c r="EYZ343" s="29"/>
      <c r="EZA343" s="29"/>
      <c r="EZB343" s="29"/>
      <c r="EZC343" s="29"/>
      <c r="EZD343" s="29"/>
      <c r="EZE343" s="29"/>
      <c r="EZF343" s="29"/>
      <c r="EZG343" s="29"/>
      <c r="EZH343" s="29"/>
      <c r="EZI343" s="29"/>
      <c r="EZJ343" s="29"/>
      <c r="EZK343" s="29"/>
      <c r="EZL343" s="29"/>
      <c r="EZM343" s="29"/>
      <c r="EZN343" s="29"/>
      <c r="EZO343" s="29"/>
      <c r="EZP343" s="29"/>
      <c r="EZQ343" s="29"/>
      <c r="EZR343" s="29"/>
      <c r="EZS343" s="29"/>
      <c r="EZT343" s="29"/>
      <c r="EZU343" s="29"/>
      <c r="EZV343" s="29"/>
      <c r="EZW343" s="29"/>
      <c r="EZX343" s="29"/>
      <c r="EZY343" s="29"/>
      <c r="EZZ343" s="29"/>
      <c r="FAA343" s="29"/>
      <c r="FAB343" s="29"/>
      <c r="FAC343" s="29"/>
      <c r="FAD343" s="29"/>
      <c r="FAE343" s="29"/>
      <c r="FAF343" s="29"/>
      <c r="FAG343" s="29"/>
      <c r="FAH343" s="29"/>
      <c r="FAI343" s="29"/>
      <c r="FAJ343" s="29"/>
      <c r="FAK343" s="29"/>
      <c r="FAL343" s="29"/>
      <c r="FAM343" s="29"/>
      <c r="FAN343" s="29"/>
      <c r="FAO343" s="29"/>
      <c r="FAP343" s="29"/>
      <c r="FAQ343" s="29"/>
      <c r="FAR343" s="29"/>
      <c r="FAS343" s="29"/>
      <c r="FAT343" s="29"/>
      <c r="FAU343" s="29"/>
      <c r="FAV343" s="29"/>
      <c r="FAW343" s="29"/>
      <c r="FAX343" s="29"/>
      <c r="FAY343" s="29"/>
      <c r="FAZ343" s="29"/>
      <c r="FBA343" s="29"/>
      <c r="FBB343" s="29"/>
      <c r="FBC343" s="29"/>
      <c r="FBD343" s="29"/>
      <c r="FBE343" s="29"/>
      <c r="FBF343" s="29"/>
      <c r="FBG343" s="29"/>
      <c r="FBH343" s="29"/>
      <c r="FBI343" s="29"/>
      <c r="FBJ343" s="29"/>
      <c r="FBK343" s="29"/>
      <c r="FBL343" s="29"/>
      <c r="FBM343" s="29"/>
      <c r="FBN343" s="29"/>
      <c r="FBO343" s="29"/>
      <c r="FBP343" s="29"/>
      <c r="FBQ343" s="29"/>
      <c r="FBR343" s="29"/>
      <c r="FBS343" s="29"/>
      <c r="FBT343" s="29"/>
      <c r="FBU343" s="29"/>
      <c r="FBV343" s="29"/>
      <c r="FBW343" s="29"/>
      <c r="FBX343" s="29"/>
      <c r="FBY343" s="29"/>
      <c r="FBZ343" s="29"/>
      <c r="FCA343" s="29"/>
      <c r="FCB343" s="29"/>
      <c r="FCC343" s="29"/>
      <c r="FCD343" s="29"/>
      <c r="FCE343" s="29"/>
      <c r="FCF343" s="29"/>
      <c r="FCG343" s="29"/>
      <c r="FCH343" s="29"/>
      <c r="FCI343" s="29"/>
      <c r="FCJ343" s="29"/>
      <c r="FCK343" s="29"/>
      <c r="FCL343" s="29"/>
      <c r="FCM343" s="29"/>
      <c r="FCN343" s="29"/>
      <c r="FCO343" s="29"/>
      <c r="FCP343" s="29"/>
      <c r="FCQ343" s="29"/>
      <c r="FCR343" s="29"/>
      <c r="FCS343" s="29"/>
      <c r="FCT343" s="29"/>
      <c r="FCU343" s="29"/>
      <c r="FCV343" s="29"/>
      <c r="FCW343" s="29"/>
      <c r="FCX343" s="29"/>
      <c r="FCY343" s="29"/>
      <c r="FCZ343" s="29"/>
      <c r="FDA343" s="29"/>
      <c r="FDB343" s="29"/>
      <c r="FDC343" s="29"/>
      <c r="FDD343" s="29"/>
      <c r="FDE343" s="29"/>
      <c r="FDF343" s="29"/>
      <c r="FDG343" s="29"/>
      <c r="FDH343" s="29"/>
      <c r="FDI343" s="29"/>
      <c r="FDJ343" s="29"/>
      <c r="FDK343" s="29"/>
      <c r="FDL343" s="29"/>
      <c r="FDM343" s="29"/>
      <c r="FDN343" s="29"/>
      <c r="FDO343" s="29"/>
      <c r="FDP343" s="29"/>
      <c r="FDQ343" s="29"/>
      <c r="FDR343" s="29"/>
      <c r="FDS343" s="29"/>
      <c r="FDT343" s="29"/>
      <c r="FDU343" s="29"/>
      <c r="FDV343" s="29"/>
      <c r="FDW343" s="29"/>
      <c r="FDX343" s="29"/>
      <c r="FDY343" s="29"/>
      <c r="FDZ343" s="29"/>
      <c r="FEA343" s="29"/>
      <c r="FEB343" s="29"/>
      <c r="FEC343" s="29"/>
      <c r="FED343" s="29"/>
      <c r="FEE343" s="29"/>
      <c r="FEF343" s="29"/>
      <c r="FEG343" s="29"/>
      <c r="FEH343" s="29"/>
      <c r="FEI343" s="29"/>
      <c r="FEJ343" s="29"/>
      <c r="FEK343" s="29"/>
      <c r="FEL343" s="29"/>
      <c r="FEM343" s="29"/>
      <c r="FEN343" s="29"/>
      <c r="FEO343" s="29"/>
      <c r="FEP343" s="29"/>
      <c r="FEQ343" s="29"/>
      <c r="FER343" s="29"/>
      <c r="FES343" s="29"/>
      <c r="FET343" s="29"/>
      <c r="FEU343" s="29"/>
      <c r="FEV343" s="29"/>
      <c r="FEW343" s="29"/>
      <c r="FEX343" s="29"/>
      <c r="FEY343" s="29"/>
      <c r="FEZ343" s="29"/>
      <c r="FFA343" s="29"/>
      <c r="FFB343" s="29"/>
      <c r="FFC343" s="29"/>
      <c r="FFD343" s="29"/>
      <c r="FFE343" s="29"/>
      <c r="FFF343" s="29"/>
      <c r="FFG343" s="29"/>
      <c r="FFH343" s="29"/>
      <c r="FFI343" s="29"/>
      <c r="FFJ343" s="29"/>
      <c r="FFK343" s="29"/>
      <c r="FFL343" s="29"/>
      <c r="FFM343" s="29"/>
      <c r="FFN343" s="29"/>
      <c r="FFO343" s="29"/>
      <c r="FFP343" s="29"/>
      <c r="FFQ343" s="29"/>
      <c r="FFR343" s="29"/>
      <c r="FFS343" s="29"/>
      <c r="FFT343" s="29"/>
      <c r="FFU343" s="29"/>
      <c r="FFV343" s="29"/>
      <c r="FFW343" s="29"/>
      <c r="FFX343" s="29"/>
      <c r="FFY343" s="29"/>
      <c r="FFZ343" s="29"/>
      <c r="FGA343" s="29"/>
      <c r="FGB343" s="29"/>
      <c r="FGC343" s="29"/>
      <c r="FGD343" s="29"/>
      <c r="FGE343" s="29"/>
      <c r="FGF343" s="29"/>
      <c r="FGG343" s="29"/>
      <c r="FGH343" s="29"/>
      <c r="FGI343" s="29"/>
      <c r="FGJ343" s="29"/>
      <c r="FGK343" s="29"/>
      <c r="FGL343" s="29"/>
      <c r="FGM343" s="29"/>
      <c r="FGN343" s="29"/>
      <c r="FGO343" s="29"/>
      <c r="FGP343" s="29"/>
      <c r="FGQ343" s="29"/>
      <c r="FGR343" s="29"/>
      <c r="FGS343" s="29"/>
      <c r="FGT343" s="29"/>
      <c r="FGU343" s="29"/>
      <c r="FGV343" s="29"/>
      <c r="FGW343" s="29"/>
      <c r="FGX343" s="29"/>
      <c r="FGY343" s="29"/>
      <c r="FGZ343" s="29"/>
      <c r="FHA343" s="29"/>
      <c r="FHB343" s="29"/>
      <c r="FHC343" s="29"/>
      <c r="FHD343" s="29"/>
      <c r="FHE343" s="29"/>
      <c r="FHF343" s="29"/>
      <c r="FHG343" s="29"/>
      <c r="FHH343" s="29"/>
      <c r="FHI343" s="29"/>
      <c r="FHJ343" s="29"/>
      <c r="FHK343" s="29"/>
      <c r="FHL343" s="29"/>
      <c r="FHM343" s="29"/>
      <c r="FHN343" s="29"/>
      <c r="FHO343" s="29"/>
      <c r="FHP343" s="29"/>
      <c r="FHQ343" s="29"/>
      <c r="FHR343" s="29"/>
      <c r="FHS343" s="29"/>
      <c r="FHT343" s="29"/>
      <c r="FHU343" s="29"/>
      <c r="FHV343" s="29"/>
      <c r="FHW343" s="29"/>
      <c r="FHX343" s="29"/>
      <c r="FHY343" s="29"/>
      <c r="FHZ343" s="29"/>
      <c r="FIA343" s="29"/>
      <c r="FIB343" s="29"/>
      <c r="FIC343" s="29"/>
      <c r="FID343" s="29"/>
      <c r="FIE343" s="29"/>
      <c r="FIF343" s="29"/>
      <c r="FIG343" s="29"/>
      <c r="FIH343" s="29"/>
      <c r="FII343" s="29"/>
      <c r="FIJ343" s="29"/>
      <c r="FIK343" s="29"/>
      <c r="FIL343" s="29"/>
      <c r="FIM343" s="29"/>
      <c r="FIN343" s="29"/>
      <c r="FIO343" s="29"/>
      <c r="FIP343" s="29"/>
      <c r="FIQ343" s="29"/>
      <c r="FIR343" s="29"/>
      <c r="FIS343" s="29"/>
      <c r="FIT343" s="29"/>
      <c r="FIU343" s="29"/>
      <c r="FIV343" s="29"/>
      <c r="FIW343" s="29"/>
      <c r="FIX343" s="29"/>
      <c r="FIY343" s="29"/>
      <c r="FIZ343" s="29"/>
      <c r="FJA343" s="29"/>
      <c r="FJB343" s="29"/>
      <c r="FJC343" s="29"/>
      <c r="FJD343" s="29"/>
      <c r="FJE343" s="29"/>
      <c r="FJF343" s="29"/>
      <c r="FJG343" s="29"/>
      <c r="FJH343" s="29"/>
      <c r="FJI343" s="29"/>
      <c r="FJJ343" s="29"/>
      <c r="FJK343" s="29"/>
      <c r="FJL343" s="29"/>
      <c r="FJM343" s="29"/>
      <c r="FJN343" s="29"/>
      <c r="FJO343" s="29"/>
      <c r="FJP343" s="29"/>
      <c r="FJQ343" s="29"/>
      <c r="FJR343" s="29"/>
      <c r="FJS343" s="29"/>
      <c r="FJT343" s="29"/>
      <c r="FJU343" s="29"/>
      <c r="FJV343" s="29"/>
      <c r="FJW343" s="29"/>
      <c r="FJX343" s="29"/>
      <c r="FJY343" s="29"/>
      <c r="FJZ343" s="29"/>
      <c r="FKA343" s="29"/>
      <c r="FKB343" s="29"/>
      <c r="FKC343" s="29"/>
      <c r="FKD343" s="29"/>
      <c r="FKE343" s="29"/>
      <c r="FKF343" s="29"/>
      <c r="FKG343" s="29"/>
      <c r="FKH343" s="29"/>
      <c r="FKI343" s="29"/>
      <c r="FKJ343" s="29"/>
      <c r="FKK343" s="29"/>
      <c r="FKL343" s="29"/>
      <c r="FKM343" s="29"/>
      <c r="FKN343" s="29"/>
      <c r="FKO343" s="29"/>
      <c r="FKP343" s="29"/>
      <c r="FKQ343" s="29"/>
      <c r="FKR343" s="29"/>
      <c r="FKS343" s="29"/>
      <c r="FKT343" s="29"/>
      <c r="FKU343" s="29"/>
      <c r="FKV343" s="29"/>
      <c r="FKW343" s="29"/>
      <c r="FKX343" s="29"/>
      <c r="FKY343" s="29"/>
      <c r="FKZ343" s="29"/>
      <c r="FLA343" s="29"/>
      <c r="FLB343" s="29"/>
      <c r="FLC343" s="29"/>
      <c r="FLD343" s="29"/>
      <c r="FLE343" s="29"/>
      <c r="FLF343" s="29"/>
      <c r="FLG343" s="29"/>
      <c r="FLH343" s="29"/>
      <c r="FLI343" s="29"/>
      <c r="FLJ343" s="29"/>
      <c r="FLK343" s="29"/>
      <c r="FLL343" s="29"/>
      <c r="FLM343" s="29"/>
      <c r="FLN343" s="29"/>
      <c r="FLO343" s="29"/>
      <c r="FLP343" s="29"/>
      <c r="FLQ343" s="29"/>
      <c r="FLR343" s="29"/>
      <c r="FLS343" s="29"/>
      <c r="FLT343" s="29"/>
      <c r="FLU343" s="29"/>
      <c r="FLV343" s="29"/>
      <c r="FLW343" s="29"/>
      <c r="FLX343" s="29"/>
      <c r="FLY343" s="29"/>
      <c r="FLZ343" s="29"/>
      <c r="FMA343" s="29"/>
      <c r="FMB343" s="29"/>
      <c r="FMC343" s="29"/>
      <c r="FMD343" s="29"/>
      <c r="FME343" s="29"/>
      <c r="FMF343" s="29"/>
      <c r="FMG343" s="29"/>
      <c r="FMH343" s="29"/>
      <c r="FMI343" s="29"/>
      <c r="FMJ343" s="29"/>
      <c r="FMK343" s="29"/>
      <c r="FML343" s="29"/>
      <c r="FMM343" s="29"/>
      <c r="FMN343" s="29"/>
      <c r="FMO343" s="29"/>
      <c r="FMP343" s="29"/>
      <c r="FMQ343" s="29"/>
      <c r="FMR343" s="29"/>
      <c r="FMS343" s="29"/>
      <c r="FMT343" s="29"/>
      <c r="FMU343" s="29"/>
      <c r="FMV343" s="29"/>
      <c r="FMW343" s="29"/>
      <c r="FMX343" s="29"/>
      <c r="FMY343" s="29"/>
      <c r="FMZ343" s="29"/>
      <c r="FNA343" s="29"/>
      <c r="FNB343" s="29"/>
      <c r="FNC343" s="29"/>
      <c r="FND343" s="29"/>
      <c r="FNE343" s="29"/>
      <c r="FNF343" s="29"/>
      <c r="FNG343" s="29"/>
      <c r="FNH343" s="29"/>
      <c r="FNI343" s="29"/>
      <c r="FNJ343" s="29"/>
      <c r="FNK343" s="29"/>
      <c r="FNL343" s="29"/>
      <c r="FNM343" s="29"/>
      <c r="FNN343" s="29"/>
      <c r="FNO343" s="29"/>
      <c r="FNP343" s="29"/>
      <c r="FNQ343" s="29"/>
      <c r="FNR343" s="29"/>
      <c r="FNS343" s="29"/>
      <c r="FNT343" s="29"/>
      <c r="FNU343" s="29"/>
      <c r="FNV343" s="29"/>
      <c r="FNW343" s="29"/>
      <c r="FNX343" s="29"/>
      <c r="FNY343" s="29"/>
      <c r="FNZ343" s="29"/>
      <c r="FOA343" s="29"/>
      <c r="FOB343" s="29"/>
      <c r="FOC343" s="29"/>
      <c r="FOD343" s="29"/>
      <c r="FOE343" s="29"/>
      <c r="FOF343" s="29"/>
      <c r="FOG343" s="29"/>
      <c r="FOH343" s="29"/>
      <c r="FOI343" s="29"/>
      <c r="FOJ343" s="29"/>
      <c r="FOK343" s="29"/>
      <c r="FOL343" s="29"/>
      <c r="FOM343" s="29"/>
      <c r="FON343" s="29"/>
      <c r="FOO343" s="29"/>
      <c r="FOP343" s="29"/>
      <c r="FOQ343" s="29"/>
      <c r="FOR343" s="29"/>
      <c r="FOS343" s="29"/>
      <c r="FOT343" s="29"/>
      <c r="FOU343" s="29"/>
      <c r="FOV343" s="29"/>
      <c r="FOW343" s="29"/>
      <c r="FOX343" s="29"/>
      <c r="FOY343" s="29"/>
      <c r="FOZ343" s="29"/>
      <c r="FPA343" s="29"/>
      <c r="FPB343" s="29"/>
      <c r="FPC343" s="29"/>
      <c r="FPD343" s="29"/>
      <c r="FPE343" s="29"/>
      <c r="FPF343" s="29"/>
      <c r="FPG343" s="29"/>
      <c r="FPH343" s="29"/>
      <c r="FPI343" s="29"/>
      <c r="FPJ343" s="29"/>
      <c r="FPK343" s="29"/>
      <c r="FPL343" s="29"/>
      <c r="FPM343" s="29"/>
      <c r="FPN343" s="29"/>
      <c r="FPO343" s="29"/>
      <c r="FPP343" s="29"/>
      <c r="FPQ343" s="29"/>
      <c r="FPR343" s="29"/>
      <c r="FPS343" s="29"/>
      <c r="FPT343" s="29"/>
      <c r="FPU343" s="29"/>
      <c r="FPV343" s="29"/>
      <c r="FPW343" s="29"/>
      <c r="FPX343" s="29"/>
      <c r="FPY343" s="29"/>
      <c r="FPZ343" s="29"/>
      <c r="FQA343" s="29"/>
      <c r="FQB343" s="29"/>
      <c r="FQC343" s="29"/>
      <c r="FQD343" s="29"/>
      <c r="FQE343" s="29"/>
      <c r="FQF343" s="29"/>
      <c r="FQG343" s="29"/>
      <c r="FQH343" s="29"/>
      <c r="FQI343" s="29"/>
      <c r="FQJ343" s="29"/>
      <c r="FQK343" s="29"/>
      <c r="FQL343" s="29"/>
      <c r="FQM343" s="29"/>
      <c r="FQN343" s="29"/>
      <c r="FQO343" s="29"/>
      <c r="FQP343" s="29"/>
      <c r="FQQ343" s="29"/>
      <c r="FQR343" s="29"/>
      <c r="FQS343" s="29"/>
      <c r="FQT343" s="29"/>
      <c r="FQU343" s="29"/>
      <c r="FQV343" s="29"/>
      <c r="FQW343" s="29"/>
      <c r="FQX343" s="29"/>
      <c r="FQY343" s="29"/>
      <c r="FQZ343" s="29"/>
      <c r="FRA343" s="29"/>
      <c r="FRB343" s="29"/>
      <c r="FRC343" s="29"/>
      <c r="FRD343" s="29"/>
      <c r="FRE343" s="29"/>
      <c r="FRF343" s="29"/>
      <c r="FRG343" s="29"/>
      <c r="FRH343" s="29"/>
      <c r="FRI343" s="29"/>
      <c r="FRJ343" s="29"/>
      <c r="FRK343" s="29"/>
      <c r="FRL343" s="29"/>
      <c r="FRM343" s="29"/>
      <c r="FRN343" s="29"/>
      <c r="FRO343" s="29"/>
      <c r="FRP343" s="29"/>
      <c r="FRQ343" s="29"/>
      <c r="FRR343" s="29"/>
      <c r="FRS343" s="29"/>
      <c r="FRT343" s="29"/>
      <c r="FRU343" s="29"/>
      <c r="FRV343" s="29"/>
      <c r="FRW343" s="29"/>
      <c r="FRX343" s="29"/>
      <c r="FRY343" s="29"/>
      <c r="FRZ343" s="29"/>
      <c r="FSA343" s="29"/>
      <c r="FSB343" s="29"/>
      <c r="FSC343" s="29"/>
      <c r="FSD343" s="29"/>
      <c r="FSE343" s="29"/>
      <c r="FSF343" s="29"/>
      <c r="FSG343" s="29"/>
      <c r="FSH343" s="29"/>
      <c r="FSI343" s="29"/>
      <c r="FSJ343" s="29"/>
      <c r="FSK343" s="29"/>
      <c r="FSL343" s="29"/>
      <c r="FSM343" s="29"/>
      <c r="FSN343" s="29"/>
      <c r="FSO343" s="29"/>
      <c r="FSP343" s="29"/>
      <c r="FSQ343" s="29"/>
      <c r="FSR343" s="29"/>
      <c r="FSS343" s="29"/>
      <c r="FST343" s="29"/>
      <c r="FSU343" s="29"/>
      <c r="FSV343" s="29"/>
      <c r="FSW343" s="29"/>
      <c r="FSX343" s="29"/>
      <c r="FSY343" s="29"/>
      <c r="FSZ343" s="29"/>
      <c r="FTA343" s="29"/>
      <c r="FTB343" s="29"/>
      <c r="FTC343" s="29"/>
      <c r="FTD343" s="29"/>
      <c r="FTE343" s="29"/>
      <c r="FTF343" s="29"/>
      <c r="FTG343" s="29"/>
      <c r="FTH343" s="29"/>
      <c r="FTI343" s="29"/>
      <c r="FTJ343" s="29"/>
      <c r="FTK343" s="29"/>
      <c r="FTL343" s="29"/>
      <c r="FTM343" s="29"/>
      <c r="FTN343" s="29"/>
      <c r="FTO343" s="29"/>
      <c r="FTP343" s="29"/>
      <c r="FTQ343" s="29"/>
      <c r="FTR343" s="29"/>
      <c r="FTS343" s="29"/>
      <c r="FTT343" s="29"/>
      <c r="FTU343" s="29"/>
      <c r="FTV343" s="29"/>
      <c r="FTW343" s="29"/>
      <c r="FTX343" s="29"/>
      <c r="FTY343" s="29"/>
      <c r="FTZ343" s="29"/>
      <c r="FUA343" s="29"/>
      <c r="FUB343" s="29"/>
      <c r="FUC343" s="29"/>
      <c r="FUD343" s="29"/>
      <c r="FUE343" s="29"/>
      <c r="FUF343" s="29"/>
      <c r="FUG343" s="29"/>
      <c r="FUH343" s="29"/>
      <c r="FUI343" s="29"/>
      <c r="FUJ343" s="29"/>
      <c r="FUK343" s="29"/>
      <c r="FUL343" s="29"/>
      <c r="FUM343" s="29"/>
      <c r="FUN343" s="29"/>
      <c r="FUO343" s="29"/>
      <c r="FUP343" s="29"/>
      <c r="FUQ343" s="29"/>
      <c r="FUR343" s="29"/>
      <c r="FUS343" s="29"/>
      <c r="FUT343" s="29"/>
      <c r="FUU343" s="29"/>
      <c r="FUV343" s="29"/>
      <c r="FUW343" s="29"/>
      <c r="FUX343" s="29"/>
      <c r="FUY343" s="29"/>
      <c r="FUZ343" s="29"/>
      <c r="FVA343" s="29"/>
      <c r="FVB343" s="29"/>
      <c r="FVC343" s="29"/>
      <c r="FVD343" s="29"/>
      <c r="FVE343" s="29"/>
      <c r="FVF343" s="29"/>
      <c r="FVG343" s="29"/>
      <c r="FVH343" s="29"/>
      <c r="FVI343" s="29"/>
      <c r="FVJ343" s="29"/>
      <c r="FVK343" s="29"/>
      <c r="FVL343" s="29"/>
      <c r="FVM343" s="29"/>
      <c r="FVN343" s="29"/>
      <c r="FVO343" s="29"/>
      <c r="FVP343" s="29"/>
      <c r="FVQ343" s="29"/>
      <c r="FVR343" s="29"/>
      <c r="FVS343" s="29"/>
      <c r="FVT343" s="29"/>
      <c r="FVU343" s="29"/>
      <c r="FVV343" s="29"/>
      <c r="FVW343" s="29"/>
      <c r="FVX343" s="29"/>
      <c r="FVY343" s="29"/>
      <c r="FVZ343" s="29"/>
      <c r="FWA343" s="29"/>
      <c r="FWB343" s="29"/>
      <c r="FWC343" s="29"/>
      <c r="FWD343" s="29"/>
      <c r="FWE343" s="29"/>
      <c r="FWF343" s="29"/>
      <c r="FWG343" s="29"/>
      <c r="FWH343" s="29"/>
      <c r="FWI343" s="29"/>
      <c r="FWJ343" s="29"/>
      <c r="FWK343" s="29"/>
      <c r="FWL343" s="29"/>
      <c r="FWM343" s="29"/>
      <c r="FWN343" s="29"/>
      <c r="FWO343" s="29"/>
      <c r="FWP343" s="29"/>
      <c r="FWQ343" s="29"/>
      <c r="FWR343" s="29"/>
      <c r="FWS343" s="29"/>
      <c r="FWT343" s="29"/>
      <c r="FWU343" s="29"/>
      <c r="FWV343" s="29"/>
      <c r="FWW343" s="29"/>
      <c r="FWX343" s="29"/>
      <c r="FWY343" s="29"/>
      <c r="FWZ343" s="29"/>
      <c r="FXA343" s="29"/>
      <c r="FXB343" s="29"/>
      <c r="FXC343" s="29"/>
      <c r="FXD343" s="29"/>
      <c r="FXE343" s="29"/>
      <c r="FXF343" s="29"/>
      <c r="FXG343" s="29"/>
      <c r="FXH343" s="29"/>
      <c r="FXI343" s="29"/>
      <c r="FXJ343" s="29"/>
      <c r="FXK343" s="29"/>
      <c r="FXL343" s="29"/>
      <c r="FXM343" s="29"/>
      <c r="FXN343" s="29"/>
      <c r="FXO343" s="29"/>
      <c r="FXP343" s="29"/>
      <c r="FXQ343" s="29"/>
      <c r="FXR343" s="29"/>
      <c r="FXS343" s="29"/>
      <c r="FXT343" s="29"/>
      <c r="FXU343" s="29"/>
      <c r="FXV343" s="29"/>
      <c r="FXW343" s="29"/>
      <c r="FXX343" s="29"/>
      <c r="FXY343" s="29"/>
      <c r="FXZ343" s="29"/>
      <c r="FYA343" s="29"/>
      <c r="FYB343" s="29"/>
      <c r="FYC343" s="29"/>
      <c r="FYD343" s="29"/>
      <c r="FYE343" s="29"/>
      <c r="FYF343" s="29"/>
      <c r="FYG343" s="29"/>
      <c r="FYH343" s="29"/>
      <c r="FYI343" s="29"/>
      <c r="FYJ343" s="29"/>
      <c r="FYK343" s="29"/>
      <c r="FYL343" s="29"/>
      <c r="FYM343" s="29"/>
      <c r="FYN343" s="29"/>
      <c r="FYO343" s="29"/>
      <c r="FYP343" s="29"/>
      <c r="FYQ343" s="29"/>
      <c r="FYR343" s="29"/>
      <c r="FYS343" s="29"/>
      <c r="FYT343" s="29"/>
      <c r="FYU343" s="29"/>
      <c r="FYV343" s="29"/>
      <c r="FYW343" s="29"/>
      <c r="FYX343" s="29"/>
      <c r="FYY343" s="29"/>
      <c r="FYZ343" s="29"/>
      <c r="FZA343" s="29"/>
      <c r="FZB343" s="29"/>
      <c r="FZC343" s="29"/>
      <c r="FZD343" s="29"/>
      <c r="FZE343" s="29"/>
      <c r="FZF343" s="29"/>
      <c r="FZG343" s="29"/>
      <c r="FZH343" s="29"/>
      <c r="FZI343" s="29"/>
      <c r="FZJ343" s="29"/>
      <c r="FZK343" s="29"/>
      <c r="FZL343" s="29"/>
      <c r="FZM343" s="29"/>
      <c r="FZN343" s="29"/>
      <c r="FZO343" s="29"/>
      <c r="FZP343" s="29"/>
      <c r="FZQ343" s="29"/>
      <c r="FZR343" s="29"/>
      <c r="FZS343" s="29"/>
      <c r="FZT343" s="29"/>
      <c r="FZU343" s="29"/>
      <c r="FZV343" s="29"/>
      <c r="FZW343" s="29"/>
      <c r="FZX343" s="29"/>
      <c r="FZY343" s="29"/>
      <c r="FZZ343" s="29"/>
      <c r="GAA343" s="29"/>
      <c r="GAB343" s="29"/>
      <c r="GAC343" s="29"/>
      <c r="GAD343" s="29"/>
      <c r="GAE343" s="29"/>
      <c r="GAF343" s="29"/>
      <c r="GAG343" s="29"/>
      <c r="GAH343" s="29"/>
      <c r="GAI343" s="29"/>
      <c r="GAJ343" s="29"/>
      <c r="GAK343" s="29"/>
      <c r="GAL343" s="29"/>
      <c r="GAM343" s="29"/>
      <c r="GAN343" s="29"/>
      <c r="GAO343" s="29"/>
      <c r="GAP343" s="29"/>
      <c r="GAQ343" s="29"/>
      <c r="GAR343" s="29"/>
      <c r="GAS343" s="29"/>
      <c r="GAT343" s="29"/>
      <c r="GAU343" s="29"/>
      <c r="GAV343" s="29"/>
      <c r="GAW343" s="29"/>
      <c r="GAX343" s="29"/>
      <c r="GAY343" s="29"/>
      <c r="GAZ343" s="29"/>
      <c r="GBA343" s="29"/>
      <c r="GBB343" s="29"/>
      <c r="GBC343" s="29"/>
      <c r="GBD343" s="29"/>
      <c r="GBE343" s="29"/>
      <c r="GBF343" s="29"/>
      <c r="GBG343" s="29"/>
      <c r="GBH343" s="29"/>
      <c r="GBI343" s="29"/>
      <c r="GBJ343" s="29"/>
      <c r="GBK343" s="29"/>
      <c r="GBL343" s="29"/>
      <c r="GBM343" s="29"/>
      <c r="GBN343" s="29"/>
      <c r="GBO343" s="29"/>
      <c r="GBP343" s="29"/>
      <c r="GBQ343" s="29"/>
      <c r="GBR343" s="29"/>
      <c r="GBS343" s="29"/>
      <c r="GBT343" s="29"/>
      <c r="GBU343" s="29"/>
      <c r="GBV343" s="29"/>
      <c r="GBW343" s="29"/>
      <c r="GBX343" s="29"/>
      <c r="GBY343" s="29"/>
      <c r="GBZ343" s="29"/>
      <c r="GCA343" s="29"/>
      <c r="GCB343" s="29"/>
      <c r="GCC343" s="29"/>
      <c r="GCD343" s="29"/>
      <c r="GCE343" s="29"/>
      <c r="GCF343" s="29"/>
      <c r="GCG343" s="29"/>
      <c r="GCH343" s="29"/>
      <c r="GCI343" s="29"/>
      <c r="GCJ343" s="29"/>
      <c r="GCK343" s="29"/>
      <c r="GCL343" s="29"/>
      <c r="GCM343" s="29"/>
      <c r="GCN343" s="29"/>
      <c r="GCO343" s="29"/>
      <c r="GCP343" s="29"/>
      <c r="GCQ343" s="29"/>
      <c r="GCR343" s="29"/>
      <c r="GCS343" s="29"/>
      <c r="GCT343" s="29"/>
      <c r="GCU343" s="29"/>
      <c r="GCV343" s="29"/>
      <c r="GCW343" s="29"/>
      <c r="GCX343" s="29"/>
      <c r="GCY343" s="29"/>
      <c r="GCZ343" s="29"/>
      <c r="GDA343" s="29"/>
      <c r="GDB343" s="29"/>
      <c r="GDC343" s="29"/>
      <c r="GDD343" s="29"/>
      <c r="GDE343" s="29"/>
      <c r="GDF343" s="29"/>
      <c r="GDG343" s="29"/>
      <c r="GDH343" s="29"/>
      <c r="GDI343" s="29"/>
      <c r="GDJ343" s="29"/>
      <c r="GDK343" s="29"/>
      <c r="GDL343" s="29"/>
      <c r="GDM343" s="29"/>
      <c r="GDN343" s="29"/>
      <c r="GDO343" s="29"/>
      <c r="GDP343" s="29"/>
      <c r="GDQ343" s="29"/>
      <c r="GDR343" s="29"/>
      <c r="GDS343" s="29"/>
      <c r="GDT343" s="29"/>
      <c r="GDU343" s="29"/>
      <c r="GDV343" s="29"/>
      <c r="GDW343" s="29"/>
      <c r="GDX343" s="29"/>
      <c r="GDY343" s="29"/>
      <c r="GDZ343" s="29"/>
      <c r="GEA343" s="29"/>
      <c r="GEB343" s="29"/>
      <c r="GEC343" s="29"/>
      <c r="GED343" s="29"/>
      <c r="GEE343" s="29"/>
      <c r="GEF343" s="29"/>
      <c r="GEG343" s="29"/>
      <c r="GEH343" s="29"/>
      <c r="GEI343" s="29"/>
      <c r="GEJ343" s="29"/>
      <c r="GEK343" s="29"/>
      <c r="GEL343" s="29"/>
      <c r="GEM343" s="29"/>
      <c r="GEN343" s="29"/>
      <c r="GEO343" s="29"/>
      <c r="GEP343" s="29"/>
      <c r="GEQ343" s="29"/>
      <c r="GER343" s="29"/>
      <c r="GES343" s="29"/>
      <c r="GET343" s="29"/>
      <c r="GEU343" s="29"/>
      <c r="GEV343" s="29"/>
      <c r="GEW343" s="29"/>
      <c r="GEX343" s="29"/>
      <c r="GEY343" s="29"/>
      <c r="GEZ343" s="29"/>
      <c r="GFA343" s="29"/>
      <c r="GFB343" s="29"/>
      <c r="GFC343" s="29"/>
      <c r="GFD343" s="29"/>
      <c r="GFE343" s="29"/>
      <c r="GFF343" s="29"/>
      <c r="GFG343" s="29"/>
      <c r="GFH343" s="29"/>
      <c r="GFI343" s="29"/>
      <c r="GFJ343" s="29"/>
      <c r="GFK343" s="29"/>
      <c r="GFL343" s="29"/>
      <c r="GFM343" s="29"/>
      <c r="GFN343" s="29"/>
      <c r="GFO343" s="29"/>
      <c r="GFP343" s="29"/>
      <c r="GFQ343" s="29"/>
      <c r="GFR343" s="29"/>
      <c r="GFS343" s="29"/>
      <c r="GFT343" s="29"/>
      <c r="GFU343" s="29"/>
      <c r="GFV343" s="29"/>
      <c r="GFW343" s="29"/>
      <c r="GFX343" s="29"/>
      <c r="GFY343" s="29"/>
      <c r="GFZ343" s="29"/>
      <c r="GGA343" s="29"/>
      <c r="GGB343" s="29"/>
      <c r="GGC343" s="29"/>
      <c r="GGD343" s="29"/>
      <c r="GGE343" s="29"/>
      <c r="GGF343" s="29"/>
      <c r="GGG343" s="29"/>
      <c r="GGH343" s="29"/>
      <c r="GGI343" s="29"/>
      <c r="GGJ343" s="29"/>
      <c r="GGK343" s="29"/>
      <c r="GGL343" s="29"/>
      <c r="GGM343" s="29"/>
      <c r="GGN343" s="29"/>
      <c r="GGO343" s="29"/>
      <c r="GGP343" s="29"/>
      <c r="GGQ343" s="29"/>
      <c r="GGR343" s="29"/>
      <c r="GGS343" s="29"/>
      <c r="GGT343" s="29"/>
      <c r="GGU343" s="29"/>
      <c r="GGV343" s="29"/>
      <c r="GGW343" s="29"/>
      <c r="GGX343" s="29"/>
      <c r="GGY343" s="29"/>
      <c r="GGZ343" s="29"/>
      <c r="GHA343" s="29"/>
      <c r="GHB343" s="29"/>
      <c r="GHC343" s="29"/>
      <c r="GHD343" s="29"/>
      <c r="GHE343" s="29"/>
      <c r="GHF343" s="29"/>
      <c r="GHG343" s="29"/>
      <c r="GHH343" s="29"/>
      <c r="GHI343" s="29"/>
      <c r="GHJ343" s="29"/>
      <c r="GHK343" s="29"/>
      <c r="GHL343" s="29"/>
      <c r="GHM343" s="29"/>
      <c r="GHN343" s="29"/>
      <c r="GHO343" s="29"/>
      <c r="GHP343" s="29"/>
      <c r="GHQ343" s="29"/>
      <c r="GHR343" s="29"/>
      <c r="GHS343" s="29"/>
      <c r="GHT343" s="29"/>
      <c r="GHU343" s="29"/>
      <c r="GHV343" s="29"/>
      <c r="GHW343" s="29"/>
      <c r="GHX343" s="29"/>
      <c r="GHY343" s="29"/>
      <c r="GHZ343" s="29"/>
      <c r="GIA343" s="29"/>
      <c r="GIB343" s="29"/>
      <c r="GIC343" s="29"/>
      <c r="GID343" s="29"/>
      <c r="GIE343" s="29"/>
      <c r="GIF343" s="29"/>
      <c r="GIG343" s="29"/>
      <c r="GIH343" s="29"/>
      <c r="GII343" s="29"/>
      <c r="GIJ343" s="29"/>
      <c r="GIK343" s="29"/>
      <c r="GIL343" s="29"/>
      <c r="GIM343" s="29"/>
      <c r="GIN343" s="29"/>
      <c r="GIO343" s="29"/>
      <c r="GIP343" s="29"/>
      <c r="GIQ343" s="29"/>
      <c r="GIR343" s="29"/>
      <c r="GIS343" s="29"/>
      <c r="GIT343" s="29"/>
      <c r="GIU343" s="29"/>
      <c r="GIV343" s="29"/>
      <c r="GIW343" s="29"/>
      <c r="GIX343" s="29"/>
      <c r="GIY343" s="29"/>
      <c r="GIZ343" s="29"/>
      <c r="GJA343" s="29"/>
      <c r="GJB343" s="29"/>
      <c r="GJC343" s="29"/>
      <c r="GJD343" s="29"/>
      <c r="GJE343" s="29"/>
      <c r="GJF343" s="29"/>
      <c r="GJG343" s="29"/>
      <c r="GJH343" s="29"/>
      <c r="GJI343" s="29"/>
      <c r="GJJ343" s="29"/>
      <c r="GJK343" s="29"/>
      <c r="GJL343" s="29"/>
      <c r="GJM343" s="29"/>
      <c r="GJN343" s="29"/>
      <c r="GJO343" s="29"/>
      <c r="GJP343" s="29"/>
      <c r="GJQ343" s="29"/>
      <c r="GJR343" s="29"/>
      <c r="GJS343" s="29"/>
      <c r="GJT343" s="29"/>
      <c r="GJU343" s="29"/>
      <c r="GJV343" s="29"/>
      <c r="GJW343" s="29"/>
      <c r="GJX343" s="29"/>
      <c r="GJY343" s="29"/>
      <c r="GJZ343" s="29"/>
      <c r="GKA343" s="29"/>
      <c r="GKB343" s="29"/>
      <c r="GKC343" s="29"/>
      <c r="GKD343" s="29"/>
      <c r="GKE343" s="29"/>
      <c r="GKF343" s="29"/>
      <c r="GKG343" s="29"/>
      <c r="GKH343" s="29"/>
      <c r="GKI343" s="29"/>
      <c r="GKJ343" s="29"/>
      <c r="GKK343" s="29"/>
      <c r="GKL343" s="29"/>
      <c r="GKM343" s="29"/>
      <c r="GKN343" s="29"/>
      <c r="GKO343" s="29"/>
      <c r="GKP343" s="29"/>
      <c r="GKQ343" s="29"/>
      <c r="GKR343" s="29"/>
      <c r="GKS343" s="29"/>
      <c r="GKT343" s="29"/>
      <c r="GKU343" s="29"/>
      <c r="GKV343" s="29"/>
      <c r="GKW343" s="29"/>
      <c r="GKX343" s="29"/>
      <c r="GKY343" s="29"/>
      <c r="GKZ343" s="29"/>
      <c r="GLA343" s="29"/>
      <c r="GLB343" s="29"/>
      <c r="GLC343" s="29"/>
      <c r="GLD343" s="29"/>
      <c r="GLE343" s="29"/>
      <c r="GLF343" s="29"/>
      <c r="GLG343" s="29"/>
      <c r="GLH343" s="29"/>
      <c r="GLI343" s="29"/>
      <c r="GLJ343" s="29"/>
      <c r="GLK343" s="29"/>
      <c r="GLL343" s="29"/>
      <c r="GLM343" s="29"/>
      <c r="GLN343" s="29"/>
      <c r="GLO343" s="29"/>
      <c r="GLP343" s="29"/>
      <c r="GLQ343" s="29"/>
      <c r="GLR343" s="29"/>
      <c r="GLS343" s="29"/>
      <c r="GLT343" s="29"/>
      <c r="GLU343" s="29"/>
      <c r="GLV343" s="29"/>
      <c r="GLW343" s="29"/>
      <c r="GLX343" s="29"/>
      <c r="GLY343" s="29"/>
      <c r="GLZ343" s="29"/>
      <c r="GMA343" s="29"/>
      <c r="GMB343" s="29"/>
      <c r="GMC343" s="29"/>
      <c r="GMD343" s="29"/>
      <c r="GME343" s="29"/>
      <c r="GMF343" s="29"/>
      <c r="GMG343" s="29"/>
      <c r="GMH343" s="29"/>
      <c r="GMI343" s="29"/>
      <c r="GMJ343" s="29"/>
      <c r="GMK343" s="29"/>
      <c r="GML343" s="29"/>
      <c r="GMM343" s="29"/>
      <c r="GMN343" s="29"/>
      <c r="GMO343" s="29"/>
      <c r="GMP343" s="29"/>
      <c r="GMQ343" s="29"/>
      <c r="GMR343" s="29"/>
      <c r="GMS343" s="29"/>
      <c r="GMT343" s="29"/>
      <c r="GMU343" s="29"/>
      <c r="GMV343" s="29"/>
      <c r="GMW343" s="29"/>
      <c r="GMX343" s="29"/>
      <c r="GMY343" s="29"/>
      <c r="GMZ343" s="29"/>
      <c r="GNA343" s="29"/>
      <c r="GNB343" s="29"/>
      <c r="GNC343" s="29"/>
      <c r="GND343" s="29"/>
      <c r="GNE343" s="29"/>
      <c r="GNF343" s="29"/>
      <c r="GNG343" s="29"/>
      <c r="GNH343" s="29"/>
      <c r="GNI343" s="29"/>
      <c r="GNJ343" s="29"/>
      <c r="GNK343" s="29"/>
      <c r="GNL343" s="29"/>
      <c r="GNM343" s="29"/>
      <c r="GNN343" s="29"/>
      <c r="GNO343" s="29"/>
      <c r="GNP343" s="29"/>
      <c r="GNQ343" s="29"/>
      <c r="GNR343" s="29"/>
      <c r="GNS343" s="29"/>
      <c r="GNT343" s="29"/>
      <c r="GNU343" s="29"/>
      <c r="GNV343" s="29"/>
      <c r="GNW343" s="29"/>
      <c r="GNX343" s="29"/>
      <c r="GNY343" s="29"/>
      <c r="GNZ343" s="29"/>
      <c r="GOA343" s="29"/>
      <c r="GOB343" s="29"/>
      <c r="GOC343" s="29"/>
      <c r="GOD343" s="29"/>
      <c r="GOE343" s="29"/>
      <c r="GOF343" s="29"/>
      <c r="GOG343" s="29"/>
      <c r="GOH343" s="29"/>
      <c r="GOI343" s="29"/>
      <c r="GOJ343" s="29"/>
      <c r="GOK343" s="29"/>
      <c r="GOL343" s="29"/>
      <c r="GOM343" s="29"/>
      <c r="GON343" s="29"/>
      <c r="GOO343" s="29"/>
      <c r="GOP343" s="29"/>
      <c r="GOQ343" s="29"/>
      <c r="GOR343" s="29"/>
      <c r="GOS343" s="29"/>
      <c r="GOT343" s="29"/>
      <c r="GOU343" s="29"/>
      <c r="GOV343" s="29"/>
      <c r="GOW343" s="29"/>
      <c r="GOX343" s="29"/>
      <c r="GOY343" s="29"/>
      <c r="GOZ343" s="29"/>
      <c r="GPA343" s="29"/>
      <c r="GPB343" s="29"/>
      <c r="GPC343" s="29"/>
      <c r="GPD343" s="29"/>
      <c r="GPE343" s="29"/>
      <c r="GPF343" s="29"/>
      <c r="GPG343" s="29"/>
      <c r="GPH343" s="29"/>
      <c r="GPI343" s="29"/>
      <c r="GPJ343" s="29"/>
      <c r="GPK343" s="29"/>
      <c r="GPL343" s="29"/>
      <c r="GPM343" s="29"/>
      <c r="GPN343" s="29"/>
      <c r="GPO343" s="29"/>
      <c r="GPP343" s="29"/>
      <c r="GPQ343" s="29"/>
      <c r="GPR343" s="29"/>
      <c r="GPS343" s="29"/>
      <c r="GPT343" s="29"/>
      <c r="GPU343" s="29"/>
      <c r="GPV343" s="29"/>
      <c r="GPW343" s="29"/>
      <c r="GPX343" s="29"/>
      <c r="GPY343" s="29"/>
      <c r="GPZ343" s="29"/>
      <c r="GQA343" s="29"/>
      <c r="GQB343" s="29"/>
      <c r="GQC343" s="29"/>
      <c r="GQD343" s="29"/>
      <c r="GQE343" s="29"/>
      <c r="GQF343" s="29"/>
      <c r="GQG343" s="29"/>
      <c r="GQH343" s="29"/>
      <c r="GQI343" s="29"/>
      <c r="GQJ343" s="29"/>
      <c r="GQK343" s="29"/>
      <c r="GQL343" s="29"/>
      <c r="GQM343" s="29"/>
      <c r="GQN343" s="29"/>
      <c r="GQO343" s="29"/>
      <c r="GQP343" s="29"/>
      <c r="GQQ343" s="29"/>
      <c r="GQR343" s="29"/>
      <c r="GQS343" s="29"/>
      <c r="GQT343" s="29"/>
      <c r="GQU343" s="29"/>
      <c r="GQV343" s="29"/>
      <c r="GQW343" s="29"/>
      <c r="GQX343" s="29"/>
      <c r="GQY343" s="29"/>
      <c r="GQZ343" s="29"/>
      <c r="GRA343" s="29"/>
      <c r="GRB343" s="29"/>
      <c r="GRC343" s="29"/>
      <c r="GRD343" s="29"/>
      <c r="GRE343" s="29"/>
      <c r="GRF343" s="29"/>
      <c r="GRG343" s="29"/>
      <c r="GRH343" s="29"/>
      <c r="GRI343" s="29"/>
      <c r="GRJ343" s="29"/>
      <c r="GRK343" s="29"/>
      <c r="GRL343" s="29"/>
      <c r="GRM343" s="29"/>
      <c r="GRN343" s="29"/>
      <c r="GRO343" s="29"/>
      <c r="GRP343" s="29"/>
      <c r="GRQ343" s="29"/>
      <c r="GRR343" s="29"/>
      <c r="GRS343" s="29"/>
      <c r="GRT343" s="29"/>
      <c r="GRU343" s="29"/>
      <c r="GRV343" s="29"/>
      <c r="GRW343" s="29"/>
      <c r="GRX343" s="29"/>
      <c r="GRY343" s="29"/>
      <c r="GRZ343" s="29"/>
      <c r="GSA343" s="29"/>
      <c r="GSB343" s="29"/>
      <c r="GSC343" s="29"/>
      <c r="GSD343" s="29"/>
      <c r="GSE343" s="29"/>
      <c r="GSF343" s="29"/>
      <c r="GSG343" s="29"/>
      <c r="GSH343" s="29"/>
      <c r="GSI343" s="29"/>
      <c r="GSJ343" s="29"/>
      <c r="GSK343" s="29"/>
      <c r="GSL343" s="29"/>
      <c r="GSM343" s="29"/>
      <c r="GSN343" s="29"/>
      <c r="GSO343" s="29"/>
      <c r="GSP343" s="29"/>
      <c r="GSQ343" s="29"/>
      <c r="GSR343" s="29"/>
      <c r="GSS343" s="29"/>
      <c r="GST343" s="29"/>
      <c r="GSU343" s="29"/>
      <c r="GSV343" s="29"/>
      <c r="GSW343" s="29"/>
      <c r="GSX343" s="29"/>
      <c r="GSY343" s="29"/>
      <c r="GSZ343" s="29"/>
      <c r="GTA343" s="29"/>
      <c r="GTB343" s="29"/>
      <c r="GTC343" s="29"/>
      <c r="GTD343" s="29"/>
      <c r="GTE343" s="29"/>
      <c r="GTF343" s="29"/>
      <c r="GTG343" s="29"/>
      <c r="GTH343" s="29"/>
      <c r="GTI343" s="29"/>
      <c r="GTJ343" s="29"/>
      <c r="GTK343" s="29"/>
      <c r="GTL343" s="29"/>
      <c r="GTM343" s="29"/>
      <c r="GTN343" s="29"/>
      <c r="GTO343" s="29"/>
      <c r="GTP343" s="29"/>
      <c r="GTQ343" s="29"/>
      <c r="GTR343" s="29"/>
      <c r="GTS343" s="29"/>
      <c r="GTT343" s="29"/>
      <c r="GTU343" s="29"/>
      <c r="GTV343" s="29"/>
      <c r="GTW343" s="29"/>
      <c r="GTX343" s="29"/>
      <c r="GTY343" s="29"/>
      <c r="GTZ343" s="29"/>
      <c r="GUA343" s="29"/>
      <c r="GUB343" s="29"/>
      <c r="GUC343" s="29"/>
      <c r="GUD343" s="29"/>
      <c r="GUE343" s="29"/>
      <c r="GUF343" s="29"/>
      <c r="GUG343" s="29"/>
      <c r="GUH343" s="29"/>
      <c r="GUI343" s="29"/>
      <c r="GUJ343" s="29"/>
      <c r="GUK343" s="29"/>
      <c r="GUL343" s="29"/>
      <c r="GUM343" s="29"/>
      <c r="GUN343" s="29"/>
      <c r="GUO343" s="29"/>
      <c r="GUP343" s="29"/>
      <c r="GUQ343" s="29"/>
      <c r="GUR343" s="29"/>
      <c r="GUS343" s="29"/>
      <c r="GUT343" s="29"/>
      <c r="GUU343" s="29"/>
      <c r="GUV343" s="29"/>
      <c r="GUW343" s="29"/>
      <c r="GUX343" s="29"/>
      <c r="GUY343" s="29"/>
      <c r="GUZ343" s="29"/>
      <c r="GVA343" s="29"/>
      <c r="GVB343" s="29"/>
      <c r="GVC343" s="29"/>
      <c r="GVD343" s="29"/>
      <c r="GVE343" s="29"/>
      <c r="GVF343" s="29"/>
      <c r="GVG343" s="29"/>
      <c r="GVH343" s="29"/>
      <c r="GVI343" s="29"/>
      <c r="GVJ343" s="29"/>
      <c r="GVK343" s="29"/>
      <c r="GVL343" s="29"/>
      <c r="GVM343" s="29"/>
      <c r="GVN343" s="29"/>
      <c r="GVO343" s="29"/>
      <c r="GVP343" s="29"/>
      <c r="GVQ343" s="29"/>
      <c r="GVR343" s="29"/>
      <c r="GVS343" s="29"/>
      <c r="GVT343" s="29"/>
      <c r="GVU343" s="29"/>
      <c r="GVV343" s="29"/>
      <c r="GVW343" s="29"/>
      <c r="GVX343" s="29"/>
      <c r="GVY343" s="29"/>
      <c r="GVZ343" s="29"/>
      <c r="GWA343" s="29"/>
      <c r="GWB343" s="29"/>
      <c r="GWC343" s="29"/>
      <c r="GWD343" s="29"/>
      <c r="GWE343" s="29"/>
      <c r="GWF343" s="29"/>
      <c r="GWG343" s="29"/>
      <c r="GWH343" s="29"/>
      <c r="GWI343" s="29"/>
      <c r="GWJ343" s="29"/>
      <c r="GWK343" s="29"/>
      <c r="GWL343" s="29"/>
      <c r="GWM343" s="29"/>
      <c r="GWN343" s="29"/>
      <c r="GWO343" s="29"/>
      <c r="GWP343" s="29"/>
      <c r="GWQ343" s="29"/>
      <c r="GWR343" s="29"/>
      <c r="GWS343" s="29"/>
      <c r="GWT343" s="29"/>
      <c r="GWU343" s="29"/>
      <c r="GWV343" s="29"/>
      <c r="GWW343" s="29"/>
      <c r="GWX343" s="29"/>
      <c r="GWY343" s="29"/>
      <c r="GWZ343" s="29"/>
      <c r="GXA343" s="29"/>
      <c r="GXB343" s="29"/>
      <c r="GXC343" s="29"/>
      <c r="GXD343" s="29"/>
      <c r="GXE343" s="29"/>
      <c r="GXF343" s="29"/>
      <c r="GXG343" s="29"/>
      <c r="GXH343" s="29"/>
      <c r="GXI343" s="29"/>
      <c r="GXJ343" s="29"/>
      <c r="GXK343" s="29"/>
      <c r="GXL343" s="29"/>
      <c r="GXM343" s="29"/>
      <c r="GXN343" s="29"/>
      <c r="GXO343" s="29"/>
      <c r="GXP343" s="29"/>
      <c r="GXQ343" s="29"/>
      <c r="GXR343" s="29"/>
      <c r="GXS343" s="29"/>
      <c r="GXT343" s="29"/>
      <c r="GXU343" s="29"/>
      <c r="GXV343" s="29"/>
      <c r="GXW343" s="29"/>
      <c r="GXX343" s="29"/>
      <c r="GXY343" s="29"/>
      <c r="GXZ343" s="29"/>
      <c r="GYA343" s="29"/>
      <c r="GYB343" s="29"/>
      <c r="GYC343" s="29"/>
      <c r="GYD343" s="29"/>
      <c r="GYE343" s="29"/>
      <c r="GYF343" s="29"/>
      <c r="GYG343" s="29"/>
      <c r="GYH343" s="29"/>
      <c r="GYI343" s="29"/>
      <c r="GYJ343" s="29"/>
      <c r="GYK343" s="29"/>
      <c r="GYL343" s="29"/>
      <c r="GYM343" s="29"/>
      <c r="GYN343" s="29"/>
      <c r="GYO343" s="29"/>
      <c r="GYP343" s="29"/>
      <c r="GYQ343" s="29"/>
      <c r="GYR343" s="29"/>
      <c r="GYS343" s="29"/>
      <c r="GYT343" s="29"/>
      <c r="GYU343" s="29"/>
      <c r="GYV343" s="29"/>
      <c r="GYW343" s="29"/>
      <c r="GYX343" s="29"/>
      <c r="GYY343" s="29"/>
      <c r="GYZ343" s="29"/>
      <c r="GZA343" s="29"/>
      <c r="GZB343" s="29"/>
      <c r="GZC343" s="29"/>
      <c r="GZD343" s="29"/>
      <c r="GZE343" s="29"/>
      <c r="GZF343" s="29"/>
      <c r="GZG343" s="29"/>
      <c r="GZH343" s="29"/>
      <c r="GZI343" s="29"/>
      <c r="GZJ343" s="29"/>
      <c r="GZK343" s="29"/>
      <c r="GZL343" s="29"/>
      <c r="GZM343" s="29"/>
      <c r="GZN343" s="29"/>
      <c r="GZO343" s="29"/>
      <c r="GZP343" s="29"/>
      <c r="GZQ343" s="29"/>
      <c r="GZR343" s="29"/>
      <c r="GZS343" s="29"/>
      <c r="GZT343" s="29"/>
      <c r="GZU343" s="29"/>
      <c r="GZV343" s="29"/>
      <c r="GZW343" s="29"/>
      <c r="GZX343" s="29"/>
      <c r="GZY343" s="29"/>
      <c r="GZZ343" s="29"/>
      <c r="HAA343" s="29"/>
      <c r="HAB343" s="29"/>
      <c r="HAC343" s="29"/>
      <c r="HAD343" s="29"/>
      <c r="HAE343" s="29"/>
      <c r="HAF343" s="29"/>
      <c r="HAG343" s="29"/>
      <c r="HAH343" s="29"/>
      <c r="HAI343" s="29"/>
      <c r="HAJ343" s="29"/>
      <c r="HAK343" s="29"/>
      <c r="HAL343" s="29"/>
      <c r="HAM343" s="29"/>
      <c r="HAN343" s="29"/>
      <c r="HAO343" s="29"/>
      <c r="HAP343" s="29"/>
      <c r="HAQ343" s="29"/>
      <c r="HAR343" s="29"/>
      <c r="HAS343" s="29"/>
      <c r="HAT343" s="29"/>
      <c r="HAU343" s="29"/>
      <c r="HAV343" s="29"/>
      <c r="HAW343" s="29"/>
      <c r="HAX343" s="29"/>
      <c r="HAY343" s="29"/>
      <c r="HAZ343" s="29"/>
      <c r="HBA343" s="29"/>
      <c r="HBB343" s="29"/>
      <c r="HBC343" s="29"/>
      <c r="HBD343" s="29"/>
      <c r="HBE343" s="29"/>
      <c r="HBF343" s="29"/>
      <c r="HBG343" s="29"/>
      <c r="HBH343" s="29"/>
      <c r="HBI343" s="29"/>
      <c r="HBJ343" s="29"/>
      <c r="HBK343" s="29"/>
      <c r="HBL343" s="29"/>
      <c r="HBM343" s="29"/>
      <c r="HBN343" s="29"/>
      <c r="HBO343" s="29"/>
      <c r="HBP343" s="29"/>
      <c r="HBQ343" s="29"/>
      <c r="HBR343" s="29"/>
      <c r="HBS343" s="29"/>
      <c r="HBT343" s="29"/>
      <c r="HBU343" s="29"/>
      <c r="HBV343" s="29"/>
      <c r="HBW343" s="29"/>
      <c r="HBX343" s="29"/>
      <c r="HBY343" s="29"/>
      <c r="HBZ343" s="29"/>
      <c r="HCA343" s="29"/>
      <c r="HCB343" s="29"/>
      <c r="HCC343" s="29"/>
      <c r="HCD343" s="29"/>
      <c r="HCE343" s="29"/>
      <c r="HCF343" s="29"/>
      <c r="HCG343" s="29"/>
      <c r="HCH343" s="29"/>
      <c r="HCI343" s="29"/>
      <c r="HCJ343" s="29"/>
      <c r="HCK343" s="29"/>
      <c r="HCL343" s="29"/>
      <c r="HCM343" s="29"/>
      <c r="HCN343" s="29"/>
      <c r="HCO343" s="29"/>
      <c r="HCP343" s="29"/>
      <c r="HCQ343" s="29"/>
      <c r="HCR343" s="29"/>
      <c r="HCS343" s="29"/>
      <c r="HCT343" s="29"/>
      <c r="HCU343" s="29"/>
      <c r="HCV343" s="29"/>
      <c r="HCW343" s="29"/>
      <c r="HCX343" s="29"/>
      <c r="HCY343" s="29"/>
      <c r="HCZ343" s="29"/>
      <c r="HDA343" s="29"/>
      <c r="HDB343" s="29"/>
      <c r="HDC343" s="29"/>
      <c r="HDD343" s="29"/>
      <c r="HDE343" s="29"/>
      <c r="HDF343" s="29"/>
      <c r="HDG343" s="29"/>
      <c r="HDH343" s="29"/>
      <c r="HDI343" s="29"/>
      <c r="HDJ343" s="29"/>
      <c r="HDK343" s="29"/>
      <c r="HDL343" s="29"/>
      <c r="HDM343" s="29"/>
      <c r="HDN343" s="29"/>
      <c r="HDO343" s="29"/>
      <c r="HDP343" s="29"/>
      <c r="HDQ343" s="29"/>
      <c r="HDR343" s="29"/>
      <c r="HDS343" s="29"/>
      <c r="HDT343" s="29"/>
      <c r="HDU343" s="29"/>
      <c r="HDV343" s="29"/>
      <c r="HDW343" s="29"/>
      <c r="HDX343" s="29"/>
      <c r="HDY343" s="29"/>
      <c r="HDZ343" s="29"/>
      <c r="HEA343" s="29"/>
      <c r="HEB343" s="29"/>
      <c r="HEC343" s="29"/>
      <c r="HED343" s="29"/>
      <c r="HEE343" s="29"/>
      <c r="HEF343" s="29"/>
      <c r="HEG343" s="29"/>
      <c r="HEH343" s="29"/>
      <c r="HEI343" s="29"/>
      <c r="HEJ343" s="29"/>
      <c r="HEK343" s="29"/>
      <c r="HEL343" s="29"/>
      <c r="HEM343" s="29"/>
      <c r="HEN343" s="29"/>
      <c r="HEO343" s="29"/>
      <c r="HEP343" s="29"/>
      <c r="HEQ343" s="29"/>
      <c r="HER343" s="29"/>
      <c r="HES343" s="29"/>
      <c r="HET343" s="29"/>
      <c r="HEU343" s="29"/>
      <c r="HEV343" s="29"/>
      <c r="HEW343" s="29"/>
      <c r="HEX343" s="29"/>
      <c r="HEY343" s="29"/>
      <c r="HEZ343" s="29"/>
      <c r="HFA343" s="29"/>
      <c r="HFB343" s="29"/>
      <c r="HFC343" s="29"/>
      <c r="HFD343" s="29"/>
      <c r="HFE343" s="29"/>
      <c r="HFF343" s="29"/>
      <c r="HFG343" s="29"/>
      <c r="HFH343" s="29"/>
      <c r="HFI343" s="29"/>
      <c r="HFJ343" s="29"/>
      <c r="HFK343" s="29"/>
      <c r="HFL343" s="29"/>
      <c r="HFM343" s="29"/>
      <c r="HFN343" s="29"/>
      <c r="HFO343" s="29"/>
      <c r="HFP343" s="29"/>
      <c r="HFQ343" s="29"/>
      <c r="HFR343" s="29"/>
      <c r="HFS343" s="29"/>
      <c r="HFT343" s="29"/>
      <c r="HFU343" s="29"/>
      <c r="HFV343" s="29"/>
      <c r="HFW343" s="29"/>
      <c r="HFX343" s="29"/>
      <c r="HFY343" s="29"/>
      <c r="HFZ343" s="29"/>
      <c r="HGA343" s="29"/>
      <c r="HGB343" s="29"/>
      <c r="HGC343" s="29"/>
      <c r="HGD343" s="29"/>
      <c r="HGE343" s="29"/>
      <c r="HGF343" s="29"/>
      <c r="HGG343" s="29"/>
      <c r="HGH343" s="29"/>
      <c r="HGI343" s="29"/>
      <c r="HGJ343" s="29"/>
      <c r="HGK343" s="29"/>
      <c r="HGL343" s="29"/>
      <c r="HGM343" s="29"/>
      <c r="HGN343" s="29"/>
      <c r="HGO343" s="29"/>
      <c r="HGP343" s="29"/>
      <c r="HGQ343" s="29"/>
      <c r="HGR343" s="29"/>
      <c r="HGS343" s="29"/>
      <c r="HGT343" s="29"/>
      <c r="HGU343" s="29"/>
      <c r="HGV343" s="29"/>
      <c r="HGW343" s="29"/>
      <c r="HGX343" s="29"/>
      <c r="HGY343" s="29"/>
      <c r="HGZ343" s="29"/>
      <c r="HHA343" s="29"/>
      <c r="HHB343" s="29"/>
      <c r="HHC343" s="29"/>
      <c r="HHD343" s="29"/>
      <c r="HHE343" s="29"/>
      <c r="HHF343" s="29"/>
      <c r="HHG343" s="29"/>
      <c r="HHH343" s="29"/>
      <c r="HHI343" s="29"/>
      <c r="HHJ343" s="29"/>
      <c r="HHK343" s="29"/>
      <c r="HHL343" s="29"/>
      <c r="HHM343" s="29"/>
      <c r="HHN343" s="29"/>
      <c r="HHO343" s="29"/>
      <c r="HHP343" s="29"/>
      <c r="HHQ343" s="29"/>
      <c r="HHR343" s="29"/>
      <c r="HHS343" s="29"/>
      <c r="HHT343" s="29"/>
      <c r="HHU343" s="29"/>
      <c r="HHV343" s="29"/>
      <c r="HHW343" s="29"/>
      <c r="HHX343" s="29"/>
      <c r="HHY343" s="29"/>
      <c r="HHZ343" s="29"/>
      <c r="HIA343" s="29"/>
      <c r="HIB343" s="29"/>
      <c r="HIC343" s="29"/>
      <c r="HID343" s="29"/>
      <c r="HIE343" s="29"/>
      <c r="HIF343" s="29"/>
      <c r="HIG343" s="29"/>
      <c r="HIH343" s="29"/>
      <c r="HII343" s="29"/>
      <c r="HIJ343" s="29"/>
      <c r="HIK343" s="29"/>
      <c r="HIL343" s="29"/>
      <c r="HIM343" s="29"/>
      <c r="HIN343" s="29"/>
      <c r="HIO343" s="29"/>
      <c r="HIP343" s="29"/>
      <c r="HIQ343" s="29"/>
      <c r="HIR343" s="29"/>
      <c r="HIS343" s="29"/>
      <c r="HIT343" s="29"/>
      <c r="HIU343" s="29"/>
      <c r="HIV343" s="29"/>
      <c r="HIW343" s="29"/>
      <c r="HIX343" s="29"/>
      <c r="HIY343" s="29"/>
      <c r="HIZ343" s="29"/>
      <c r="HJA343" s="29"/>
      <c r="HJB343" s="29"/>
      <c r="HJC343" s="29"/>
      <c r="HJD343" s="29"/>
      <c r="HJE343" s="29"/>
      <c r="HJF343" s="29"/>
      <c r="HJG343" s="29"/>
      <c r="HJH343" s="29"/>
      <c r="HJI343" s="29"/>
      <c r="HJJ343" s="29"/>
      <c r="HJK343" s="29"/>
      <c r="HJL343" s="29"/>
      <c r="HJM343" s="29"/>
      <c r="HJN343" s="29"/>
      <c r="HJO343" s="29"/>
      <c r="HJP343" s="29"/>
      <c r="HJQ343" s="29"/>
      <c r="HJR343" s="29"/>
      <c r="HJS343" s="29"/>
      <c r="HJT343" s="29"/>
      <c r="HJU343" s="29"/>
      <c r="HJV343" s="29"/>
      <c r="HJW343" s="29"/>
      <c r="HJX343" s="29"/>
      <c r="HJY343" s="29"/>
      <c r="HJZ343" s="29"/>
      <c r="HKA343" s="29"/>
      <c r="HKB343" s="29"/>
      <c r="HKC343" s="29"/>
      <c r="HKD343" s="29"/>
      <c r="HKE343" s="29"/>
      <c r="HKF343" s="29"/>
      <c r="HKG343" s="29"/>
      <c r="HKH343" s="29"/>
      <c r="HKI343" s="29"/>
      <c r="HKJ343" s="29"/>
      <c r="HKK343" s="29"/>
      <c r="HKL343" s="29"/>
      <c r="HKM343" s="29"/>
      <c r="HKN343" s="29"/>
      <c r="HKO343" s="29"/>
      <c r="HKP343" s="29"/>
      <c r="HKQ343" s="29"/>
      <c r="HKR343" s="29"/>
      <c r="HKS343" s="29"/>
      <c r="HKT343" s="29"/>
      <c r="HKU343" s="29"/>
      <c r="HKV343" s="29"/>
      <c r="HKW343" s="29"/>
      <c r="HKX343" s="29"/>
      <c r="HKY343" s="29"/>
      <c r="HKZ343" s="29"/>
      <c r="HLA343" s="29"/>
      <c r="HLB343" s="29"/>
      <c r="HLC343" s="29"/>
      <c r="HLD343" s="29"/>
      <c r="HLE343" s="29"/>
      <c r="HLF343" s="29"/>
      <c r="HLG343" s="29"/>
      <c r="HLH343" s="29"/>
      <c r="HLI343" s="29"/>
      <c r="HLJ343" s="29"/>
      <c r="HLK343" s="29"/>
      <c r="HLL343" s="29"/>
      <c r="HLM343" s="29"/>
      <c r="HLN343" s="29"/>
      <c r="HLO343" s="29"/>
      <c r="HLP343" s="29"/>
      <c r="HLQ343" s="29"/>
      <c r="HLR343" s="29"/>
      <c r="HLS343" s="29"/>
      <c r="HLT343" s="29"/>
      <c r="HLU343" s="29"/>
      <c r="HLV343" s="29"/>
      <c r="HLW343" s="29"/>
      <c r="HLX343" s="29"/>
      <c r="HLY343" s="29"/>
      <c r="HLZ343" s="29"/>
      <c r="HMA343" s="29"/>
      <c r="HMB343" s="29"/>
      <c r="HMC343" s="29"/>
      <c r="HMD343" s="29"/>
      <c r="HME343" s="29"/>
      <c r="HMF343" s="29"/>
      <c r="HMG343" s="29"/>
      <c r="HMH343" s="29"/>
      <c r="HMI343" s="29"/>
      <c r="HMJ343" s="29"/>
      <c r="HMK343" s="29"/>
      <c r="HML343" s="29"/>
      <c r="HMM343" s="29"/>
      <c r="HMN343" s="29"/>
      <c r="HMO343" s="29"/>
      <c r="HMP343" s="29"/>
      <c r="HMQ343" s="29"/>
      <c r="HMR343" s="29"/>
      <c r="HMS343" s="29"/>
      <c r="HMT343" s="29"/>
      <c r="HMU343" s="29"/>
      <c r="HMV343" s="29"/>
      <c r="HMW343" s="29"/>
      <c r="HMX343" s="29"/>
      <c r="HMY343" s="29"/>
      <c r="HMZ343" s="29"/>
      <c r="HNA343" s="29"/>
      <c r="HNB343" s="29"/>
      <c r="HNC343" s="29"/>
      <c r="HND343" s="29"/>
      <c r="HNE343" s="29"/>
      <c r="HNF343" s="29"/>
      <c r="HNG343" s="29"/>
      <c r="HNH343" s="29"/>
      <c r="HNI343" s="29"/>
      <c r="HNJ343" s="29"/>
      <c r="HNK343" s="29"/>
      <c r="HNL343" s="29"/>
      <c r="HNM343" s="29"/>
      <c r="HNN343" s="29"/>
      <c r="HNO343" s="29"/>
      <c r="HNP343" s="29"/>
      <c r="HNQ343" s="29"/>
      <c r="HNR343" s="29"/>
      <c r="HNS343" s="29"/>
      <c r="HNT343" s="29"/>
      <c r="HNU343" s="29"/>
      <c r="HNV343" s="29"/>
      <c r="HNW343" s="29"/>
      <c r="HNX343" s="29"/>
      <c r="HNY343" s="29"/>
      <c r="HNZ343" s="29"/>
      <c r="HOA343" s="29"/>
      <c r="HOB343" s="29"/>
      <c r="HOC343" s="29"/>
      <c r="HOD343" s="29"/>
      <c r="HOE343" s="29"/>
      <c r="HOF343" s="29"/>
      <c r="HOG343" s="29"/>
      <c r="HOH343" s="29"/>
      <c r="HOI343" s="29"/>
      <c r="HOJ343" s="29"/>
      <c r="HOK343" s="29"/>
      <c r="HOL343" s="29"/>
      <c r="HOM343" s="29"/>
      <c r="HON343" s="29"/>
      <c r="HOO343" s="29"/>
      <c r="HOP343" s="29"/>
      <c r="HOQ343" s="29"/>
      <c r="HOR343" s="29"/>
      <c r="HOS343" s="29"/>
      <c r="HOT343" s="29"/>
      <c r="HOU343" s="29"/>
      <c r="HOV343" s="29"/>
      <c r="HOW343" s="29"/>
      <c r="HOX343" s="29"/>
      <c r="HOY343" s="29"/>
      <c r="HOZ343" s="29"/>
      <c r="HPA343" s="29"/>
      <c r="HPB343" s="29"/>
      <c r="HPC343" s="29"/>
      <c r="HPD343" s="29"/>
      <c r="HPE343" s="29"/>
      <c r="HPF343" s="29"/>
      <c r="HPG343" s="29"/>
      <c r="HPH343" s="29"/>
      <c r="HPI343" s="29"/>
      <c r="HPJ343" s="29"/>
      <c r="HPK343" s="29"/>
      <c r="HPL343" s="29"/>
      <c r="HPM343" s="29"/>
      <c r="HPN343" s="29"/>
      <c r="HPO343" s="29"/>
      <c r="HPP343" s="29"/>
      <c r="HPQ343" s="29"/>
      <c r="HPR343" s="29"/>
      <c r="HPS343" s="29"/>
      <c r="HPT343" s="29"/>
      <c r="HPU343" s="29"/>
      <c r="HPV343" s="29"/>
      <c r="HPW343" s="29"/>
      <c r="HPX343" s="29"/>
      <c r="HPY343" s="29"/>
      <c r="HPZ343" s="29"/>
      <c r="HQA343" s="29"/>
      <c r="HQB343" s="29"/>
      <c r="HQC343" s="29"/>
      <c r="HQD343" s="29"/>
      <c r="HQE343" s="29"/>
      <c r="HQF343" s="29"/>
      <c r="HQG343" s="29"/>
      <c r="HQH343" s="29"/>
      <c r="HQI343" s="29"/>
      <c r="HQJ343" s="29"/>
      <c r="HQK343" s="29"/>
      <c r="HQL343" s="29"/>
      <c r="HQM343" s="29"/>
      <c r="HQN343" s="29"/>
      <c r="HQO343" s="29"/>
      <c r="HQP343" s="29"/>
      <c r="HQQ343" s="29"/>
      <c r="HQR343" s="29"/>
      <c r="HQS343" s="29"/>
      <c r="HQT343" s="29"/>
      <c r="HQU343" s="29"/>
      <c r="HQV343" s="29"/>
      <c r="HQW343" s="29"/>
      <c r="HQX343" s="29"/>
      <c r="HQY343" s="29"/>
      <c r="HQZ343" s="29"/>
      <c r="HRA343" s="29"/>
      <c r="HRB343" s="29"/>
      <c r="HRC343" s="29"/>
      <c r="HRD343" s="29"/>
      <c r="HRE343" s="29"/>
      <c r="HRF343" s="29"/>
      <c r="HRG343" s="29"/>
      <c r="HRH343" s="29"/>
      <c r="HRI343" s="29"/>
      <c r="HRJ343" s="29"/>
      <c r="HRK343" s="29"/>
      <c r="HRL343" s="29"/>
      <c r="HRM343" s="29"/>
      <c r="HRN343" s="29"/>
      <c r="HRO343" s="29"/>
      <c r="HRP343" s="29"/>
      <c r="HRQ343" s="29"/>
      <c r="HRR343" s="29"/>
      <c r="HRS343" s="29"/>
      <c r="HRT343" s="29"/>
      <c r="HRU343" s="29"/>
      <c r="HRV343" s="29"/>
      <c r="HRW343" s="29"/>
      <c r="HRX343" s="29"/>
      <c r="HRY343" s="29"/>
      <c r="HRZ343" s="29"/>
      <c r="HSA343" s="29"/>
      <c r="HSB343" s="29"/>
      <c r="HSC343" s="29"/>
      <c r="HSD343" s="29"/>
      <c r="HSE343" s="29"/>
      <c r="HSF343" s="29"/>
      <c r="HSG343" s="29"/>
      <c r="HSH343" s="29"/>
      <c r="HSI343" s="29"/>
      <c r="HSJ343" s="29"/>
      <c r="HSK343" s="29"/>
      <c r="HSL343" s="29"/>
      <c r="HSM343" s="29"/>
      <c r="HSN343" s="29"/>
      <c r="HSO343" s="29"/>
      <c r="HSP343" s="29"/>
      <c r="HSQ343" s="29"/>
      <c r="HSR343" s="29"/>
      <c r="HSS343" s="29"/>
      <c r="HST343" s="29"/>
      <c r="HSU343" s="29"/>
      <c r="HSV343" s="29"/>
      <c r="HSW343" s="29"/>
      <c r="HSX343" s="29"/>
      <c r="HSY343" s="29"/>
      <c r="HSZ343" s="29"/>
      <c r="HTA343" s="29"/>
      <c r="HTB343" s="29"/>
      <c r="HTC343" s="29"/>
      <c r="HTD343" s="29"/>
      <c r="HTE343" s="29"/>
      <c r="HTF343" s="29"/>
      <c r="HTG343" s="29"/>
      <c r="HTH343" s="29"/>
      <c r="HTI343" s="29"/>
      <c r="HTJ343" s="29"/>
      <c r="HTK343" s="29"/>
      <c r="HTL343" s="29"/>
      <c r="HTM343" s="29"/>
      <c r="HTN343" s="29"/>
      <c r="HTO343" s="29"/>
      <c r="HTP343" s="29"/>
      <c r="HTQ343" s="29"/>
      <c r="HTR343" s="29"/>
      <c r="HTS343" s="29"/>
      <c r="HTT343" s="29"/>
      <c r="HTU343" s="29"/>
      <c r="HTV343" s="29"/>
      <c r="HTW343" s="29"/>
      <c r="HTX343" s="29"/>
      <c r="HTY343" s="29"/>
      <c r="HTZ343" s="29"/>
      <c r="HUA343" s="29"/>
      <c r="HUB343" s="29"/>
      <c r="HUC343" s="29"/>
      <c r="HUD343" s="29"/>
      <c r="HUE343" s="29"/>
      <c r="HUF343" s="29"/>
      <c r="HUG343" s="29"/>
      <c r="HUH343" s="29"/>
      <c r="HUI343" s="29"/>
      <c r="HUJ343" s="29"/>
      <c r="HUK343" s="29"/>
      <c r="HUL343" s="29"/>
      <c r="HUM343" s="29"/>
      <c r="HUN343" s="29"/>
      <c r="HUO343" s="29"/>
      <c r="HUP343" s="29"/>
      <c r="HUQ343" s="29"/>
      <c r="HUR343" s="29"/>
      <c r="HUS343" s="29"/>
      <c r="HUT343" s="29"/>
      <c r="HUU343" s="29"/>
      <c r="HUV343" s="29"/>
      <c r="HUW343" s="29"/>
      <c r="HUX343" s="29"/>
      <c r="HUY343" s="29"/>
      <c r="HUZ343" s="29"/>
      <c r="HVA343" s="29"/>
      <c r="HVB343" s="29"/>
      <c r="HVC343" s="29"/>
      <c r="HVD343" s="29"/>
      <c r="HVE343" s="29"/>
      <c r="HVF343" s="29"/>
      <c r="HVG343" s="29"/>
      <c r="HVH343" s="29"/>
      <c r="HVI343" s="29"/>
      <c r="HVJ343" s="29"/>
      <c r="HVK343" s="29"/>
      <c r="HVL343" s="29"/>
      <c r="HVM343" s="29"/>
      <c r="HVN343" s="29"/>
      <c r="HVO343" s="29"/>
      <c r="HVP343" s="29"/>
      <c r="HVQ343" s="29"/>
      <c r="HVR343" s="29"/>
      <c r="HVS343" s="29"/>
      <c r="HVT343" s="29"/>
      <c r="HVU343" s="29"/>
      <c r="HVV343" s="29"/>
      <c r="HVW343" s="29"/>
      <c r="HVX343" s="29"/>
      <c r="HVY343" s="29"/>
      <c r="HVZ343" s="29"/>
      <c r="HWA343" s="29"/>
      <c r="HWB343" s="29"/>
      <c r="HWC343" s="29"/>
      <c r="HWD343" s="29"/>
      <c r="HWE343" s="29"/>
      <c r="HWF343" s="29"/>
      <c r="HWG343" s="29"/>
      <c r="HWH343" s="29"/>
      <c r="HWI343" s="29"/>
      <c r="HWJ343" s="29"/>
      <c r="HWK343" s="29"/>
      <c r="HWL343" s="29"/>
      <c r="HWM343" s="29"/>
      <c r="HWN343" s="29"/>
      <c r="HWO343" s="29"/>
      <c r="HWP343" s="29"/>
      <c r="HWQ343" s="29"/>
      <c r="HWR343" s="29"/>
      <c r="HWS343" s="29"/>
      <c r="HWT343" s="29"/>
      <c r="HWU343" s="29"/>
      <c r="HWV343" s="29"/>
      <c r="HWW343" s="29"/>
      <c r="HWX343" s="29"/>
      <c r="HWY343" s="29"/>
      <c r="HWZ343" s="29"/>
      <c r="HXA343" s="29"/>
      <c r="HXB343" s="29"/>
      <c r="HXC343" s="29"/>
      <c r="HXD343" s="29"/>
      <c r="HXE343" s="29"/>
      <c r="HXF343" s="29"/>
      <c r="HXG343" s="29"/>
      <c r="HXH343" s="29"/>
      <c r="HXI343" s="29"/>
      <c r="HXJ343" s="29"/>
      <c r="HXK343" s="29"/>
      <c r="HXL343" s="29"/>
      <c r="HXM343" s="29"/>
      <c r="HXN343" s="29"/>
      <c r="HXO343" s="29"/>
      <c r="HXP343" s="29"/>
      <c r="HXQ343" s="29"/>
      <c r="HXR343" s="29"/>
      <c r="HXS343" s="29"/>
      <c r="HXT343" s="29"/>
      <c r="HXU343" s="29"/>
      <c r="HXV343" s="29"/>
      <c r="HXW343" s="29"/>
      <c r="HXX343" s="29"/>
      <c r="HXY343" s="29"/>
      <c r="HXZ343" s="29"/>
      <c r="HYA343" s="29"/>
      <c r="HYB343" s="29"/>
      <c r="HYC343" s="29"/>
      <c r="HYD343" s="29"/>
      <c r="HYE343" s="29"/>
      <c r="HYF343" s="29"/>
      <c r="HYG343" s="29"/>
      <c r="HYH343" s="29"/>
      <c r="HYI343" s="29"/>
      <c r="HYJ343" s="29"/>
      <c r="HYK343" s="29"/>
      <c r="HYL343" s="29"/>
      <c r="HYM343" s="29"/>
      <c r="HYN343" s="29"/>
      <c r="HYO343" s="29"/>
      <c r="HYP343" s="29"/>
      <c r="HYQ343" s="29"/>
      <c r="HYR343" s="29"/>
      <c r="HYS343" s="29"/>
      <c r="HYT343" s="29"/>
      <c r="HYU343" s="29"/>
      <c r="HYV343" s="29"/>
      <c r="HYW343" s="29"/>
      <c r="HYX343" s="29"/>
      <c r="HYY343" s="29"/>
      <c r="HYZ343" s="29"/>
      <c r="HZA343" s="29"/>
      <c r="HZB343" s="29"/>
      <c r="HZC343" s="29"/>
      <c r="HZD343" s="29"/>
      <c r="HZE343" s="29"/>
      <c r="HZF343" s="29"/>
      <c r="HZG343" s="29"/>
      <c r="HZH343" s="29"/>
      <c r="HZI343" s="29"/>
      <c r="HZJ343" s="29"/>
      <c r="HZK343" s="29"/>
      <c r="HZL343" s="29"/>
      <c r="HZM343" s="29"/>
      <c r="HZN343" s="29"/>
      <c r="HZO343" s="29"/>
      <c r="HZP343" s="29"/>
      <c r="HZQ343" s="29"/>
      <c r="HZR343" s="29"/>
      <c r="HZS343" s="29"/>
      <c r="HZT343" s="29"/>
      <c r="HZU343" s="29"/>
      <c r="HZV343" s="29"/>
      <c r="HZW343" s="29"/>
      <c r="HZX343" s="29"/>
      <c r="HZY343" s="29"/>
      <c r="HZZ343" s="29"/>
      <c r="IAA343" s="29"/>
      <c r="IAB343" s="29"/>
      <c r="IAC343" s="29"/>
      <c r="IAD343" s="29"/>
      <c r="IAE343" s="29"/>
      <c r="IAF343" s="29"/>
      <c r="IAG343" s="29"/>
      <c r="IAH343" s="29"/>
      <c r="IAI343" s="29"/>
      <c r="IAJ343" s="29"/>
      <c r="IAK343" s="29"/>
      <c r="IAL343" s="29"/>
      <c r="IAM343" s="29"/>
      <c r="IAN343" s="29"/>
      <c r="IAO343" s="29"/>
      <c r="IAP343" s="29"/>
      <c r="IAQ343" s="29"/>
      <c r="IAR343" s="29"/>
      <c r="IAS343" s="29"/>
      <c r="IAT343" s="29"/>
      <c r="IAU343" s="29"/>
      <c r="IAV343" s="29"/>
      <c r="IAW343" s="29"/>
      <c r="IAX343" s="29"/>
      <c r="IAY343" s="29"/>
      <c r="IAZ343" s="29"/>
      <c r="IBA343" s="29"/>
      <c r="IBB343" s="29"/>
      <c r="IBC343" s="29"/>
      <c r="IBD343" s="29"/>
      <c r="IBE343" s="29"/>
      <c r="IBF343" s="29"/>
      <c r="IBG343" s="29"/>
      <c r="IBH343" s="29"/>
      <c r="IBI343" s="29"/>
      <c r="IBJ343" s="29"/>
      <c r="IBK343" s="29"/>
      <c r="IBL343" s="29"/>
      <c r="IBM343" s="29"/>
      <c r="IBN343" s="29"/>
      <c r="IBO343" s="29"/>
      <c r="IBP343" s="29"/>
      <c r="IBQ343" s="29"/>
      <c r="IBR343" s="29"/>
      <c r="IBS343" s="29"/>
      <c r="IBT343" s="29"/>
      <c r="IBU343" s="29"/>
      <c r="IBV343" s="29"/>
      <c r="IBW343" s="29"/>
      <c r="IBX343" s="29"/>
      <c r="IBY343" s="29"/>
      <c r="IBZ343" s="29"/>
      <c r="ICA343" s="29"/>
      <c r="ICB343" s="29"/>
      <c r="ICC343" s="29"/>
      <c r="ICD343" s="29"/>
      <c r="ICE343" s="29"/>
      <c r="ICF343" s="29"/>
      <c r="ICG343" s="29"/>
      <c r="ICH343" s="29"/>
      <c r="ICI343" s="29"/>
      <c r="ICJ343" s="29"/>
      <c r="ICK343" s="29"/>
      <c r="ICL343" s="29"/>
      <c r="ICM343" s="29"/>
      <c r="ICN343" s="29"/>
      <c r="ICO343" s="29"/>
      <c r="ICP343" s="29"/>
      <c r="ICQ343" s="29"/>
      <c r="ICR343" s="29"/>
      <c r="ICS343" s="29"/>
      <c r="ICT343" s="29"/>
      <c r="ICU343" s="29"/>
      <c r="ICV343" s="29"/>
      <c r="ICW343" s="29"/>
      <c r="ICX343" s="29"/>
      <c r="ICY343" s="29"/>
      <c r="ICZ343" s="29"/>
      <c r="IDA343" s="29"/>
      <c r="IDB343" s="29"/>
      <c r="IDC343" s="29"/>
      <c r="IDD343" s="29"/>
      <c r="IDE343" s="29"/>
      <c r="IDF343" s="29"/>
      <c r="IDG343" s="29"/>
      <c r="IDH343" s="29"/>
      <c r="IDI343" s="29"/>
      <c r="IDJ343" s="29"/>
      <c r="IDK343" s="29"/>
      <c r="IDL343" s="29"/>
      <c r="IDM343" s="29"/>
      <c r="IDN343" s="29"/>
      <c r="IDO343" s="29"/>
      <c r="IDP343" s="29"/>
      <c r="IDQ343" s="29"/>
      <c r="IDR343" s="29"/>
      <c r="IDS343" s="29"/>
      <c r="IDT343" s="29"/>
      <c r="IDU343" s="29"/>
      <c r="IDV343" s="29"/>
      <c r="IDW343" s="29"/>
      <c r="IDX343" s="29"/>
      <c r="IDY343" s="29"/>
      <c r="IDZ343" s="29"/>
      <c r="IEA343" s="29"/>
      <c r="IEB343" s="29"/>
      <c r="IEC343" s="29"/>
      <c r="IED343" s="29"/>
      <c r="IEE343" s="29"/>
      <c r="IEF343" s="29"/>
      <c r="IEG343" s="29"/>
      <c r="IEH343" s="29"/>
      <c r="IEI343" s="29"/>
      <c r="IEJ343" s="29"/>
      <c r="IEK343" s="29"/>
      <c r="IEL343" s="29"/>
      <c r="IEM343" s="29"/>
      <c r="IEN343" s="29"/>
      <c r="IEO343" s="29"/>
      <c r="IEP343" s="29"/>
      <c r="IEQ343" s="29"/>
      <c r="IER343" s="29"/>
      <c r="IES343" s="29"/>
      <c r="IET343" s="29"/>
      <c r="IEU343" s="29"/>
      <c r="IEV343" s="29"/>
      <c r="IEW343" s="29"/>
      <c r="IEX343" s="29"/>
      <c r="IEY343" s="29"/>
      <c r="IEZ343" s="29"/>
      <c r="IFA343" s="29"/>
      <c r="IFB343" s="29"/>
      <c r="IFC343" s="29"/>
      <c r="IFD343" s="29"/>
      <c r="IFE343" s="29"/>
      <c r="IFF343" s="29"/>
      <c r="IFG343" s="29"/>
      <c r="IFH343" s="29"/>
      <c r="IFI343" s="29"/>
      <c r="IFJ343" s="29"/>
      <c r="IFK343" s="29"/>
      <c r="IFL343" s="29"/>
      <c r="IFM343" s="29"/>
      <c r="IFN343" s="29"/>
      <c r="IFO343" s="29"/>
      <c r="IFP343" s="29"/>
      <c r="IFQ343" s="29"/>
      <c r="IFR343" s="29"/>
      <c r="IFS343" s="29"/>
      <c r="IFT343" s="29"/>
      <c r="IFU343" s="29"/>
      <c r="IFV343" s="29"/>
      <c r="IFW343" s="29"/>
      <c r="IFX343" s="29"/>
      <c r="IFY343" s="29"/>
      <c r="IFZ343" s="29"/>
      <c r="IGA343" s="29"/>
      <c r="IGB343" s="29"/>
      <c r="IGC343" s="29"/>
      <c r="IGD343" s="29"/>
      <c r="IGE343" s="29"/>
      <c r="IGF343" s="29"/>
      <c r="IGG343" s="29"/>
      <c r="IGH343" s="29"/>
      <c r="IGI343" s="29"/>
      <c r="IGJ343" s="29"/>
      <c r="IGK343" s="29"/>
      <c r="IGL343" s="29"/>
      <c r="IGM343" s="29"/>
      <c r="IGN343" s="29"/>
      <c r="IGO343" s="29"/>
      <c r="IGP343" s="29"/>
      <c r="IGQ343" s="29"/>
      <c r="IGR343" s="29"/>
      <c r="IGS343" s="29"/>
      <c r="IGT343" s="29"/>
      <c r="IGU343" s="29"/>
      <c r="IGV343" s="29"/>
      <c r="IGW343" s="29"/>
      <c r="IGX343" s="29"/>
      <c r="IGY343" s="29"/>
      <c r="IGZ343" s="29"/>
      <c r="IHA343" s="29"/>
      <c r="IHB343" s="29"/>
      <c r="IHC343" s="29"/>
      <c r="IHD343" s="29"/>
      <c r="IHE343" s="29"/>
      <c r="IHF343" s="29"/>
      <c r="IHG343" s="29"/>
      <c r="IHH343" s="29"/>
      <c r="IHI343" s="29"/>
      <c r="IHJ343" s="29"/>
      <c r="IHK343" s="29"/>
      <c r="IHL343" s="29"/>
      <c r="IHM343" s="29"/>
      <c r="IHN343" s="29"/>
      <c r="IHO343" s="29"/>
      <c r="IHP343" s="29"/>
      <c r="IHQ343" s="29"/>
      <c r="IHR343" s="29"/>
      <c r="IHS343" s="29"/>
      <c r="IHT343" s="29"/>
      <c r="IHU343" s="29"/>
      <c r="IHV343" s="29"/>
      <c r="IHW343" s="29"/>
      <c r="IHX343" s="29"/>
      <c r="IHY343" s="29"/>
      <c r="IHZ343" s="29"/>
      <c r="IIA343" s="29"/>
      <c r="IIB343" s="29"/>
      <c r="IIC343" s="29"/>
      <c r="IID343" s="29"/>
      <c r="IIE343" s="29"/>
      <c r="IIF343" s="29"/>
      <c r="IIG343" s="29"/>
      <c r="IIH343" s="29"/>
      <c r="III343" s="29"/>
      <c r="IIJ343" s="29"/>
      <c r="IIK343" s="29"/>
      <c r="IIL343" s="29"/>
      <c r="IIM343" s="29"/>
      <c r="IIN343" s="29"/>
      <c r="IIO343" s="29"/>
      <c r="IIP343" s="29"/>
      <c r="IIQ343" s="29"/>
      <c r="IIR343" s="29"/>
      <c r="IIS343" s="29"/>
      <c r="IIT343" s="29"/>
      <c r="IIU343" s="29"/>
      <c r="IIV343" s="29"/>
      <c r="IIW343" s="29"/>
      <c r="IIX343" s="29"/>
      <c r="IIY343" s="29"/>
      <c r="IIZ343" s="29"/>
      <c r="IJA343" s="29"/>
      <c r="IJB343" s="29"/>
      <c r="IJC343" s="29"/>
      <c r="IJD343" s="29"/>
      <c r="IJE343" s="29"/>
      <c r="IJF343" s="29"/>
      <c r="IJG343" s="29"/>
      <c r="IJH343" s="29"/>
      <c r="IJI343" s="29"/>
      <c r="IJJ343" s="29"/>
      <c r="IJK343" s="29"/>
      <c r="IJL343" s="29"/>
      <c r="IJM343" s="29"/>
      <c r="IJN343" s="29"/>
      <c r="IJO343" s="29"/>
      <c r="IJP343" s="29"/>
      <c r="IJQ343" s="29"/>
      <c r="IJR343" s="29"/>
      <c r="IJS343" s="29"/>
      <c r="IJT343" s="29"/>
      <c r="IJU343" s="29"/>
      <c r="IJV343" s="29"/>
      <c r="IJW343" s="29"/>
      <c r="IJX343" s="29"/>
      <c r="IJY343" s="29"/>
      <c r="IJZ343" s="29"/>
      <c r="IKA343" s="29"/>
      <c r="IKB343" s="29"/>
      <c r="IKC343" s="29"/>
      <c r="IKD343" s="29"/>
      <c r="IKE343" s="29"/>
      <c r="IKF343" s="29"/>
      <c r="IKG343" s="29"/>
      <c r="IKH343" s="29"/>
      <c r="IKI343" s="29"/>
      <c r="IKJ343" s="29"/>
      <c r="IKK343" s="29"/>
      <c r="IKL343" s="29"/>
      <c r="IKM343" s="29"/>
      <c r="IKN343" s="29"/>
      <c r="IKO343" s="29"/>
      <c r="IKP343" s="29"/>
      <c r="IKQ343" s="29"/>
      <c r="IKR343" s="29"/>
      <c r="IKS343" s="29"/>
      <c r="IKT343" s="29"/>
      <c r="IKU343" s="29"/>
      <c r="IKV343" s="29"/>
      <c r="IKW343" s="29"/>
      <c r="IKX343" s="29"/>
      <c r="IKY343" s="29"/>
      <c r="IKZ343" s="29"/>
      <c r="ILA343" s="29"/>
      <c r="ILB343" s="29"/>
      <c r="ILC343" s="29"/>
      <c r="ILD343" s="29"/>
      <c r="ILE343" s="29"/>
      <c r="ILF343" s="29"/>
      <c r="ILG343" s="29"/>
      <c r="ILH343" s="29"/>
      <c r="ILI343" s="29"/>
      <c r="ILJ343" s="29"/>
      <c r="ILK343" s="29"/>
      <c r="ILL343" s="29"/>
      <c r="ILM343" s="29"/>
      <c r="ILN343" s="29"/>
      <c r="ILO343" s="29"/>
      <c r="ILP343" s="29"/>
      <c r="ILQ343" s="29"/>
      <c r="ILR343" s="29"/>
      <c r="ILS343" s="29"/>
      <c r="ILT343" s="29"/>
      <c r="ILU343" s="29"/>
      <c r="ILV343" s="29"/>
      <c r="ILW343" s="29"/>
      <c r="ILX343" s="29"/>
      <c r="ILY343" s="29"/>
      <c r="ILZ343" s="29"/>
      <c r="IMA343" s="29"/>
      <c r="IMB343" s="29"/>
      <c r="IMC343" s="29"/>
      <c r="IMD343" s="29"/>
      <c r="IME343" s="29"/>
      <c r="IMF343" s="29"/>
      <c r="IMG343" s="29"/>
      <c r="IMH343" s="29"/>
      <c r="IMI343" s="29"/>
      <c r="IMJ343" s="29"/>
      <c r="IMK343" s="29"/>
      <c r="IML343" s="29"/>
      <c r="IMM343" s="29"/>
      <c r="IMN343" s="29"/>
      <c r="IMO343" s="29"/>
      <c r="IMP343" s="29"/>
      <c r="IMQ343" s="29"/>
      <c r="IMR343" s="29"/>
      <c r="IMS343" s="29"/>
      <c r="IMT343" s="29"/>
      <c r="IMU343" s="29"/>
      <c r="IMV343" s="29"/>
      <c r="IMW343" s="29"/>
      <c r="IMX343" s="29"/>
      <c r="IMY343" s="29"/>
      <c r="IMZ343" s="29"/>
      <c r="INA343" s="29"/>
      <c r="INB343" s="29"/>
      <c r="INC343" s="29"/>
      <c r="IND343" s="29"/>
      <c r="INE343" s="29"/>
      <c r="INF343" s="29"/>
      <c r="ING343" s="29"/>
      <c r="INH343" s="29"/>
      <c r="INI343" s="29"/>
      <c r="INJ343" s="29"/>
      <c r="INK343" s="29"/>
      <c r="INL343" s="29"/>
      <c r="INM343" s="29"/>
      <c r="INN343" s="29"/>
      <c r="INO343" s="29"/>
      <c r="INP343" s="29"/>
      <c r="INQ343" s="29"/>
      <c r="INR343" s="29"/>
      <c r="INS343" s="29"/>
      <c r="INT343" s="29"/>
      <c r="INU343" s="29"/>
      <c r="INV343" s="29"/>
      <c r="INW343" s="29"/>
      <c r="INX343" s="29"/>
      <c r="INY343" s="29"/>
      <c r="INZ343" s="29"/>
      <c r="IOA343" s="29"/>
      <c r="IOB343" s="29"/>
      <c r="IOC343" s="29"/>
      <c r="IOD343" s="29"/>
      <c r="IOE343" s="29"/>
      <c r="IOF343" s="29"/>
      <c r="IOG343" s="29"/>
      <c r="IOH343" s="29"/>
      <c r="IOI343" s="29"/>
      <c r="IOJ343" s="29"/>
      <c r="IOK343" s="29"/>
      <c r="IOL343" s="29"/>
      <c r="IOM343" s="29"/>
      <c r="ION343" s="29"/>
      <c r="IOO343" s="29"/>
      <c r="IOP343" s="29"/>
      <c r="IOQ343" s="29"/>
      <c r="IOR343" s="29"/>
      <c r="IOS343" s="29"/>
      <c r="IOT343" s="29"/>
      <c r="IOU343" s="29"/>
      <c r="IOV343" s="29"/>
      <c r="IOW343" s="29"/>
      <c r="IOX343" s="29"/>
      <c r="IOY343" s="29"/>
      <c r="IOZ343" s="29"/>
      <c r="IPA343" s="29"/>
      <c r="IPB343" s="29"/>
      <c r="IPC343" s="29"/>
      <c r="IPD343" s="29"/>
      <c r="IPE343" s="29"/>
      <c r="IPF343" s="29"/>
      <c r="IPG343" s="29"/>
      <c r="IPH343" s="29"/>
      <c r="IPI343" s="29"/>
      <c r="IPJ343" s="29"/>
      <c r="IPK343" s="29"/>
      <c r="IPL343" s="29"/>
      <c r="IPM343" s="29"/>
      <c r="IPN343" s="29"/>
      <c r="IPO343" s="29"/>
      <c r="IPP343" s="29"/>
      <c r="IPQ343" s="29"/>
      <c r="IPR343" s="29"/>
      <c r="IPS343" s="29"/>
      <c r="IPT343" s="29"/>
      <c r="IPU343" s="29"/>
      <c r="IPV343" s="29"/>
      <c r="IPW343" s="29"/>
      <c r="IPX343" s="29"/>
      <c r="IPY343" s="29"/>
      <c r="IPZ343" s="29"/>
      <c r="IQA343" s="29"/>
      <c r="IQB343" s="29"/>
      <c r="IQC343" s="29"/>
      <c r="IQD343" s="29"/>
      <c r="IQE343" s="29"/>
      <c r="IQF343" s="29"/>
      <c r="IQG343" s="29"/>
      <c r="IQH343" s="29"/>
      <c r="IQI343" s="29"/>
      <c r="IQJ343" s="29"/>
      <c r="IQK343" s="29"/>
      <c r="IQL343" s="29"/>
      <c r="IQM343" s="29"/>
      <c r="IQN343" s="29"/>
      <c r="IQO343" s="29"/>
      <c r="IQP343" s="29"/>
      <c r="IQQ343" s="29"/>
      <c r="IQR343" s="29"/>
      <c r="IQS343" s="29"/>
      <c r="IQT343" s="29"/>
      <c r="IQU343" s="29"/>
      <c r="IQV343" s="29"/>
      <c r="IQW343" s="29"/>
      <c r="IQX343" s="29"/>
      <c r="IQY343" s="29"/>
      <c r="IQZ343" s="29"/>
      <c r="IRA343" s="29"/>
      <c r="IRB343" s="29"/>
      <c r="IRC343" s="29"/>
      <c r="IRD343" s="29"/>
      <c r="IRE343" s="29"/>
      <c r="IRF343" s="29"/>
      <c r="IRG343" s="29"/>
      <c r="IRH343" s="29"/>
      <c r="IRI343" s="29"/>
      <c r="IRJ343" s="29"/>
      <c r="IRK343" s="29"/>
      <c r="IRL343" s="29"/>
      <c r="IRM343" s="29"/>
      <c r="IRN343" s="29"/>
      <c r="IRO343" s="29"/>
      <c r="IRP343" s="29"/>
      <c r="IRQ343" s="29"/>
      <c r="IRR343" s="29"/>
      <c r="IRS343" s="29"/>
      <c r="IRT343" s="29"/>
      <c r="IRU343" s="29"/>
      <c r="IRV343" s="29"/>
      <c r="IRW343" s="29"/>
      <c r="IRX343" s="29"/>
      <c r="IRY343" s="29"/>
      <c r="IRZ343" s="29"/>
      <c r="ISA343" s="29"/>
      <c r="ISB343" s="29"/>
      <c r="ISC343" s="29"/>
      <c r="ISD343" s="29"/>
      <c r="ISE343" s="29"/>
      <c r="ISF343" s="29"/>
      <c r="ISG343" s="29"/>
      <c r="ISH343" s="29"/>
      <c r="ISI343" s="29"/>
      <c r="ISJ343" s="29"/>
      <c r="ISK343" s="29"/>
      <c r="ISL343" s="29"/>
      <c r="ISM343" s="29"/>
      <c r="ISN343" s="29"/>
      <c r="ISO343" s="29"/>
      <c r="ISP343" s="29"/>
      <c r="ISQ343" s="29"/>
      <c r="ISR343" s="29"/>
      <c r="ISS343" s="29"/>
      <c r="IST343" s="29"/>
      <c r="ISU343" s="29"/>
      <c r="ISV343" s="29"/>
      <c r="ISW343" s="29"/>
      <c r="ISX343" s="29"/>
      <c r="ISY343" s="29"/>
      <c r="ISZ343" s="29"/>
      <c r="ITA343" s="29"/>
      <c r="ITB343" s="29"/>
      <c r="ITC343" s="29"/>
      <c r="ITD343" s="29"/>
      <c r="ITE343" s="29"/>
      <c r="ITF343" s="29"/>
      <c r="ITG343" s="29"/>
      <c r="ITH343" s="29"/>
      <c r="ITI343" s="29"/>
      <c r="ITJ343" s="29"/>
      <c r="ITK343" s="29"/>
      <c r="ITL343" s="29"/>
      <c r="ITM343" s="29"/>
      <c r="ITN343" s="29"/>
      <c r="ITO343" s="29"/>
      <c r="ITP343" s="29"/>
      <c r="ITQ343" s="29"/>
      <c r="ITR343" s="29"/>
      <c r="ITS343" s="29"/>
      <c r="ITT343" s="29"/>
      <c r="ITU343" s="29"/>
      <c r="ITV343" s="29"/>
      <c r="ITW343" s="29"/>
      <c r="ITX343" s="29"/>
      <c r="ITY343" s="29"/>
      <c r="ITZ343" s="29"/>
      <c r="IUA343" s="29"/>
      <c r="IUB343" s="29"/>
      <c r="IUC343" s="29"/>
      <c r="IUD343" s="29"/>
      <c r="IUE343" s="29"/>
      <c r="IUF343" s="29"/>
      <c r="IUG343" s="29"/>
      <c r="IUH343" s="29"/>
      <c r="IUI343" s="29"/>
      <c r="IUJ343" s="29"/>
      <c r="IUK343" s="29"/>
      <c r="IUL343" s="29"/>
      <c r="IUM343" s="29"/>
      <c r="IUN343" s="29"/>
      <c r="IUO343" s="29"/>
      <c r="IUP343" s="29"/>
      <c r="IUQ343" s="29"/>
      <c r="IUR343" s="29"/>
      <c r="IUS343" s="29"/>
      <c r="IUT343" s="29"/>
      <c r="IUU343" s="29"/>
      <c r="IUV343" s="29"/>
      <c r="IUW343" s="29"/>
      <c r="IUX343" s="29"/>
      <c r="IUY343" s="29"/>
      <c r="IUZ343" s="29"/>
      <c r="IVA343" s="29"/>
      <c r="IVB343" s="29"/>
      <c r="IVC343" s="29"/>
      <c r="IVD343" s="29"/>
      <c r="IVE343" s="29"/>
      <c r="IVF343" s="29"/>
      <c r="IVG343" s="29"/>
      <c r="IVH343" s="29"/>
      <c r="IVI343" s="29"/>
      <c r="IVJ343" s="29"/>
      <c r="IVK343" s="29"/>
      <c r="IVL343" s="29"/>
      <c r="IVM343" s="29"/>
      <c r="IVN343" s="29"/>
      <c r="IVO343" s="29"/>
      <c r="IVP343" s="29"/>
      <c r="IVQ343" s="29"/>
      <c r="IVR343" s="29"/>
      <c r="IVS343" s="29"/>
      <c r="IVT343" s="29"/>
      <c r="IVU343" s="29"/>
      <c r="IVV343" s="29"/>
      <c r="IVW343" s="29"/>
      <c r="IVX343" s="29"/>
      <c r="IVY343" s="29"/>
      <c r="IVZ343" s="29"/>
      <c r="IWA343" s="29"/>
      <c r="IWB343" s="29"/>
      <c r="IWC343" s="29"/>
      <c r="IWD343" s="29"/>
      <c r="IWE343" s="29"/>
      <c r="IWF343" s="29"/>
      <c r="IWG343" s="29"/>
      <c r="IWH343" s="29"/>
      <c r="IWI343" s="29"/>
      <c r="IWJ343" s="29"/>
      <c r="IWK343" s="29"/>
      <c r="IWL343" s="29"/>
      <c r="IWM343" s="29"/>
      <c r="IWN343" s="29"/>
      <c r="IWO343" s="29"/>
      <c r="IWP343" s="29"/>
      <c r="IWQ343" s="29"/>
      <c r="IWR343" s="29"/>
      <c r="IWS343" s="29"/>
      <c r="IWT343" s="29"/>
      <c r="IWU343" s="29"/>
      <c r="IWV343" s="29"/>
      <c r="IWW343" s="29"/>
      <c r="IWX343" s="29"/>
      <c r="IWY343" s="29"/>
      <c r="IWZ343" s="29"/>
      <c r="IXA343" s="29"/>
      <c r="IXB343" s="29"/>
      <c r="IXC343" s="29"/>
      <c r="IXD343" s="29"/>
      <c r="IXE343" s="29"/>
      <c r="IXF343" s="29"/>
      <c r="IXG343" s="29"/>
      <c r="IXH343" s="29"/>
      <c r="IXI343" s="29"/>
      <c r="IXJ343" s="29"/>
      <c r="IXK343" s="29"/>
      <c r="IXL343" s="29"/>
      <c r="IXM343" s="29"/>
      <c r="IXN343" s="29"/>
      <c r="IXO343" s="29"/>
      <c r="IXP343" s="29"/>
      <c r="IXQ343" s="29"/>
      <c r="IXR343" s="29"/>
      <c r="IXS343" s="29"/>
      <c r="IXT343" s="29"/>
      <c r="IXU343" s="29"/>
      <c r="IXV343" s="29"/>
      <c r="IXW343" s="29"/>
      <c r="IXX343" s="29"/>
      <c r="IXY343" s="29"/>
      <c r="IXZ343" s="29"/>
      <c r="IYA343" s="29"/>
      <c r="IYB343" s="29"/>
      <c r="IYC343" s="29"/>
      <c r="IYD343" s="29"/>
      <c r="IYE343" s="29"/>
      <c r="IYF343" s="29"/>
      <c r="IYG343" s="29"/>
      <c r="IYH343" s="29"/>
      <c r="IYI343" s="29"/>
      <c r="IYJ343" s="29"/>
      <c r="IYK343" s="29"/>
      <c r="IYL343" s="29"/>
      <c r="IYM343" s="29"/>
      <c r="IYN343" s="29"/>
      <c r="IYO343" s="29"/>
      <c r="IYP343" s="29"/>
      <c r="IYQ343" s="29"/>
      <c r="IYR343" s="29"/>
      <c r="IYS343" s="29"/>
      <c r="IYT343" s="29"/>
      <c r="IYU343" s="29"/>
      <c r="IYV343" s="29"/>
      <c r="IYW343" s="29"/>
      <c r="IYX343" s="29"/>
      <c r="IYY343" s="29"/>
      <c r="IYZ343" s="29"/>
      <c r="IZA343" s="29"/>
      <c r="IZB343" s="29"/>
      <c r="IZC343" s="29"/>
      <c r="IZD343" s="29"/>
      <c r="IZE343" s="29"/>
      <c r="IZF343" s="29"/>
      <c r="IZG343" s="29"/>
      <c r="IZH343" s="29"/>
      <c r="IZI343" s="29"/>
      <c r="IZJ343" s="29"/>
      <c r="IZK343" s="29"/>
      <c r="IZL343" s="29"/>
      <c r="IZM343" s="29"/>
      <c r="IZN343" s="29"/>
      <c r="IZO343" s="29"/>
      <c r="IZP343" s="29"/>
      <c r="IZQ343" s="29"/>
      <c r="IZR343" s="29"/>
      <c r="IZS343" s="29"/>
      <c r="IZT343" s="29"/>
      <c r="IZU343" s="29"/>
      <c r="IZV343" s="29"/>
      <c r="IZW343" s="29"/>
      <c r="IZX343" s="29"/>
      <c r="IZY343" s="29"/>
      <c r="IZZ343" s="29"/>
      <c r="JAA343" s="29"/>
      <c r="JAB343" s="29"/>
      <c r="JAC343" s="29"/>
      <c r="JAD343" s="29"/>
      <c r="JAE343" s="29"/>
      <c r="JAF343" s="29"/>
      <c r="JAG343" s="29"/>
      <c r="JAH343" s="29"/>
      <c r="JAI343" s="29"/>
      <c r="JAJ343" s="29"/>
      <c r="JAK343" s="29"/>
      <c r="JAL343" s="29"/>
      <c r="JAM343" s="29"/>
      <c r="JAN343" s="29"/>
      <c r="JAO343" s="29"/>
      <c r="JAP343" s="29"/>
      <c r="JAQ343" s="29"/>
      <c r="JAR343" s="29"/>
      <c r="JAS343" s="29"/>
      <c r="JAT343" s="29"/>
      <c r="JAU343" s="29"/>
      <c r="JAV343" s="29"/>
      <c r="JAW343" s="29"/>
      <c r="JAX343" s="29"/>
      <c r="JAY343" s="29"/>
      <c r="JAZ343" s="29"/>
      <c r="JBA343" s="29"/>
      <c r="JBB343" s="29"/>
      <c r="JBC343" s="29"/>
      <c r="JBD343" s="29"/>
      <c r="JBE343" s="29"/>
      <c r="JBF343" s="29"/>
      <c r="JBG343" s="29"/>
      <c r="JBH343" s="29"/>
      <c r="JBI343" s="29"/>
      <c r="JBJ343" s="29"/>
      <c r="JBK343" s="29"/>
      <c r="JBL343" s="29"/>
      <c r="JBM343" s="29"/>
      <c r="JBN343" s="29"/>
      <c r="JBO343" s="29"/>
      <c r="JBP343" s="29"/>
      <c r="JBQ343" s="29"/>
      <c r="JBR343" s="29"/>
      <c r="JBS343" s="29"/>
      <c r="JBT343" s="29"/>
      <c r="JBU343" s="29"/>
      <c r="JBV343" s="29"/>
      <c r="JBW343" s="29"/>
      <c r="JBX343" s="29"/>
      <c r="JBY343" s="29"/>
      <c r="JBZ343" s="29"/>
      <c r="JCA343" s="29"/>
      <c r="JCB343" s="29"/>
      <c r="JCC343" s="29"/>
      <c r="JCD343" s="29"/>
      <c r="JCE343" s="29"/>
      <c r="JCF343" s="29"/>
      <c r="JCG343" s="29"/>
      <c r="JCH343" s="29"/>
      <c r="JCI343" s="29"/>
      <c r="JCJ343" s="29"/>
      <c r="JCK343" s="29"/>
      <c r="JCL343" s="29"/>
      <c r="JCM343" s="29"/>
      <c r="JCN343" s="29"/>
      <c r="JCO343" s="29"/>
      <c r="JCP343" s="29"/>
      <c r="JCQ343" s="29"/>
      <c r="JCR343" s="29"/>
      <c r="JCS343" s="29"/>
      <c r="JCT343" s="29"/>
      <c r="JCU343" s="29"/>
      <c r="JCV343" s="29"/>
      <c r="JCW343" s="29"/>
      <c r="JCX343" s="29"/>
      <c r="JCY343" s="29"/>
      <c r="JCZ343" s="29"/>
      <c r="JDA343" s="29"/>
      <c r="JDB343" s="29"/>
      <c r="JDC343" s="29"/>
      <c r="JDD343" s="29"/>
      <c r="JDE343" s="29"/>
      <c r="JDF343" s="29"/>
      <c r="JDG343" s="29"/>
      <c r="JDH343" s="29"/>
      <c r="JDI343" s="29"/>
      <c r="JDJ343" s="29"/>
      <c r="JDK343" s="29"/>
      <c r="JDL343" s="29"/>
      <c r="JDM343" s="29"/>
      <c r="JDN343" s="29"/>
      <c r="JDO343" s="29"/>
      <c r="JDP343" s="29"/>
      <c r="JDQ343" s="29"/>
      <c r="JDR343" s="29"/>
      <c r="JDS343" s="29"/>
      <c r="JDT343" s="29"/>
      <c r="JDU343" s="29"/>
      <c r="JDV343" s="29"/>
      <c r="JDW343" s="29"/>
      <c r="JDX343" s="29"/>
      <c r="JDY343" s="29"/>
      <c r="JDZ343" s="29"/>
      <c r="JEA343" s="29"/>
      <c r="JEB343" s="29"/>
      <c r="JEC343" s="29"/>
      <c r="JED343" s="29"/>
      <c r="JEE343" s="29"/>
      <c r="JEF343" s="29"/>
      <c r="JEG343" s="29"/>
      <c r="JEH343" s="29"/>
      <c r="JEI343" s="29"/>
      <c r="JEJ343" s="29"/>
      <c r="JEK343" s="29"/>
      <c r="JEL343" s="29"/>
      <c r="JEM343" s="29"/>
      <c r="JEN343" s="29"/>
      <c r="JEO343" s="29"/>
      <c r="JEP343" s="29"/>
      <c r="JEQ343" s="29"/>
      <c r="JER343" s="29"/>
      <c r="JES343" s="29"/>
      <c r="JET343" s="29"/>
      <c r="JEU343" s="29"/>
      <c r="JEV343" s="29"/>
      <c r="JEW343" s="29"/>
      <c r="JEX343" s="29"/>
      <c r="JEY343" s="29"/>
      <c r="JEZ343" s="29"/>
      <c r="JFA343" s="29"/>
      <c r="JFB343" s="29"/>
      <c r="JFC343" s="29"/>
      <c r="JFD343" s="29"/>
      <c r="JFE343" s="29"/>
      <c r="JFF343" s="29"/>
      <c r="JFG343" s="29"/>
      <c r="JFH343" s="29"/>
      <c r="JFI343" s="29"/>
      <c r="JFJ343" s="29"/>
      <c r="JFK343" s="29"/>
      <c r="JFL343" s="29"/>
      <c r="JFM343" s="29"/>
      <c r="JFN343" s="29"/>
      <c r="JFO343" s="29"/>
      <c r="JFP343" s="29"/>
      <c r="JFQ343" s="29"/>
      <c r="JFR343" s="29"/>
      <c r="JFS343" s="29"/>
      <c r="JFT343" s="29"/>
      <c r="JFU343" s="29"/>
      <c r="JFV343" s="29"/>
      <c r="JFW343" s="29"/>
      <c r="JFX343" s="29"/>
      <c r="JFY343" s="29"/>
      <c r="JFZ343" s="29"/>
      <c r="JGA343" s="29"/>
      <c r="JGB343" s="29"/>
      <c r="JGC343" s="29"/>
      <c r="JGD343" s="29"/>
      <c r="JGE343" s="29"/>
      <c r="JGF343" s="29"/>
      <c r="JGG343" s="29"/>
      <c r="JGH343" s="29"/>
      <c r="JGI343" s="29"/>
      <c r="JGJ343" s="29"/>
      <c r="JGK343" s="29"/>
      <c r="JGL343" s="29"/>
      <c r="JGM343" s="29"/>
      <c r="JGN343" s="29"/>
      <c r="JGO343" s="29"/>
      <c r="JGP343" s="29"/>
      <c r="JGQ343" s="29"/>
      <c r="JGR343" s="29"/>
      <c r="JGS343" s="29"/>
      <c r="JGT343" s="29"/>
      <c r="JGU343" s="29"/>
      <c r="JGV343" s="29"/>
      <c r="JGW343" s="29"/>
      <c r="JGX343" s="29"/>
      <c r="JGY343" s="29"/>
      <c r="JGZ343" s="29"/>
      <c r="JHA343" s="29"/>
      <c r="JHB343" s="29"/>
      <c r="JHC343" s="29"/>
      <c r="JHD343" s="29"/>
      <c r="JHE343" s="29"/>
      <c r="JHF343" s="29"/>
      <c r="JHG343" s="29"/>
      <c r="JHH343" s="29"/>
      <c r="JHI343" s="29"/>
      <c r="JHJ343" s="29"/>
      <c r="JHK343" s="29"/>
      <c r="JHL343" s="29"/>
      <c r="JHM343" s="29"/>
      <c r="JHN343" s="29"/>
      <c r="JHO343" s="29"/>
      <c r="JHP343" s="29"/>
      <c r="JHQ343" s="29"/>
      <c r="JHR343" s="29"/>
      <c r="JHS343" s="29"/>
      <c r="JHT343" s="29"/>
      <c r="JHU343" s="29"/>
      <c r="JHV343" s="29"/>
      <c r="JHW343" s="29"/>
      <c r="JHX343" s="29"/>
      <c r="JHY343" s="29"/>
      <c r="JHZ343" s="29"/>
      <c r="JIA343" s="29"/>
      <c r="JIB343" s="29"/>
      <c r="JIC343" s="29"/>
      <c r="JID343" s="29"/>
      <c r="JIE343" s="29"/>
      <c r="JIF343" s="29"/>
      <c r="JIG343" s="29"/>
      <c r="JIH343" s="29"/>
      <c r="JII343" s="29"/>
      <c r="JIJ343" s="29"/>
      <c r="JIK343" s="29"/>
      <c r="JIL343" s="29"/>
      <c r="JIM343" s="29"/>
      <c r="JIN343" s="29"/>
      <c r="JIO343" s="29"/>
      <c r="JIP343" s="29"/>
      <c r="JIQ343" s="29"/>
      <c r="JIR343" s="29"/>
      <c r="JIS343" s="29"/>
      <c r="JIT343" s="29"/>
      <c r="JIU343" s="29"/>
      <c r="JIV343" s="29"/>
      <c r="JIW343" s="29"/>
      <c r="JIX343" s="29"/>
      <c r="JIY343" s="29"/>
      <c r="JIZ343" s="29"/>
      <c r="JJA343" s="29"/>
      <c r="JJB343" s="29"/>
      <c r="JJC343" s="29"/>
      <c r="JJD343" s="29"/>
      <c r="JJE343" s="29"/>
      <c r="JJF343" s="29"/>
      <c r="JJG343" s="29"/>
      <c r="JJH343" s="29"/>
      <c r="JJI343" s="29"/>
      <c r="JJJ343" s="29"/>
      <c r="JJK343" s="29"/>
      <c r="JJL343" s="29"/>
      <c r="JJM343" s="29"/>
      <c r="JJN343" s="29"/>
      <c r="JJO343" s="29"/>
      <c r="JJP343" s="29"/>
      <c r="JJQ343" s="29"/>
      <c r="JJR343" s="29"/>
      <c r="JJS343" s="29"/>
      <c r="JJT343" s="29"/>
      <c r="JJU343" s="29"/>
      <c r="JJV343" s="29"/>
      <c r="JJW343" s="29"/>
      <c r="JJX343" s="29"/>
      <c r="JJY343" s="29"/>
      <c r="JJZ343" s="29"/>
      <c r="JKA343" s="29"/>
      <c r="JKB343" s="29"/>
      <c r="JKC343" s="29"/>
      <c r="JKD343" s="29"/>
      <c r="JKE343" s="29"/>
      <c r="JKF343" s="29"/>
      <c r="JKG343" s="29"/>
      <c r="JKH343" s="29"/>
      <c r="JKI343" s="29"/>
      <c r="JKJ343" s="29"/>
      <c r="JKK343" s="29"/>
      <c r="JKL343" s="29"/>
      <c r="JKM343" s="29"/>
      <c r="JKN343" s="29"/>
      <c r="JKO343" s="29"/>
      <c r="JKP343" s="29"/>
      <c r="JKQ343" s="29"/>
      <c r="JKR343" s="29"/>
      <c r="JKS343" s="29"/>
      <c r="JKT343" s="29"/>
      <c r="JKU343" s="29"/>
      <c r="JKV343" s="29"/>
      <c r="JKW343" s="29"/>
      <c r="JKX343" s="29"/>
      <c r="JKY343" s="29"/>
      <c r="JKZ343" s="29"/>
      <c r="JLA343" s="29"/>
      <c r="JLB343" s="29"/>
      <c r="JLC343" s="29"/>
      <c r="JLD343" s="29"/>
      <c r="JLE343" s="29"/>
      <c r="JLF343" s="29"/>
      <c r="JLG343" s="29"/>
      <c r="JLH343" s="29"/>
      <c r="JLI343" s="29"/>
      <c r="JLJ343" s="29"/>
      <c r="JLK343" s="29"/>
      <c r="JLL343" s="29"/>
      <c r="JLM343" s="29"/>
      <c r="JLN343" s="29"/>
      <c r="JLO343" s="29"/>
      <c r="JLP343" s="29"/>
      <c r="JLQ343" s="29"/>
      <c r="JLR343" s="29"/>
      <c r="JLS343" s="29"/>
      <c r="JLT343" s="29"/>
      <c r="JLU343" s="29"/>
      <c r="JLV343" s="29"/>
      <c r="JLW343" s="29"/>
      <c r="JLX343" s="29"/>
      <c r="JLY343" s="29"/>
      <c r="JLZ343" s="29"/>
      <c r="JMA343" s="29"/>
      <c r="JMB343" s="29"/>
      <c r="JMC343" s="29"/>
      <c r="JMD343" s="29"/>
      <c r="JME343" s="29"/>
      <c r="JMF343" s="29"/>
      <c r="JMG343" s="29"/>
      <c r="JMH343" s="29"/>
      <c r="JMI343" s="29"/>
      <c r="JMJ343" s="29"/>
      <c r="JMK343" s="29"/>
      <c r="JML343" s="29"/>
      <c r="JMM343" s="29"/>
      <c r="JMN343" s="29"/>
      <c r="JMO343" s="29"/>
      <c r="JMP343" s="29"/>
      <c r="JMQ343" s="29"/>
      <c r="JMR343" s="29"/>
      <c r="JMS343" s="29"/>
      <c r="JMT343" s="29"/>
      <c r="JMU343" s="29"/>
      <c r="JMV343" s="29"/>
      <c r="JMW343" s="29"/>
      <c r="JMX343" s="29"/>
      <c r="JMY343" s="29"/>
      <c r="JMZ343" s="29"/>
      <c r="JNA343" s="29"/>
      <c r="JNB343" s="29"/>
      <c r="JNC343" s="29"/>
      <c r="JND343" s="29"/>
      <c r="JNE343" s="29"/>
      <c r="JNF343" s="29"/>
      <c r="JNG343" s="29"/>
      <c r="JNH343" s="29"/>
      <c r="JNI343" s="29"/>
      <c r="JNJ343" s="29"/>
      <c r="JNK343" s="29"/>
      <c r="JNL343" s="29"/>
      <c r="JNM343" s="29"/>
      <c r="JNN343" s="29"/>
      <c r="JNO343" s="29"/>
      <c r="JNP343" s="29"/>
      <c r="JNQ343" s="29"/>
      <c r="JNR343" s="29"/>
      <c r="JNS343" s="29"/>
      <c r="JNT343" s="29"/>
      <c r="JNU343" s="29"/>
      <c r="JNV343" s="29"/>
      <c r="JNW343" s="29"/>
      <c r="JNX343" s="29"/>
      <c r="JNY343" s="29"/>
      <c r="JNZ343" s="29"/>
      <c r="JOA343" s="29"/>
      <c r="JOB343" s="29"/>
      <c r="JOC343" s="29"/>
      <c r="JOD343" s="29"/>
      <c r="JOE343" s="29"/>
      <c r="JOF343" s="29"/>
      <c r="JOG343" s="29"/>
      <c r="JOH343" s="29"/>
      <c r="JOI343" s="29"/>
      <c r="JOJ343" s="29"/>
      <c r="JOK343" s="29"/>
      <c r="JOL343" s="29"/>
      <c r="JOM343" s="29"/>
      <c r="JON343" s="29"/>
      <c r="JOO343" s="29"/>
      <c r="JOP343" s="29"/>
      <c r="JOQ343" s="29"/>
      <c r="JOR343" s="29"/>
      <c r="JOS343" s="29"/>
      <c r="JOT343" s="29"/>
      <c r="JOU343" s="29"/>
      <c r="JOV343" s="29"/>
      <c r="JOW343" s="29"/>
      <c r="JOX343" s="29"/>
      <c r="JOY343" s="29"/>
      <c r="JOZ343" s="29"/>
      <c r="JPA343" s="29"/>
      <c r="JPB343" s="29"/>
      <c r="JPC343" s="29"/>
      <c r="JPD343" s="29"/>
      <c r="JPE343" s="29"/>
      <c r="JPF343" s="29"/>
      <c r="JPG343" s="29"/>
      <c r="JPH343" s="29"/>
      <c r="JPI343" s="29"/>
      <c r="JPJ343" s="29"/>
      <c r="JPK343" s="29"/>
      <c r="JPL343" s="29"/>
      <c r="JPM343" s="29"/>
      <c r="JPN343" s="29"/>
      <c r="JPO343" s="29"/>
      <c r="JPP343" s="29"/>
      <c r="JPQ343" s="29"/>
      <c r="JPR343" s="29"/>
      <c r="JPS343" s="29"/>
      <c r="JPT343" s="29"/>
      <c r="JPU343" s="29"/>
      <c r="JPV343" s="29"/>
      <c r="JPW343" s="29"/>
      <c r="JPX343" s="29"/>
      <c r="JPY343" s="29"/>
      <c r="JPZ343" s="29"/>
      <c r="JQA343" s="29"/>
      <c r="JQB343" s="29"/>
      <c r="JQC343" s="29"/>
      <c r="JQD343" s="29"/>
      <c r="JQE343" s="29"/>
      <c r="JQF343" s="29"/>
      <c r="JQG343" s="29"/>
      <c r="JQH343" s="29"/>
      <c r="JQI343" s="29"/>
      <c r="JQJ343" s="29"/>
      <c r="JQK343" s="29"/>
      <c r="JQL343" s="29"/>
      <c r="JQM343" s="29"/>
      <c r="JQN343" s="29"/>
      <c r="JQO343" s="29"/>
      <c r="JQP343" s="29"/>
      <c r="JQQ343" s="29"/>
      <c r="JQR343" s="29"/>
      <c r="JQS343" s="29"/>
      <c r="JQT343" s="29"/>
      <c r="JQU343" s="29"/>
      <c r="JQV343" s="29"/>
      <c r="JQW343" s="29"/>
      <c r="JQX343" s="29"/>
      <c r="JQY343" s="29"/>
      <c r="JQZ343" s="29"/>
      <c r="JRA343" s="29"/>
      <c r="JRB343" s="29"/>
      <c r="JRC343" s="29"/>
      <c r="JRD343" s="29"/>
      <c r="JRE343" s="29"/>
      <c r="JRF343" s="29"/>
      <c r="JRG343" s="29"/>
      <c r="JRH343" s="29"/>
      <c r="JRI343" s="29"/>
      <c r="JRJ343" s="29"/>
      <c r="JRK343" s="29"/>
      <c r="JRL343" s="29"/>
      <c r="JRM343" s="29"/>
      <c r="JRN343" s="29"/>
      <c r="JRO343" s="29"/>
      <c r="JRP343" s="29"/>
      <c r="JRQ343" s="29"/>
      <c r="JRR343" s="29"/>
      <c r="JRS343" s="29"/>
      <c r="JRT343" s="29"/>
      <c r="JRU343" s="29"/>
      <c r="JRV343" s="29"/>
      <c r="JRW343" s="29"/>
      <c r="JRX343" s="29"/>
      <c r="JRY343" s="29"/>
      <c r="JRZ343" s="29"/>
      <c r="JSA343" s="29"/>
      <c r="JSB343" s="29"/>
      <c r="JSC343" s="29"/>
      <c r="JSD343" s="29"/>
      <c r="JSE343" s="29"/>
      <c r="JSF343" s="29"/>
      <c r="JSG343" s="29"/>
      <c r="JSH343" s="29"/>
      <c r="JSI343" s="29"/>
      <c r="JSJ343" s="29"/>
      <c r="JSK343" s="29"/>
      <c r="JSL343" s="29"/>
      <c r="JSM343" s="29"/>
      <c r="JSN343" s="29"/>
      <c r="JSO343" s="29"/>
      <c r="JSP343" s="29"/>
      <c r="JSQ343" s="29"/>
      <c r="JSR343" s="29"/>
      <c r="JSS343" s="29"/>
      <c r="JST343" s="29"/>
      <c r="JSU343" s="29"/>
      <c r="JSV343" s="29"/>
      <c r="JSW343" s="29"/>
      <c r="JSX343" s="29"/>
      <c r="JSY343" s="29"/>
      <c r="JSZ343" s="29"/>
      <c r="JTA343" s="29"/>
      <c r="JTB343" s="29"/>
      <c r="JTC343" s="29"/>
      <c r="JTD343" s="29"/>
      <c r="JTE343" s="29"/>
      <c r="JTF343" s="29"/>
      <c r="JTG343" s="29"/>
      <c r="JTH343" s="29"/>
      <c r="JTI343" s="29"/>
      <c r="JTJ343" s="29"/>
      <c r="JTK343" s="29"/>
      <c r="JTL343" s="29"/>
      <c r="JTM343" s="29"/>
      <c r="JTN343" s="29"/>
      <c r="JTO343" s="29"/>
      <c r="JTP343" s="29"/>
      <c r="JTQ343" s="29"/>
      <c r="JTR343" s="29"/>
      <c r="JTS343" s="29"/>
      <c r="JTT343" s="29"/>
      <c r="JTU343" s="29"/>
      <c r="JTV343" s="29"/>
      <c r="JTW343" s="29"/>
      <c r="JTX343" s="29"/>
      <c r="JTY343" s="29"/>
      <c r="JTZ343" s="29"/>
      <c r="JUA343" s="29"/>
      <c r="JUB343" s="29"/>
      <c r="JUC343" s="29"/>
      <c r="JUD343" s="29"/>
      <c r="JUE343" s="29"/>
      <c r="JUF343" s="29"/>
      <c r="JUG343" s="29"/>
      <c r="JUH343" s="29"/>
      <c r="JUI343" s="29"/>
      <c r="JUJ343" s="29"/>
      <c r="JUK343" s="29"/>
      <c r="JUL343" s="29"/>
      <c r="JUM343" s="29"/>
      <c r="JUN343" s="29"/>
      <c r="JUO343" s="29"/>
      <c r="JUP343" s="29"/>
      <c r="JUQ343" s="29"/>
      <c r="JUR343" s="29"/>
      <c r="JUS343" s="29"/>
      <c r="JUT343" s="29"/>
      <c r="JUU343" s="29"/>
      <c r="JUV343" s="29"/>
      <c r="JUW343" s="29"/>
      <c r="JUX343" s="29"/>
      <c r="JUY343" s="29"/>
      <c r="JUZ343" s="29"/>
      <c r="JVA343" s="29"/>
      <c r="JVB343" s="29"/>
      <c r="JVC343" s="29"/>
      <c r="JVD343" s="29"/>
      <c r="JVE343" s="29"/>
      <c r="JVF343" s="29"/>
      <c r="JVG343" s="29"/>
      <c r="JVH343" s="29"/>
      <c r="JVI343" s="29"/>
      <c r="JVJ343" s="29"/>
      <c r="JVK343" s="29"/>
      <c r="JVL343" s="29"/>
      <c r="JVM343" s="29"/>
      <c r="JVN343" s="29"/>
      <c r="JVO343" s="29"/>
      <c r="JVP343" s="29"/>
      <c r="JVQ343" s="29"/>
      <c r="JVR343" s="29"/>
      <c r="JVS343" s="29"/>
      <c r="JVT343" s="29"/>
      <c r="JVU343" s="29"/>
      <c r="JVV343" s="29"/>
      <c r="JVW343" s="29"/>
      <c r="JVX343" s="29"/>
      <c r="JVY343" s="29"/>
      <c r="JVZ343" s="29"/>
      <c r="JWA343" s="29"/>
      <c r="JWB343" s="29"/>
      <c r="JWC343" s="29"/>
      <c r="JWD343" s="29"/>
      <c r="JWE343" s="29"/>
      <c r="JWF343" s="29"/>
      <c r="JWG343" s="29"/>
      <c r="JWH343" s="29"/>
      <c r="JWI343" s="29"/>
      <c r="JWJ343" s="29"/>
      <c r="JWK343" s="29"/>
      <c r="JWL343" s="29"/>
      <c r="JWM343" s="29"/>
      <c r="JWN343" s="29"/>
      <c r="JWO343" s="29"/>
      <c r="JWP343" s="29"/>
      <c r="JWQ343" s="29"/>
      <c r="JWR343" s="29"/>
      <c r="JWS343" s="29"/>
      <c r="JWT343" s="29"/>
      <c r="JWU343" s="29"/>
      <c r="JWV343" s="29"/>
      <c r="JWW343" s="29"/>
      <c r="JWX343" s="29"/>
      <c r="JWY343" s="29"/>
      <c r="JWZ343" s="29"/>
      <c r="JXA343" s="29"/>
      <c r="JXB343" s="29"/>
      <c r="JXC343" s="29"/>
      <c r="JXD343" s="29"/>
      <c r="JXE343" s="29"/>
      <c r="JXF343" s="29"/>
      <c r="JXG343" s="29"/>
      <c r="JXH343" s="29"/>
      <c r="JXI343" s="29"/>
      <c r="JXJ343" s="29"/>
      <c r="JXK343" s="29"/>
      <c r="JXL343" s="29"/>
      <c r="JXM343" s="29"/>
      <c r="JXN343" s="29"/>
      <c r="JXO343" s="29"/>
      <c r="JXP343" s="29"/>
      <c r="JXQ343" s="29"/>
      <c r="JXR343" s="29"/>
      <c r="JXS343" s="29"/>
      <c r="JXT343" s="29"/>
      <c r="JXU343" s="29"/>
      <c r="JXV343" s="29"/>
      <c r="JXW343" s="29"/>
      <c r="JXX343" s="29"/>
      <c r="JXY343" s="29"/>
      <c r="JXZ343" s="29"/>
      <c r="JYA343" s="29"/>
      <c r="JYB343" s="29"/>
      <c r="JYC343" s="29"/>
      <c r="JYD343" s="29"/>
      <c r="JYE343" s="29"/>
      <c r="JYF343" s="29"/>
      <c r="JYG343" s="29"/>
      <c r="JYH343" s="29"/>
      <c r="JYI343" s="29"/>
      <c r="JYJ343" s="29"/>
      <c r="JYK343" s="29"/>
      <c r="JYL343" s="29"/>
      <c r="JYM343" s="29"/>
      <c r="JYN343" s="29"/>
      <c r="JYO343" s="29"/>
      <c r="JYP343" s="29"/>
      <c r="JYQ343" s="29"/>
      <c r="JYR343" s="29"/>
      <c r="JYS343" s="29"/>
      <c r="JYT343" s="29"/>
      <c r="JYU343" s="29"/>
      <c r="JYV343" s="29"/>
      <c r="JYW343" s="29"/>
      <c r="JYX343" s="29"/>
      <c r="JYY343" s="29"/>
      <c r="JYZ343" s="29"/>
      <c r="JZA343" s="29"/>
      <c r="JZB343" s="29"/>
      <c r="JZC343" s="29"/>
      <c r="JZD343" s="29"/>
      <c r="JZE343" s="29"/>
      <c r="JZF343" s="29"/>
      <c r="JZG343" s="29"/>
      <c r="JZH343" s="29"/>
      <c r="JZI343" s="29"/>
      <c r="JZJ343" s="29"/>
      <c r="JZK343" s="29"/>
      <c r="JZL343" s="29"/>
      <c r="JZM343" s="29"/>
      <c r="JZN343" s="29"/>
      <c r="JZO343" s="29"/>
      <c r="JZP343" s="29"/>
      <c r="JZQ343" s="29"/>
      <c r="JZR343" s="29"/>
      <c r="JZS343" s="29"/>
      <c r="JZT343" s="29"/>
      <c r="JZU343" s="29"/>
      <c r="JZV343" s="29"/>
      <c r="JZW343" s="29"/>
      <c r="JZX343" s="29"/>
      <c r="JZY343" s="29"/>
      <c r="JZZ343" s="29"/>
      <c r="KAA343" s="29"/>
      <c r="KAB343" s="29"/>
      <c r="KAC343" s="29"/>
      <c r="KAD343" s="29"/>
      <c r="KAE343" s="29"/>
      <c r="KAF343" s="29"/>
      <c r="KAG343" s="29"/>
      <c r="KAH343" s="29"/>
      <c r="KAI343" s="29"/>
      <c r="KAJ343" s="29"/>
      <c r="KAK343" s="29"/>
      <c r="KAL343" s="29"/>
      <c r="KAM343" s="29"/>
      <c r="KAN343" s="29"/>
      <c r="KAO343" s="29"/>
      <c r="KAP343" s="29"/>
      <c r="KAQ343" s="29"/>
      <c r="KAR343" s="29"/>
      <c r="KAS343" s="29"/>
      <c r="KAT343" s="29"/>
      <c r="KAU343" s="29"/>
      <c r="KAV343" s="29"/>
      <c r="KAW343" s="29"/>
      <c r="KAX343" s="29"/>
      <c r="KAY343" s="29"/>
      <c r="KAZ343" s="29"/>
      <c r="KBA343" s="29"/>
      <c r="KBB343" s="29"/>
      <c r="KBC343" s="29"/>
      <c r="KBD343" s="29"/>
      <c r="KBE343" s="29"/>
      <c r="KBF343" s="29"/>
      <c r="KBG343" s="29"/>
      <c r="KBH343" s="29"/>
      <c r="KBI343" s="29"/>
      <c r="KBJ343" s="29"/>
      <c r="KBK343" s="29"/>
      <c r="KBL343" s="29"/>
      <c r="KBM343" s="29"/>
      <c r="KBN343" s="29"/>
      <c r="KBO343" s="29"/>
      <c r="KBP343" s="29"/>
      <c r="KBQ343" s="29"/>
      <c r="KBR343" s="29"/>
      <c r="KBS343" s="29"/>
      <c r="KBT343" s="29"/>
      <c r="KBU343" s="29"/>
      <c r="KBV343" s="29"/>
      <c r="KBW343" s="29"/>
      <c r="KBX343" s="29"/>
      <c r="KBY343" s="29"/>
      <c r="KBZ343" s="29"/>
      <c r="KCA343" s="29"/>
      <c r="KCB343" s="29"/>
      <c r="KCC343" s="29"/>
      <c r="KCD343" s="29"/>
      <c r="KCE343" s="29"/>
      <c r="KCF343" s="29"/>
      <c r="KCG343" s="29"/>
      <c r="KCH343" s="29"/>
      <c r="KCI343" s="29"/>
      <c r="KCJ343" s="29"/>
      <c r="KCK343" s="29"/>
      <c r="KCL343" s="29"/>
      <c r="KCM343" s="29"/>
      <c r="KCN343" s="29"/>
      <c r="KCO343" s="29"/>
      <c r="KCP343" s="29"/>
      <c r="KCQ343" s="29"/>
      <c r="KCR343" s="29"/>
      <c r="KCS343" s="29"/>
      <c r="KCT343" s="29"/>
      <c r="KCU343" s="29"/>
      <c r="KCV343" s="29"/>
      <c r="KCW343" s="29"/>
      <c r="KCX343" s="29"/>
      <c r="KCY343" s="29"/>
      <c r="KCZ343" s="29"/>
      <c r="KDA343" s="29"/>
      <c r="KDB343" s="29"/>
      <c r="KDC343" s="29"/>
      <c r="KDD343" s="29"/>
      <c r="KDE343" s="29"/>
      <c r="KDF343" s="29"/>
      <c r="KDG343" s="29"/>
      <c r="KDH343" s="29"/>
      <c r="KDI343" s="29"/>
      <c r="KDJ343" s="29"/>
      <c r="KDK343" s="29"/>
      <c r="KDL343" s="29"/>
      <c r="KDM343" s="29"/>
      <c r="KDN343" s="29"/>
      <c r="KDO343" s="29"/>
      <c r="KDP343" s="29"/>
      <c r="KDQ343" s="29"/>
      <c r="KDR343" s="29"/>
      <c r="KDS343" s="29"/>
      <c r="KDT343" s="29"/>
      <c r="KDU343" s="29"/>
      <c r="KDV343" s="29"/>
      <c r="KDW343" s="29"/>
      <c r="KDX343" s="29"/>
      <c r="KDY343" s="29"/>
      <c r="KDZ343" s="29"/>
      <c r="KEA343" s="29"/>
      <c r="KEB343" s="29"/>
      <c r="KEC343" s="29"/>
      <c r="KED343" s="29"/>
      <c r="KEE343" s="29"/>
      <c r="KEF343" s="29"/>
      <c r="KEG343" s="29"/>
      <c r="KEH343" s="29"/>
      <c r="KEI343" s="29"/>
      <c r="KEJ343" s="29"/>
      <c r="KEK343" s="29"/>
      <c r="KEL343" s="29"/>
      <c r="KEM343" s="29"/>
      <c r="KEN343" s="29"/>
      <c r="KEO343" s="29"/>
      <c r="KEP343" s="29"/>
      <c r="KEQ343" s="29"/>
      <c r="KER343" s="29"/>
      <c r="KES343" s="29"/>
      <c r="KET343" s="29"/>
      <c r="KEU343" s="29"/>
      <c r="KEV343" s="29"/>
      <c r="KEW343" s="29"/>
      <c r="KEX343" s="29"/>
      <c r="KEY343" s="29"/>
      <c r="KEZ343" s="29"/>
      <c r="KFA343" s="29"/>
      <c r="KFB343" s="29"/>
      <c r="KFC343" s="29"/>
      <c r="KFD343" s="29"/>
      <c r="KFE343" s="29"/>
      <c r="KFF343" s="29"/>
      <c r="KFG343" s="29"/>
      <c r="KFH343" s="29"/>
      <c r="KFI343" s="29"/>
      <c r="KFJ343" s="29"/>
      <c r="KFK343" s="29"/>
      <c r="KFL343" s="29"/>
      <c r="KFM343" s="29"/>
      <c r="KFN343" s="29"/>
      <c r="KFO343" s="29"/>
      <c r="KFP343" s="29"/>
      <c r="KFQ343" s="29"/>
      <c r="KFR343" s="29"/>
      <c r="KFS343" s="29"/>
      <c r="KFT343" s="29"/>
      <c r="KFU343" s="29"/>
      <c r="KFV343" s="29"/>
      <c r="KFW343" s="29"/>
      <c r="KFX343" s="29"/>
      <c r="KFY343" s="29"/>
      <c r="KFZ343" s="29"/>
      <c r="KGA343" s="29"/>
      <c r="KGB343" s="29"/>
      <c r="KGC343" s="29"/>
      <c r="KGD343" s="29"/>
      <c r="KGE343" s="29"/>
      <c r="KGF343" s="29"/>
      <c r="KGG343" s="29"/>
      <c r="KGH343" s="29"/>
      <c r="KGI343" s="29"/>
      <c r="KGJ343" s="29"/>
      <c r="KGK343" s="29"/>
      <c r="KGL343" s="29"/>
      <c r="KGM343" s="29"/>
      <c r="KGN343" s="29"/>
      <c r="KGO343" s="29"/>
      <c r="KGP343" s="29"/>
      <c r="KGQ343" s="29"/>
      <c r="KGR343" s="29"/>
      <c r="KGS343" s="29"/>
      <c r="KGT343" s="29"/>
      <c r="KGU343" s="29"/>
      <c r="KGV343" s="29"/>
      <c r="KGW343" s="29"/>
      <c r="KGX343" s="29"/>
      <c r="KGY343" s="29"/>
      <c r="KGZ343" s="29"/>
      <c r="KHA343" s="29"/>
      <c r="KHB343" s="29"/>
      <c r="KHC343" s="29"/>
      <c r="KHD343" s="29"/>
      <c r="KHE343" s="29"/>
      <c r="KHF343" s="29"/>
      <c r="KHG343" s="29"/>
      <c r="KHH343" s="29"/>
      <c r="KHI343" s="29"/>
      <c r="KHJ343" s="29"/>
      <c r="KHK343" s="29"/>
      <c r="KHL343" s="29"/>
      <c r="KHM343" s="29"/>
      <c r="KHN343" s="29"/>
      <c r="KHO343" s="29"/>
      <c r="KHP343" s="29"/>
      <c r="KHQ343" s="29"/>
      <c r="KHR343" s="29"/>
      <c r="KHS343" s="29"/>
      <c r="KHT343" s="29"/>
      <c r="KHU343" s="29"/>
      <c r="KHV343" s="29"/>
      <c r="KHW343" s="29"/>
      <c r="KHX343" s="29"/>
      <c r="KHY343" s="29"/>
      <c r="KHZ343" s="29"/>
      <c r="KIA343" s="29"/>
      <c r="KIB343" s="29"/>
      <c r="KIC343" s="29"/>
      <c r="KID343" s="29"/>
      <c r="KIE343" s="29"/>
      <c r="KIF343" s="29"/>
      <c r="KIG343" s="29"/>
      <c r="KIH343" s="29"/>
      <c r="KII343" s="29"/>
      <c r="KIJ343" s="29"/>
      <c r="KIK343" s="29"/>
      <c r="KIL343" s="29"/>
      <c r="KIM343" s="29"/>
      <c r="KIN343" s="29"/>
      <c r="KIO343" s="29"/>
      <c r="KIP343" s="29"/>
      <c r="KIQ343" s="29"/>
      <c r="KIR343" s="29"/>
      <c r="KIS343" s="29"/>
      <c r="KIT343" s="29"/>
      <c r="KIU343" s="29"/>
      <c r="KIV343" s="29"/>
      <c r="KIW343" s="29"/>
      <c r="KIX343" s="29"/>
      <c r="KIY343" s="29"/>
      <c r="KIZ343" s="29"/>
      <c r="KJA343" s="29"/>
      <c r="KJB343" s="29"/>
      <c r="KJC343" s="29"/>
      <c r="KJD343" s="29"/>
      <c r="KJE343" s="29"/>
      <c r="KJF343" s="29"/>
      <c r="KJG343" s="29"/>
      <c r="KJH343" s="29"/>
      <c r="KJI343" s="29"/>
      <c r="KJJ343" s="29"/>
      <c r="KJK343" s="29"/>
      <c r="KJL343" s="29"/>
      <c r="KJM343" s="29"/>
      <c r="KJN343" s="29"/>
      <c r="KJO343" s="29"/>
      <c r="KJP343" s="29"/>
      <c r="KJQ343" s="29"/>
      <c r="KJR343" s="29"/>
      <c r="KJS343" s="29"/>
      <c r="KJT343" s="29"/>
      <c r="KJU343" s="29"/>
      <c r="KJV343" s="29"/>
      <c r="KJW343" s="29"/>
      <c r="KJX343" s="29"/>
      <c r="KJY343" s="29"/>
      <c r="KJZ343" s="29"/>
      <c r="KKA343" s="29"/>
      <c r="KKB343" s="29"/>
      <c r="KKC343" s="29"/>
      <c r="KKD343" s="29"/>
      <c r="KKE343" s="29"/>
      <c r="KKF343" s="29"/>
      <c r="KKG343" s="29"/>
      <c r="KKH343" s="29"/>
      <c r="KKI343" s="29"/>
      <c r="KKJ343" s="29"/>
      <c r="KKK343" s="29"/>
      <c r="KKL343" s="29"/>
      <c r="KKM343" s="29"/>
      <c r="KKN343" s="29"/>
      <c r="KKO343" s="29"/>
      <c r="KKP343" s="29"/>
      <c r="KKQ343" s="29"/>
      <c r="KKR343" s="29"/>
      <c r="KKS343" s="29"/>
      <c r="KKT343" s="29"/>
      <c r="KKU343" s="29"/>
      <c r="KKV343" s="29"/>
      <c r="KKW343" s="29"/>
      <c r="KKX343" s="29"/>
      <c r="KKY343" s="29"/>
      <c r="KKZ343" s="29"/>
      <c r="KLA343" s="29"/>
      <c r="KLB343" s="29"/>
      <c r="KLC343" s="29"/>
      <c r="KLD343" s="29"/>
      <c r="KLE343" s="29"/>
      <c r="KLF343" s="29"/>
      <c r="KLG343" s="29"/>
      <c r="KLH343" s="29"/>
      <c r="KLI343" s="29"/>
      <c r="KLJ343" s="29"/>
      <c r="KLK343" s="29"/>
      <c r="KLL343" s="29"/>
      <c r="KLM343" s="29"/>
      <c r="KLN343" s="29"/>
      <c r="KLO343" s="29"/>
      <c r="KLP343" s="29"/>
      <c r="KLQ343" s="29"/>
      <c r="KLR343" s="29"/>
      <c r="KLS343" s="29"/>
      <c r="KLT343" s="29"/>
      <c r="KLU343" s="29"/>
      <c r="KLV343" s="29"/>
      <c r="KLW343" s="29"/>
      <c r="KLX343" s="29"/>
      <c r="KLY343" s="29"/>
      <c r="KLZ343" s="29"/>
      <c r="KMA343" s="29"/>
      <c r="KMB343" s="29"/>
      <c r="KMC343" s="29"/>
      <c r="KMD343" s="29"/>
      <c r="KME343" s="29"/>
      <c r="KMF343" s="29"/>
      <c r="KMG343" s="29"/>
      <c r="KMH343" s="29"/>
      <c r="KMI343" s="29"/>
      <c r="KMJ343" s="29"/>
      <c r="KMK343" s="29"/>
      <c r="KML343" s="29"/>
      <c r="KMM343" s="29"/>
      <c r="KMN343" s="29"/>
      <c r="KMO343" s="29"/>
      <c r="KMP343" s="29"/>
      <c r="KMQ343" s="29"/>
      <c r="KMR343" s="29"/>
      <c r="KMS343" s="29"/>
      <c r="KMT343" s="29"/>
      <c r="KMU343" s="29"/>
      <c r="KMV343" s="29"/>
      <c r="KMW343" s="29"/>
      <c r="KMX343" s="29"/>
      <c r="KMY343" s="29"/>
      <c r="KMZ343" s="29"/>
      <c r="KNA343" s="29"/>
      <c r="KNB343" s="29"/>
      <c r="KNC343" s="29"/>
      <c r="KND343" s="29"/>
      <c r="KNE343" s="29"/>
      <c r="KNF343" s="29"/>
      <c r="KNG343" s="29"/>
      <c r="KNH343" s="29"/>
      <c r="KNI343" s="29"/>
      <c r="KNJ343" s="29"/>
      <c r="KNK343" s="29"/>
      <c r="KNL343" s="29"/>
      <c r="KNM343" s="29"/>
      <c r="KNN343" s="29"/>
      <c r="KNO343" s="29"/>
      <c r="KNP343" s="29"/>
      <c r="KNQ343" s="29"/>
      <c r="KNR343" s="29"/>
      <c r="KNS343" s="29"/>
      <c r="KNT343" s="29"/>
      <c r="KNU343" s="29"/>
      <c r="KNV343" s="29"/>
      <c r="KNW343" s="29"/>
      <c r="KNX343" s="29"/>
      <c r="KNY343" s="29"/>
      <c r="KNZ343" s="29"/>
      <c r="KOA343" s="29"/>
      <c r="KOB343" s="29"/>
      <c r="KOC343" s="29"/>
      <c r="KOD343" s="29"/>
      <c r="KOE343" s="29"/>
      <c r="KOF343" s="29"/>
      <c r="KOG343" s="29"/>
      <c r="KOH343" s="29"/>
      <c r="KOI343" s="29"/>
      <c r="KOJ343" s="29"/>
      <c r="KOK343" s="29"/>
      <c r="KOL343" s="29"/>
      <c r="KOM343" s="29"/>
      <c r="KON343" s="29"/>
      <c r="KOO343" s="29"/>
      <c r="KOP343" s="29"/>
      <c r="KOQ343" s="29"/>
      <c r="KOR343" s="29"/>
      <c r="KOS343" s="29"/>
      <c r="KOT343" s="29"/>
      <c r="KOU343" s="29"/>
      <c r="KOV343" s="29"/>
      <c r="KOW343" s="29"/>
      <c r="KOX343" s="29"/>
      <c r="KOY343" s="29"/>
      <c r="KOZ343" s="29"/>
      <c r="KPA343" s="29"/>
      <c r="KPB343" s="29"/>
      <c r="KPC343" s="29"/>
      <c r="KPD343" s="29"/>
      <c r="KPE343" s="29"/>
      <c r="KPF343" s="29"/>
      <c r="KPG343" s="29"/>
      <c r="KPH343" s="29"/>
      <c r="KPI343" s="29"/>
      <c r="KPJ343" s="29"/>
      <c r="KPK343" s="29"/>
      <c r="KPL343" s="29"/>
      <c r="KPM343" s="29"/>
      <c r="KPN343" s="29"/>
      <c r="KPO343" s="29"/>
      <c r="KPP343" s="29"/>
      <c r="KPQ343" s="29"/>
      <c r="KPR343" s="29"/>
      <c r="KPS343" s="29"/>
      <c r="KPT343" s="29"/>
      <c r="KPU343" s="29"/>
      <c r="KPV343" s="29"/>
      <c r="KPW343" s="29"/>
      <c r="KPX343" s="29"/>
      <c r="KPY343" s="29"/>
      <c r="KPZ343" s="29"/>
      <c r="KQA343" s="29"/>
      <c r="KQB343" s="29"/>
      <c r="KQC343" s="29"/>
      <c r="KQD343" s="29"/>
      <c r="KQE343" s="29"/>
      <c r="KQF343" s="29"/>
      <c r="KQG343" s="29"/>
      <c r="KQH343" s="29"/>
      <c r="KQI343" s="29"/>
      <c r="KQJ343" s="29"/>
      <c r="KQK343" s="29"/>
      <c r="KQL343" s="29"/>
      <c r="KQM343" s="29"/>
      <c r="KQN343" s="29"/>
      <c r="KQO343" s="29"/>
      <c r="KQP343" s="29"/>
      <c r="KQQ343" s="29"/>
      <c r="KQR343" s="29"/>
      <c r="KQS343" s="29"/>
      <c r="KQT343" s="29"/>
      <c r="KQU343" s="29"/>
      <c r="KQV343" s="29"/>
      <c r="KQW343" s="29"/>
      <c r="KQX343" s="29"/>
      <c r="KQY343" s="29"/>
      <c r="KQZ343" s="29"/>
      <c r="KRA343" s="29"/>
      <c r="KRB343" s="29"/>
      <c r="KRC343" s="29"/>
      <c r="KRD343" s="29"/>
      <c r="KRE343" s="29"/>
      <c r="KRF343" s="29"/>
      <c r="KRG343" s="29"/>
      <c r="KRH343" s="29"/>
      <c r="KRI343" s="29"/>
      <c r="KRJ343" s="29"/>
      <c r="KRK343" s="29"/>
      <c r="KRL343" s="29"/>
      <c r="KRM343" s="29"/>
      <c r="KRN343" s="29"/>
      <c r="KRO343" s="29"/>
      <c r="KRP343" s="29"/>
      <c r="KRQ343" s="29"/>
      <c r="KRR343" s="29"/>
      <c r="KRS343" s="29"/>
      <c r="KRT343" s="29"/>
      <c r="KRU343" s="29"/>
      <c r="KRV343" s="29"/>
      <c r="KRW343" s="29"/>
      <c r="KRX343" s="29"/>
      <c r="KRY343" s="29"/>
      <c r="KRZ343" s="29"/>
      <c r="KSA343" s="29"/>
      <c r="KSB343" s="29"/>
      <c r="KSC343" s="29"/>
      <c r="KSD343" s="29"/>
      <c r="KSE343" s="29"/>
      <c r="KSF343" s="29"/>
      <c r="KSG343" s="29"/>
      <c r="KSH343" s="29"/>
      <c r="KSI343" s="29"/>
      <c r="KSJ343" s="29"/>
      <c r="KSK343" s="29"/>
      <c r="KSL343" s="29"/>
      <c r="KSM343" s="29"/>
      <c r="KSN343" s="29"/>
      <c r="KSO343" s="29"/>
      <c r="KSP343" s="29"/>
      <c r="KSQ343" s="29"/>
      <c r="KSR343" s="29"/>
      <c r="KSS343" s="29"/>
      <c r="KST343" s="29"/>
      <c r="KSU343" s="29"/>
      <c r="KSV343" s="29"/>
      <c r="KSW343" s="29"/>
      <c r="KSX343" s="29"/>
      <c r="KSY343" s="29"/>
      <c r="KSZ343" s="29"/>
      <c r="KTA343" s="29"/>
      <c r="KTB343" s="29"/>
      <c r="KTC343" s="29"/>
      <c r="KTD343" s="29"/>
      <c r="KTE343" s="29"/>
      <c r="KTF343" s="29"/>
      <c r="KTG343" s="29"/>
      <c r="KTH343" s="29"/>
      <c r="KTI343" s="29"/>
      <c r="KTJ343" s="29"/>
      <c r="KTK343" s="29"/>
      <c r="KTL343" s="29"/>
      <c r="KTM343" s="29"/>
      <c r="KTN343" s="29"/>
      <c r="KTO343" s="29"/>
      <c r="KTP343" s="29"/>
      <c r="KTQ343" s="29"/>
      <c r="KTR343" s="29"/>
      <c r="KTS343" s="29"/>
      <c r="KTT343" s="29"/>
      <c r="KTU343" s="29"/>
      <c r="KTV343" s="29"/>
      <c r="KTW343" s="29"/>
      <c r="KTX343" s="29"/>
      <c r="KTY343" s="29"/>
      <c r="KTZ343" s="29"/>
      <c r="KUA343" s="29"/>
      <c r="KUB343" s="29"/>
      <c r="KUC343" s="29"/>
      <c r="KUD343" s="29"/>
      <c r="KUE343" s="29"/>
      <c r="KUF343" s="29"/>
      <c r="KUG343" s="29"/>
      <c r="KUH343" s="29"/>
      <c r="KUI343" s="29"/>
      <c r="KUJ343" s="29"/>
      <c r="KUK343" s="29"/>
      <c r="KUL343" s="29"/>
      <c r="KUM343" s="29"/>
      <c r="KUN343" s="29"/>
      <c r="KUO343" s="29"/>
      <c r="KUP343" s="29"/>
      <c r="KUQ343" s="29"/>
      <c r="KUR343" s="29"/>
      <c r="KUS343" s="29"/>
      <c r="KUT343" s="29"/>
      <c r="KUU343" s="29"/>
      <c r="KUV343" s="29"/>
      <c r="KUW343" s="29"/>
      <c r="KUX343" s="29"/>
      <c r="KUY343" s="29"/>
      <c r="KUZ343" s="29"/>
      <c r="KVA343" s="29"/>
      <c r="KVB343" s="29"/>
      <c r="KVC343" s="29"/>
      <c r="KVD343" s="29"/>
      <c r="KVE343" s="29"/>
      <c r="KVF343" s="29"/>
      <c r="KVG343" s="29"/>
      <c r="KVH343" s="29"/>
      <c r="KVI343" s="29"/>
      <c r="KVJ343" s="29"/>
      <c r="KVK343" s="29"/>
      <c r="KVL343" s="29"/>
      <c r="KVM343" s="29"/>
      <c r="KVN343" s="29"/>
      <c r="KVO343" s="29"/>
      <c r="KVP343" s="29"/>
      <c r="KVQ343" s="29"/>
      <c r="KVR343" s="29"/>
      <c r="KVS343" s="29"/>
      <c r="KVT343" s="29"/>
      <c r="KVU343" s="29"/>
      <c r="KVV343" s="29"/>
      <c r="KVW343" s="29"/>
      <c r="KVX343" s="29"/>
      <c r="KVY343" s="29"/>
      <c r="KVZ343" s="29"/>
      <c r="KWA343" s="29"/>
      <c r="KWB343" s="29"/>
      <c r="KWC343" s="29"/>
      <c r="KWD343" s="29"/>
      <c r="KWE343" s="29"/>
      <c r="KWF343" s="29"/>
      <c r="KWG343" s="29"/>
      <c r="KWH343" s="29"/>
      <c r="KWI343" s="29"/>
      <c r="KWJ343" s="29"/>
      <c r="KWK343" s="29"/>
      <c r="KWL343" s="29"/>
      <c r="KWM343" s="29"/>
      <c r="KWN343" s="29"/>
      <c r="KWO343" s="29"/>
      <c r="KWP343" s="29"/>
      <c r="KWQ343" s="29"/>
      <c r="KWR343" s="29"/>
      <c r="KWS343" s="29"/>
      <c r="KWT343" s="29"/>
      <c r="KWU343" s="29"/>
      <c r="KWV343" s="29"/>
      <c r="KWW343" s="29"/>
      <c r="KWX343" s="29"/>
      <c r="KWY343" s="29"/>
      <c r="KWZ343" s="29"/>
      <c r="KXA343" s="29"/>
      <c r="KXB343" s="29"/>
      <c r="KXC343" s="29"/>
      <c r="KXD343" s="29"/>
      <c r="KXE343" s="29"/>
      <c r="KXF343" s="29"/>
      <c r="KXG343" s="29"/>
      <c r="KXH343" s="29"/>
      <c r="KXI343" s="29"/>
      <c r="KXJ343" s="29"/>
      <c r="KXK343" s="29"/>
      <c r="KXL343" s="29"/>
      <c r="KXM343" s="29"/>
      <c r="KXN343" s="29"/>
      <c r="KXO343" s="29"/>
      <c r="KXP343" s="29"/>
      <c r="KXQ343" s="29"/>
      <c r="KXR343" s="29"/>
      <c r="KXS343" s="29"/>
      <c r="KXT343" s="29"/>
      <c r="KXU343" s="29"/>
      <c r="KXV343" s="29"/>
      <c r="KXW343" s="29"/>
      <c r="KXX343" s="29"/>
      <c r="KXY343" s="29"/>
      <c r="KXZ343" s="29"/>
      <c r="KYA343" s="29"/>
      <c r="KYB343" s="29"/>
      <c r="KYC343" s="29"/>
      <c r="KYD343" s="29"/>
      <c r="KYE343" s="29"/>
      <c r="KYF343" s="29"/>
      <c r="KYG343" s="29"/>
      <c r="KYH343" s="29"/>
      <c r="KYI343" s="29"/>
      <c r="KYJ343" s="29"/>
      <c r="KYK343" s="29"/>
      <c r="KYL343" s="29"/>
      <c r="KYM343" s="29"/>
      <c r="KYN343" s="29"/>
      <c r="KYO343" s="29"/>
      <c r="KYP343" s="29"/>
      <c r="KYQ343" s="29"/>
      <c r="KYR343" s="29"/>
      <c r="KYS343" s="29"/>
      <c r="KYT343" s="29"/>
      <c r="KYU343" s="29"/>
      <c r="KYV343" s="29"/>
      <c r="KYW343" s="29"/>
      <c r="KYX343" s="29"/>
      <c r="KYY343" s="29"/>
      <c r="KYZ343" s="29"/>
      <c r="KZA343" s="29"/>
      <c r="KZB343" s="29"/>
      <c r="KZC343" s="29"/>
      <c r="KZD343" s="29"/>
      <c r="KZE343" s="29"/>
      <c r="KZF343" s="29"/>
      <c r="KZG343" s="29"/>
      <c r="KZH343" s="29"/>
      <c r="KZI343" s="29"/>
      <c r="KZJ343" s="29"/>
      <c r="KZK343" s="29"/>
      <c r="KZL343" s="29"/>
      <c r="KZM343" s="29"/>
      <c r="KZN343" s="29"/>
      <c r="KZO343" s="29"/>
      <c r="KZP343" s="29"/>
      <c r="KZQ343" s="29"/>
      <c r="KZR343" s="29"/>
      <c r="KZS343" s="29"/>
      <c r="KZT343" s="29"/>
      <c r="KZU343" s="29"/>
      <c r="KZV343" s="29"/>
      <c r="KZW343" s="29"/>
      <c r="KZX343" s="29"/>
      <c r="KZY343" s="29"/>
      <c r="KZZ343" s="29"/>
      <c r="LAA343" s="29"/>
      <c r="LAB343" s="29"/>
      <c r="LAC343" s="29"/>
      <c r="LAD343" s="29"/>
      <c r="LAE343" s="29"/>
      <c r="LAF343" s="29"/>
      <c r="LAG343" s="29"/>
      <c r="LAH343" s="29"/>
      <c r="LAI343" s="29"/>
      <c r="LAJ343" s="29"/>
      <c r="LAK343" s="29"/>
      <c r="LAL343" s="29"/>
      <c r="LAM343" s="29"/>
      <c r="LAN343" s="29"/>
      <c r="LAO343" s="29"/>
      <c r="LAP343" s="29"/>
      <c r="LAQ343" s="29"/>
      <c r="LAR343" s="29"/>
      <c r="LAS343" s="29"/>
      <c r="LAT343" s="29"/>
      <c r="LAU343" s="29"/>
      <c r="LAV343" s="29"/>
      <c r="LAW343" s="29"/>
      <c r="LAX343" s="29"/>
      <c r="LAY343" s="29"/>
      <c r="LAZ343" s="29"/>
      <c r="LBA343" s="29"/>
      <c r="LBB343" s="29"/>
      <c r="LBC343" s="29"/>
      <c r="LBD343" s="29"/>
      <c r="LBE343" s="29"/>
      <c r="LBF343" s="29"/>
      <c r="LBG343" s="29"/>
      <c r="LBH343" s="29"/>
      <c r="LBI343" s="29"/>
      <c r="LBJ343" s="29"/>
      <c r="LBK343" s="29"/>
      <c r="LBL343" s="29"/>
      <c r="LBM343" s="29"/>
      <c r="LBN343" s="29"/>
      <c r="LBO343" s="29"/>
      <c r="LBP343" s="29"/>
      <c r="LBQ343" s="29"/>
      <c r="LBR343" s="29"/>
      <c r="LBS343" s="29"/>
      <c r="LBT343" s="29"/>
      <c r="LBU343" s="29"/>
      <c r="LBV343" s="29"/>
      <c r="LBW343" s="29"/>
      <c r="LBX343" s="29"/>
      <c r="LBY343" s="29"/>
      <c r="LBZ343" s="29"/>
      <c r="LCA343" s="29"/>
      <c r="LCB343" s="29"/>
      <c r="LCC343" s="29"/>
      <c r="LCD343" s="29"/>
      <c r="LCE343" s="29"/>
      <c r="LCF343" s="29"/>
      <c r="LCG343" s="29"/>
      <c r="LCH343" s="29"/>
      <c r="LCI343" s="29"/>
      <c r="LCJ343" s="29"/>
      <c r="LCK343" s="29"/>
      <c r="LCL343" s="29"/>
      <c r="LCM343" s="29"/>
      <c r="LCN343" s="29"/>
      <c r="LCO343" s="29"/>
      <c r="LCP343" s="29"/>
      <c r="LCQ343" s="29"/>
      <c r="LCR343" s="29"/>
      <c r="LCS343" s="29"/>
      <c r="LCT343" s="29"/>
      <c r="LCU343" s="29"/>
      <c r="LCV343" s="29"/>
      <c r="LCW343" s="29"/>
      <c r="LCX343" s="29"/>
      <c r="LCY343" s="29"/>
      <c r="LCZ343" s="29"/>
      <c r="LDA343" s="29"/>
      <c r="LDB343" s="29"/>
      <c r="LDC343" s="29"/>
      <c r="LDD343" s="29"/>
      <c r="LDE343" s="29"/>
      <c r="LDF343" s="29"/>
      <c r="LDG343" s="29"/>
      <c r="LDH343" s="29"/>
      <c r="LDI343" s="29"/>
      <c r="LDJ343" s="29"/>
      <c r="LDK343" s="29"/>
      <c r="LDL343" s="29"/>
      <c r="LDM343" s="29"/>
      <c r="LDN343" s="29"/>
      <c r="LDO343" s="29"/>
      <c r="LDP343" s="29"/>
      <c r="LDQ343" s="29"/>
      <c r="LDR343" s="29"/>
      <c r="LDS343" s="29"/>
      <c r="LDT343" s="29"/>
      <c r="LDU343" s="29"/>
      <c r="LDV343" s="29"/>
      <c r="LDW343" s="29"/>
      <c r="LDX343" s="29"/>
      <c r="LDY343" s="29"/>
      <c r="LDZ343" s="29"/>
      <c r="LEA343" s="29"/>
      <c r="LEB343" s="29"/>
      <c r="LEC343" s="29"/>
      <c r="LED343" s="29"/>
      <c r="LEE343" s="29"/>
      <c r="LEF343" s="29"/>
      <c r="LEG343" s="29"/>
      <c r="LEH343" s="29"/>
      <c r="LEI343" s="29"/>
      <c r="LEJ343" s="29"/>
      <c r="LEK343" s="29"/>
      <c r="LEL343" s="29"/>
      <c r="LEM343" s="29"/>
      <c r="LEN343" s="29"/>
      <c r="LEO343" s="29"/>
      <c r="LEP343" s="29"/>
      <c r="LEQ343" s="29"/>
      <c r="LER343" s="29"/>
      <c r="LES343" s="29"/>
      <c r="LET343" s="29"/>
      <c r="LEU343" s="29"/>
      <c r="LEV343" s="29"/>
      <c r="LEW343" s="29"/>
      <c r="LEX343" s="29"/>
      <c r="LEY343" s="29"/>
      <c r="LEZ343" s="29"/>
      <c r="LFA343" s="29"/>
      <c r="LFB343" s="29"/>
      <c r="LFC343" s="29"/>
      <c r="LFD343" s="29"/>
      <c r="LFE343" s="29"/>
      <c r="LFF343" s="29"/>
      <c r="LFG343" s="29"/>
      <c r="LFH343" s="29"/>
      <c r="LFI343" s="29"/>
      <c r="LFJ343" s="29"/>
      <c r="LFK343" s="29"/>
      <c r="LFL343" s="29"/>
      <c r="LFM343" s="29"/>
      <c r="LFN343" s="29"/>
      <c r="LFO343" s="29"/>
      <c r="LFP343" s="29"/>
      <c r="LFQ343" s="29"/>
      <c r="LFR343" s="29"/>
      <c r="LFS343" s="29"/>
      <c r="LFT343" s="29"/>
      <c r="LFU343" s="29"/>
      <c r="LFV343" s="29"/>
      <c r="LFW343" s="29"/>
      <c r="LFX343" s="29"/>
      <c r="LFY343" s="29"/>
      <c r="LFZ343" s="29"/>
      <c r="LGA343" s="29"/>
      <c r="LGB343" s="29"/>
      <c r="LGC343" s="29"/>
      <c r="LGD343" s="29"/>
      <c r="LGE343" s="29"/>
      <c r="LGF343" s="29"/>
      <c r="LGG343" s="29"/>
      <c r="LGH343" s="29"/>
      <c r="LGI343" s="29"/>
      <c r="LGJ343" s="29"/>
      <c r="LGK343" s="29"/>
      <c r="LGL343" s="29"/>
      <c r="LGM343" s="29"/>
      <c r="LGN343" s="29"/>
      <c r="LGO343" s="29"/>
      <c r="LGP343" s="29"/>
      <c r="LGQ343" s="29"/>
      <c r="LGR343" s="29"/>
      <c r="LGS343" s="29"/>
      <c r="LGT343" s="29"/>
      <c r="LGU343" s="29"/>
      <c r="LGV343" s="29"/>
      <c r="LGW343" s="29"/>
      <c r="LGX343" s="29"/>
      <c r="LGY343" s="29"/>
      <c r="LGZ343" s="29"/>
      <c r="LHA343" s="29"/>
      <c r="LHB343" s="29"/>
      <c r="LHC343" s="29"/>
      <c r="LHD343" s="29"/>
      <c r="LHE343" s="29"/>
      <c r="LHF343" s="29"/>
      <c r="LHG343" s="29"/>
      <c r="LHH343" s="29"/>
      <c r="LHI343" s="29"/>
      <c r="LHJ343" s="29"/>
      <c r="LHK343" s="29"/>
      <c r="LHL343" s="29"/>
      <c r="LHM343" s="29"/>
      <c r="LHN343" s="29"/>
      <c r="LHO343" s="29"/>
      <c r="LHP343" s="29"/>
      <c r="LHQ343" s="29"/>
      <c r="LHR343" s="29"/>
      <c r="LHS343" s="29"/>
      <c r="LHT343" s="29"/>
      <c r="LHU343" s="29"/>
      <c r="LHV343" s="29"/>
      <c r="LHW343" s="29"/>
      <c r="LHX343" s="29"/>
      <c r="LHY343" s="29"/>
      <c r="LHZ343" s="29"/>
      <c r="LIA343" s="29"/>
      <c r="LIB343" s="29"/>
      <c r="LIC343" s="29"/>
      <c r="LID343" s="29"/>
      <c r="LIE343" s="29"/>
      <c r="LIF343" s="29"/>
      <c r="LIG343" s="29"/>
      <c r="LIH343" s="29"/>
      <c r="LII343" s="29"/>
      <c r="LIJ343" s="29"/>
      <c r="LIK343" s="29"/>
      <c r="LIL343" s="29"/>
      <c r="LIM343" s="29"/>
      <c r="LIN343" s="29"/>
      <c r="LIO343" s="29"/>
      <c r="LIP343" s="29"/>
      <c r="LIQ343" s="29"/>
      <c r="LIR343" s="29"/>
      <c r="LIS343" s="29"/>
      <c r="LIT343" s="29"/>
      <c r="LIU343" s="29"/>
      <c r="LIV343" s="29"/>
      <c r="LIW343" s="29"/>
      <c r="LIX343" s="29"/>
      <c r="LIY343" s="29"/>
      <c r="LIZ343" s="29"/>
      <c r="LJA343" s="29"/>
      <c r="LJB343" s="29"/>
      <c r="LJC343" s="29"/>
      <c r="LJD343" s="29"/>
      <c r="LJE343" s="29"/>
      <c r="LJF343" s="29"/>
      <c r="LJG343" s="29"/>
      <c r="LJH343" s="29"/>
      <c r="LJI343" s="29"/>
      <c r="LJJ343" s="29"/>
      <c r="LJK343" s="29"/>
      <c r="LJL343" s="29"/>
      <c r="LJM343" s="29"/>
      <c r="LJN343" s="29"/>
      <c r="LJO343" s="29"/>
      <c r="LJP343" s="29"/>
      <c r="LJQ343" s="29"/>
      <c r="LJR343" s="29"/>
      <c r="LJS343" s="29"/>
      <c r="LJT343" s="29"/>
      <c r="LJU343" s="29"/>
      <c r="LJV343" s="29"/>
      <c r="LJW343" s="29"/>
      <c r="LJX343" s="29"/>
      <c r="LJY343" s="29"/>
      <c r="LJZ343" s="29"/>
      <c r="LKA343" s="29"/>
      <c r="LKB343" s="29"/>
      <c r="LKC343" s="29"/>
      <c r="LKD343" s="29"/>
      <c r="LKE343" s="29"/>
      <c r="LKF343" s="29"/>
      <c r="LKG343" s="29"/>
      <c r="LKH343" s="29"/>
      <c r="LKI343" s="29"/>
      <c r="LKJ343" s="29"/>
      <c r="LKK343" s="29"/>
      <c r="LKL343" s="29"/>
      <c r="LKM343" s="29"/>
      <c r="LKN343" s="29"/>
      <c r="LKO343" s="29"/>
      <c r="LKP343" s="29"/>
      <c r="LKQ343" s="29"/>
      <c r="LKR343" s="29"/>
      <c r="LKS343" s="29"/>
      <c r="LKT343" s="29"/>
      <c r="LKU343" s="29"/>
      <c r="LKV343" s="29"/>
      <c r="LKW343" s="29"/>
      <c r="LKX343" s="29"/>
      <c r="LKY343" s="29"/>
      <c r="LKZ343" s="29"/>
      <c r="LLA343" s="29"/>
      <c r="LLB343" s="29"/>
      <c r="LLC343" s="29"/>
      <c r="LLD343" s="29"/>
      <c r="LLE343" s="29"/>
      <c r="LLF343" s="29"/>
      <c r="LLG343" s="29"/>
      <c r="LLH343" s="29"/>
      <c r="LLI343" s="29"/>
      <c r="LLJ343" s="29"/>
      <c r="LLK343" s="29"/>
      <c r="LLL343" s="29"/>
      <c r="LLM343" s="29"/>
      <c r="LLN343" s="29"/>
      <c r="LLO343" s="29"/>
      <c r="LLP343" s="29"/>
      <c r="LLQ343" s="29"/>
      <c r="LLR343" s="29"/>
      <c r="LLS343" s="29"/>
      <c r="LLT343" s="29"/>
      <c r="LLU343" s="29"/>
      <c r="LLV343" s="29"/>
      <c r="LLW343" s="29"/>
      <c r="LLX343" s="29"/>
      <c r="LLY343" s="29"/>
      <c r="LLZ343" s="29"/>
      <c r="LMA343" s="29"/>
      <c r="LMB343" s="29"/>
      <c r="LMC343" s="29"/>
      <c r="LMD343" s="29"/>
      <c r="LME343" s="29"/>
      <c r="LMF343" s="29"/>
      <c r="LMG343" s="29"/>
      <c r="LMH343" s="29"/>
      <c r="LMI343" s="29"/>
      <c r="LMJ343" s="29"/>
      <c r="LMK343" s="29"/>
      <c r="LML343" s="29"/>
      <c r="LMM343" s="29"/>
      <c r="LMN343" s="29"/>
      <c r="LMO343" s="29"/>
      <c r="LMP343" s="29"/>
      <c r="LMQ343" s="29"/>
      <c r="LMR343" s="29"/>
      <c r="LMS343" s="29"/>
      <c r="LMT343" s="29"/>
      <c r="LMU343" s="29"/>
      <c r="LMV343" s="29"/>
      <c r="LMW343" s="29"/>
      <c r="LMX343" s="29"/>
      <c r="LMY343" s="29"/>
      <c r="LMZ343" s="29"/>
      <c r="LNA343" s="29"/>
      <c r="LNB343" s="29"/>
      <c r="LNC343" s="29"/>
      <c r="LND343" s="29"/>
      <c r="LNE343" s="29"/>
      <c r="LNF343" s="29"/>
      <c r="LNG343" s="29"/>
      <c r="LNH343" s="29"/>
      <c r="LNI343" s="29"/>
      <c r="LNJ343" s="29"/>
      <c r="LNK343" s="29"/>
      <c r="LNL343" s="29"/>
      <c r="LNM343" s="29"/>
      <c r="LNN343" s="29"/>
      <c r="LNO343" s="29"/>
      <c r="LNP343" s="29"/>
      <c r="LNQ343" s="29"/>
      <c r="LNR343" s="29"/>
      <c r="LNS343" s="29"/>
      <c r="LNT343" s="29"/>
      <c r="LNU343" s="29"/>
      <c r="LNV343" s="29"/>
      <c r="LNW343" s="29"/>
      <c r="LNX343" s="29"/>
      <c r="LNY343" s="29"/>
      <c r="LNZ343" s="29"/>
      <c r="LOA343" s="29"/>
      <c r="LOB343" s="29"/>
      <c r="LOC343" s="29"/>
      <c r="LOD343" s="29"/>
      <c r="LOE343" s="29"/>
      <c r="LOF343" s="29"/>
      <c r="LOG343" s="29"/>
      <c r="LOH343" s="29"/>
      <c r="LOI343" s="29"/>
      <c r="LOJ343" s="29"/>
      <c r="LOK343" s="29"/>
      <c r="LOL343" s="29"/>
      <c r="LOM343" s="29"/>
      <c r="LON343" s="29"/>
      <c r="LOO343" s="29"/>
      <c r="LOP343" s="29"/>
      <c r="LOQ343" s="29"/>
      <c r="LOR343" s="29"/>
      <c r="LOS343" s="29"/>
      <c r="LOT343" s="29"/>
      <c r="LOU343" s="29"/>
      <c r="LOV343" s="29"/>
      <c r="LOW343" s="29"/>
      <c r="LOX343" s="29"/>
      <c r="LOY343" s="29"/>
      <c r="LOZ343" s="29"/>
      <c r="LPA343" s="29"/>
      <c r="LPB343" s="29"/>
      <c r="LPC343" s="29"/>
      <c r="LPD343" s="29"/>
      <c r="LPE343" s="29"/>
      <c r="LPF343" s="29"/>
      <c r="LPG343" s="29"/>
      <c r="LPH343" s="29"/>
      <c r="LPI343" s="29"/>
      <c r="LPJ343" s="29"/>
      <c r="LPK343" s="29"/>
      <c r="LPL343" s="29"/>
      <c r="LPM343" s="29"/>
      <c r="LPN343" s="29"/>
      <c r="LPO343" s="29"/>
      <c r="LPP343" s="29"/>
      <c r="LPQ343" s="29"/>
      <c r="LPR343" s="29"/>
      <c r="LPS343" s="29"/>
      <c r="LPT343" s="29"/>
      <c r="LPU343" s="29"/>
      <c r="LPV343" s="29"/>
      <c r="LPW343" s="29"/>
      <c r="LPX343" s="29"/>
      <c r="LPY343" s="29"/>
      <c r="LPZ343" s="29"/>
      <c r="LQA343" s="29"/>
      <c r="LQB343" s="29"/>
      <c r="LQC343" s="29"/>
      <c r="LQD343" s="29"/>
      <c r="LQE343" s="29"/>
      <c r="LQF343" s="29"/>
      <c r="LQG343" s="29"/>
      <c r="LQH343" s="29"/>
      <c r="LQI343" s="29"/>
      <c r="LQJ343" s="29"/>
      <c r="LQK343" s="29"/>
      <c r="LQL343" s="29"/>
      <c r="LQM343" s="29"/>
      <c r="LQN343" s="29"/>
      <c r="LQO343" s="29"/>
      <c r="LQP343" s="29"/>
      <c r="LQQ343" s="29"/>
      <c r="LQR343" s="29"/>
      <c r="LQS343" s="29"/>
      <c r="LQT343" s="29"/>
      <c r="LQU343" s="29"/>
      <c r="LQV343" s="29"/>
      <c r="LQW343" s="29"/>
      <c r="LQX343" s="29"/>
      <c r="LQY343" s="29"/>
      <c r="LQZ343" s="29"/>
      <c r="LRA343" s="29"/>
      <c r="LRB343" s="29"/>
      <c r="LRC343" s="29"/>
      <c r="LRD343" s="29"/>
      <c r="LRE343" s="29"/>
      <c r="LRF343" s="29"/>
      <c r="LRG343" s="29"/>
      <c r="LRH343" s="29"/>
      <c r="LRI343" s="29"/>
      <c r="LRJ343" s="29"/>
      <c r="LRK343" s="29"/>
      <c r="LRL343" s="29"/>
      <c r="LRM343" s="29"/>
      <c r="LRN343" s="29"/>
      <c r="LRO343" s="29"/>
      <c r="LRP343" s="29"/>
      <c r="LRQ343" s="29"/>
      <c r="LRR343" s="29"/>
      <c r="LRS343" s="29"/>
      <c r="LRT343" s="29"/>
      <c r="LRU343" s="29"/>
      <c r="LRV343" s="29"/>
      <c r="LRW343" s="29"/>
      <c r="LRX343" s="29"/>
      <c r="LRY343" s="29"/>
      <c r="LRZ343" s="29"/>
      <c r="LSA343" s="29"/>
      <c r="LSB343" s="29"/>
      <c r="LSC343" s="29"/>
      <c r="LSD343" s="29"/>
      <c r="LSE343" s="29"/>
      <c r="LSF343" s="29"/>
      <c r="LSG343" s="29"/>
      <c r="LSH343" s="29"/>
      <c r="LSI343" s="29"/>
      <c r="LSJ343" s="29"/>
      <c r="LSK343" s="29"/>
      <c r="LSL343" s="29"/>
      <c r="LSM343" s="29"/>
      <c r="LSN343" s="29"/>
      <c r="LSO343" s="29"/>
      <c r="LSP343" s="29"/>
      <c r="LSQ343" s="29"/>
      <c r="LSR343" s="29"/>
      <c r="LSS343" s="29"/>
      <c r="LST343" s="29"/>
      <c r="LSU343" s="29"/>
      <c r="LSV343" s="29"/>
      <c r="LSW343" s="29"/>
      <c r="LSX343" s="29"/>
      <c r="LSY343" s="29"/>
      <c r="LSZ343" s="29"/>
      <c r="LTA343" s="29"/>
      <c r="LTB343" s="29"/>
      <c r="LTC343" s="29"/>
      <c r="LTD343" s="29"/>
      <c r="LTE343" s="29"/>
      <c r="LTF343" s="29"/>
      <c r="LTG343" s="29"/>
      <c r="LTH343" s="29"/>
      <c r="LTI343" s="29"/>
      <c r="LTJ343" s="29"/>
      <c r="LTK343" s="29"/>
      <c r="LTL343" s="29"/>
      <c r="LTM343" s="29"/>
      <c r="LTN343" s="29"/>
      <c r="LTO343" s="29"/>
      <c r="LTP343" s="29"/>
      <c r="LTQ343" s="29"/>
      <c r="LTR343" s="29"/>
      <c r="LTS343" s="29"/>
      <c r="LTT343" s="29"/>
      <c r="LTU343" s="29"/>
      <c r="LTV343" s="29"/>
      <c r="LTW343" s="29"/>
      <c r="LTX343" s="29"/>
      <c r="LTY343" s="29"/>
      <c r="LTZ343" s="29"/>
      <c r="LUA343" s="29"/>
      <c r="LUB343" s="29"/>
      <c r="LUC343" s="29"/>
      <c r="LUD343" s="29"/>
      <c r="LUE343" s="29"/>
      <c r="LUF343" s="29"/>
      <c r="LUG343" s="29"/>
      <c r="LUH343" s="29"/>
      <c r="LUI343" s="29"/>
      <c r="LUJ343" s="29"/>
      <c r="LUK343" s="29"/>
      <c r="LUL343" s="29"/>
      <c r="LUM343" s="29"/>
      <c r="LUN343" s="29"/>
      <c r="LUO343" s="29"/>
      <c r="LUP343" s="29"/>
      <c r="LUQ343" s="29"/>
      <c r="LUR343" s="29"/>
      <c r="LUS343" s="29"/>
      <c r="LUT343" s="29"/>
      <c r="LUU343" s="29"/>
      <c r="LUV343" s="29"/>
      <c r="LUW343" s="29"/>
      <c r="LUX343" s="29"/>
      <c r="LUY343" s="29"/>
      <c r="LUZ343" s="29"/>
      <c r="LVA343" s="29"/>
      <c r="LVB343" s="29"/>
      <c r="LVC343" s="29"/>
      <c r="LVD343" s="29"/>
      <c r="LVE343" s="29"/>
      <c r="LVF343" s="29"/>
      <c r="LVG343" s="29"/>
      <c r="LVH343" s="29"/>
      <c r="LVI343" s="29"/>
      <c r="LVJ343" s="29"/>
      <c r="LVK343" s="29"/>
      <c r="LVL343" s="29"/>
      <c r="LVM343" s="29"/>
      <c r="LVN343" s="29"/>
      <c r="LVO343" s="29"/>
      <c r="LVP343" s="29"/>
      <c r="LVQ343" s="29"/>
      <c r="LVR343" s="29"/>
      <c r="LVS343" s="29"/>
      <c r="LVT343" s="29"/>
      <c r="LVU343" s="29"/>
      <c r="LVV343" s="29"/>
      <c r="LVW343" s="29"/>
      <c r="LVX343" s="29"/>
      <c r="LVY343" s="29"/>
      <c r="LVZ343" s="29"/>
      <c r="LWA343" s="29"/>
      <c r="LWB343" s="29"/>
      <c r="LWC343" s="29"/>
      <c r="LWD343" s="29"/>
      <c r="LWE343" s="29"/>
      <c r="LWF343" s="29"/>
      <c r="LWG343" s="29"/>
      <c r="LWH343" s="29"/>
      <c r="LWI343" s="29"/>
      <c r="LWJ343" s="29"/>
      <c r="LWK343" s="29"/>
      <c r="LWL343" s="29"/>
      <c r="LWM343" s="29"/>
      <c r="LWN343" s="29"/>
      <c r="LWO343" s="29"/>
      <c r="LWP343" s="29"/>
      <c r="LWQ343" s="29"/>
      <c r="LWR343" s="29"/>
      <c r="LWS343" s="29"/>
      <c r="LWT343" s="29"/>
      <c r="LWU343" s="29"/>
      <c r="LWV343" s="29"/>
      <c r="LWW343" s="29"/>
      <c r="LWX343" s="29"/>
      <c r="LWY343" s="29"/>
      <c r="LWZ343" s="29"/>
      <c r="LXA343" s="29"/>
      <c r="LXB343" s="29"/>
      <c r="LXC343" s="29"/>
      <c r="LXD343" s="29"/>
      <c r="LXE343" s="29"/>
      <c r="LXF343" s="29"/>
      <c r="LXG343" s="29"/>
      <c r="LXH343" s="29"/>
      <c r="LXI343" s="29"/>
      <c r="LXJ343" s="29"/>
      <c r="LXK343" s="29"/>
      <c r="LXL343" s="29"/>
      <c r="LXM343" s="29"/>
      <c r="LXN343" s="29"/>
      <c r="LXO343" s="29"/>
      <c r="LXP343" s="29"/>
      <c r="LXQ343" s="29"/>
      <c r="LXR343" s="29"/>
      <c r="LXS343" s="29"/>
      <c r="LXT343" s="29"/>
      <c r="LXU343" s="29"/>
      <c r="LXV343" s="29"/>
      <c r="LXW343" s="29"/>
      <c r="LXX343" s="29"/>
      <c r="LXY343" s="29"/>
      <c r="LXZ343" s="29"/>
      <c r="LYA343" s="29"/>
      <c r="LYB343" s="29"/>
      <c r="LYC343" s="29"/>
      <c r="LYD343" s="29"/>
      <c r="LYE343" s="29"/>
      <c r="LYF343" s="29"/>
      <c r="LYG343" s="29"/>
      <c r="LYH343" s="29"/>
      <c r="LYI343" s="29"/>
      <c r="LYJ343" s="29"/>
      <c r="LYK343" s="29"/>
      <c r="LYL343" s="29"/>
      <c r="LYM343" s="29"/>
      <c r="LYN343" s="29"/>
      <c r="LYO343" s="29"/>
      <c r="LYP343" s="29"/>
      <c r="LYQ343" s="29"/>
      <c r="LYR343" s="29"/>
      <c r="LYS343" s="29"/>
      <c r="LYT343" s="29"/>
      <c r="LYU343" s="29"/>
      <c r="LYV343" s="29"/>
      <c r="LYW343" s="29"/>
      <c r="LYX343" s="29"/>
      <c r="LYY343" s="29"/>
      <c r="LYZ343" s="29"/>
      <c r="LZA343" s="29"/>
      <c r="LZB343" s="29"/>
      <c r="LZC343" s="29"/>
      <c r="LZD343" s="29"/>
      <c r="LZE343" s="29"/>
      <c r="LZF343" s="29"/>
      <c r="LZG343" s="29"/>
      <c r="LZH343" s="29"/>
      <c r="LZI343" s="29"/>
      <c r="LZJ343" s="29"/>
      <c r="LZK343" s="29"/>
      <c r="LZL343" s="29"/>
      <c r="LZM343" s="29"/>
      <c r="LZN343" s="29"/>
      <c r="LZO343" s="29"/>
      <c r="LZP343" s="29"/>
      <c r="LZQ343" s="29"/>
      <c r="LZR343" s="29"/>
      <c r="LZS343" s="29"/>
      <c r="LZT343" s="29"/>
      <c r="LZU343" s="29"/>
      <c r="LZV343" s="29"/>
      <c r="LZW343" s="29"/>
      <c r="LZX343" s="29"/>
      <c r="LZY343" s="29"/>
      <c r="LZZ343" s="29"/>
      <c r="MAA343" s="29"/>
      <c r="MAB343" s="29"/>
      <c r="MAC343" s="29"/>
      <c r="MAD343" s="29"/>
      <c r="MAE343" s="29"/>
      <c r="MAF343" s="29"/>
      <c r="MAG343" s="29"/>
      <c r="MAH343" s="29"/>
      <c r="MAI343" s="29"/>
      <c r="MAJ343" s="29"/>
      <c r="MAK343" s="29"/>
      <c r="MAL343" s="29"/>
      <c r="MAM343" s="29"/>
      <c r="MAN343" s="29"/>
      <c r="MAO343" s="29"/>
      <c r="MAP343" s="29"/>
      <c r="MAQ343" s="29"/>
      <c r="MAR343" s="29"/>
      <c r="MAS343" s="29"/>
      <c r="MAT343" s="29"/>
      <c r="MAU343" s="29"/>
      <c r="MAV343" s="29"/>
      <c r="MAW343" s="29"/>
      <c r="MAX343" s="29"/>
      <c r="MAY343" s="29"/>
      <c r="MAZ343" s="29"/>
      <c r="MBA343" s="29"/>
      <c r="MBB343" s="29"/>
      <c r="MBC343" s="29"/>
      <c r="MBD343" s="29"/>
      <c r="MBE343" s="29"/>
      <c r="MBF343" s="29"/>
      <c r="MBG343" s="29"/>
      <c r="MBH343" s="29"/>
      <c r="MBI343" s="29"/>
      <c r="MBJ343" s="29"/>
      <c r="MBK343" s="29"/>
      <c r="MBL343" s="29"/>
      <c r="MBM343" s="29"/>
      <c r="MBN343" s="29"/>
      <c r="MBO343" s="29"/>
      <c r="MBP343" s="29"/>
      <c r="MBQ343" s="29"/>
      <c r="MBR343" s="29"/>
      <c r="MBS343" s="29"/>
      <c r="MBT343" s="29"/>
      <c r="MBU343" s="29"/>
      <c r="MBV343" s="29"/>
      <c r="MBW343" s="29"/>
      <c r="MBX343" s="29"/>
      <c r="MBY343" s="29"/>
      <c r="MBZ343" s="29"/>
      <c r="MCA343" s="29"/>
      <c r="MCB343" s="29"/>
      <c r="MCC343" s="29"/>
      <c r="MCD343" s="29"/>
      <c r="MCE343" s="29"/>
      <c r="MCF343" s="29"/>
      <c r="MCG343" s="29"/>
      <c r="MCH343" s="29"/>
      <c r="MCI343" s="29"/>
      <c r="MCJ343" s="29"/>
      <c r="MCK343" s="29"/>
      <c r="MCL343" s="29"/>
      <c r="MCM343" s="29"/>
      <c r="MCN343" s="29"/>
      <c r="MCO343" s="29"/>
      <c r="MCP343" s="29"/>
      <c r="MCQ343" s="29"/>
      <c r="MCR343" s="29"/>
      <c r="MCS343" s="29"/>
      <c r="MCT343" s="29"/>
      <c r="MCU343" s="29"/>
      <c r="MCV343" s="29"/>
      <c r="MCW343" s="29"/>
      <c r="MCX343" s="29"/>
      <c r="MCY343" s="29"/>
      <c r="MCZ343" s="29"/>
      <c r="MDA343" s="29"/>
      <c r="MDB343" s="29"/>
      <c r="MDC343" s="29"/>
      <c r="MDD343" s="29"/>
      <c r="MDE343" s="29"/>
      <c r="MDF343" s="29"/>
      <c r="MDG343" s="29"/>
      <c r="MDH343" s="29"/>
      <c r="MDI343" s="29"/>
      <c r="MDJ343" s="29"/>
      <c r="MDK343" s="29"/>
      <c r="MDL343" s="29"/>
      <c r="MDM343" s="29"/>
      <c r="MDN343" s="29"/>
      <c r="MDO343" s="29"/>
      <c r="MDP343" s="29"/>
      <c r="MDQ343" s="29"/>
      <c r="MDR343" s="29"/>
      <c r="MDS343" s="29"/>
      <c r="MDT343" s="29"/>
      <c r="MDU343" s="29"/>
      <c r="MDV343" s="29"/>
      <c r="MDW343" s="29"/>
      <c r="MDX343" s="29"/>
      <c r="MDY343" s="29"/>
      <c r="MDZ343" s="29"/>
      <c r="MEA343" s="29"/>
      <c r="MEB343" s="29"/>
      <c r="MEC343" s="29"/>
      <c r="MED343" s="29"/>
      <c r="MEE343" s="29"/>
      <c r="MEF343" s="29"/>
      <c r="MEG343" s="29"/>
      <c r="MEH343" s="29"/>
      <c r="MEI343" s="29"/>
      <c r="MEJ343" s="29"/>
      <c r="MEK343" s="29"/>
      <c r="MEL343" s="29"/>
      <c r="MEM343" s="29"/>
      <c r="MEN343" s="29"/>
      <c r="MEO343" s="29"/>
      <c r="MEP343" s="29"/>
      <c r="MEQ343" s="29"/>
      <c r="MER343" s="29"/>
      <c r="MES343" s="29"/>
      <c r="MET343" s="29"/>
      <c r="MEU343" s="29"/>
      <c r="MEV343" s="29"/>
      <c r="MEW343" s="29"/>
      <c r="MEX343" s="29"/>
      <c r="MEY343" s="29"/>
      <c r="MEZ343" s="29"/>
      <c r="MFA343" s="29"/>
      <c r="MFB343" s="29"/>
      <c r="MFC343" s="29"/>
      <c r="MFD343" s="29"/>
      <c r="MFE343" s="29"/>
      <c r="MFF343" s="29"/>
      <c r="MFG343" s="29"/>
      <c r="MFH343" s="29"/>
      <c r="MFI343" s="29"/>
      <c r="MFJ343" s="29"/>
      <c r="MFK343" s="29"/>
      <c r="MFL343" s="29"/>
      <c r="MFM343" s="29"/>
      <c r="MFN343" s="29"/>
      <c r="MFO343" s="29"/>
      <c r="MFP343" s="29"/>
      <c r="MFQ343" s="29"/>
      <c r="MFR343" s="29"/>
      <c r="MFS343" s="29"/>
      <c r="MFT343" s="29"/>
      <c r="MFU343" s="29"/>
      <c r="MFV343" s="29"/>
      <c r="MFW343" s="29"/>
      <c r="MFX343" s="29"/>
      <c r="MFY343" s="29"/>
      <c r="MFZ343" s="29"/>
      <c r="MGA343" s="29"/>
      <c r="MGB343" s="29"/>
      <c r="MGC343" s="29"/>
      <c r="MGD343" s="29"/>
      <c r="MGE343" s="29"/>
      <c r="MGF343" s="29"/>
      <c r="MGG343" s="29"/>
      <c r="MGH343" s="29"/>
      <c r="MGI343" s="29"/>
      <c r="MGJ343" s="29"/>
      <c r="MGK343" s="29"/>
      <c r="MGL343" s="29"/>
      <c r="MGM343" s="29"/>
      <c r="MGN343" s="29"/>
      <c r="MGO343" s="29"/>
      <c r="MGP343" s="29"/>
      <c r="MGQ343" s="29"/>
      <c r="MGR343" s="29"/>
      <c r="MGS343" s="29"/>
      <c r="MGT343" s="29"/>
      <c r="MGU343" s="29"/>
      <c r="MGV343" s="29"/>
      <c r="MGW343" s="29"/>
      <c r="MGX343" s="29"/>
      <c r="MGY343" s="29"/>
      <c r="MGZ343" s="29"/>
      <c r="MHA343" s="29"/>
      <c r="MHB343" s="29"/>
      <c r="MHC343" s="29"/>
      <c r="MHD343" s="29"/>
      <c r="MHE343" s="29"/>
      <c r="MHF343" s="29"/>
      <c r="MHG343" s="29"/>
      <c r="MHH343" s="29"/>
      <c r="MHI343" s="29"/>
      <c r="MHJ343" s="29"/>
      <c r="MHK343" s="29"/>
      <c r="MHL343" s="29"/>
      <c r="MHM343" s="29"/>
      <c r="MHN343" s="29"/>
      <c r="MHO343" s="29"/>
      <c r="MHP343" s="29"/>
      <c r="MHQ343" s="29"/>
      <c r="MHR343" s="29"/>
      <c r="MHS343" s="29"/>
      <c r="MHT343" s="29"/>
      <c r="MHU343" s="29"/>
      <c r="MHV343" s="29"/>
      <c r="MHW343" s="29"/>
      <c r="MHX343" s="29"/>
      <c r="MHY343" s="29"/>
      <c r="MHZ343" s="29"/>
      <c r="MIA343" s="29"/>
      <c r="MIB343" s="29"/>
      <c r="MIC343" s="29"/>
      <c r="MID343" s="29"/>
      <c r="MIE343" s="29"/>
      <c r="MIF343" s="29"/>
      <c r="MIG343" s="29"/>
      <c r="MIH343" s="29"/>
      <c r="MII343" s="29"/>
      <c r="MIJ343" s="29"/>
      <c r="MIK343" s="29"/>
      <c r="MIL343" s="29"/>
      <c r="MIM343" s="29"/>
      <c r="MIN343" s="29"/>
      <c r="MIO343" s="29"/>
      <c r="MIP343" s="29"/>
      <c r="MIQ343" s="29"/>
      <c r="MIR343" s="29"/>
      <c r="MIS343" s="29"/>
      <c r="MIT343" s="29"/>
      <c r="MIU343" s="29"/>
      <c r="MIV343" s="29"/>
      <c r="MIW343" s="29"/>
      <c r="MIX343" s="29"/>
      <c r="MIY343" s="29"/>
      <c r="MIZ343" s="29"/>
      <c r="MJA343" s="29"/>
      <c r="MJB343" s="29"/>
      <c r="MJC343" s="29"/>
      <c r="MJD343" s="29"/>
      <c r="MJE343" s="29"/>
      <c r="MJF343" s="29"/>
      <c r="MJG343" s="29"/>
      <c r="MJH343" s="29"/>
      <c r="MJI343" s="29"/>
      <c r="MJJ343" s="29"/>
      <c r="MJK343" s="29"/>
      <c r="MJL343" s="29"/>
      <c r="MJM343" s="29"/>
      <c r="MJN343" s="29"/>
      <c r="MJO343" s="29"/>
      <c r="MJP343" s="29"/>
      <c r="MJQ343" s="29"/>
      <c r="MJR343" s="29"/>
      <c r="MJS343" s="29"/>
      <c r="MJT343" s="29"/>
      <c r="MJU343" s="29"/>
      <c r="MJV343" s="29"/>
      <c r="MJW343" s="29"/>
      <c r="MJX343" s="29"/>
      <c r="MJY343" s="29"/>
      <c r="MJZ343" s="29"/>
      <c r="MKA343" s="29"/>
      <c r="MKB343" s="29"/>
      <c r="MKC343" s="29"/>
      <c r="MKD343" s="29"/>
      <c r="MKE343" s="29"/>
      <c r="MKF343" s="29"/>
      <c r="MKG343" s="29"/>
      <c r="MKH343" s="29"/>
      <c r="MKI343" s="29"/>
      <c r="MKJ343" s="29"/>
      <c r="MKK343" s="29"/>
      <c r="MKL343" s="29"/>
      <c r="MKM343" s="29"/>
      <c r="MKN343" s="29"/>
      <c r="MKO343" s="29"/>
      <c r="MKP343" s="29"/>
      <c r="MKQ343" s="29"/>
      <c r="MKR343" s="29"/>
      <c r="MKS343" s="29"/>
      <c r="MKT343" s="29"/>
      <c r="MKU343" s="29"/>
      <c r="MKV343" s="29"/>
      <c r="MKW343" s="29"/>
      <c r="MKX343" s="29"/>
      <c r="MKY343" s="29"/>
      <c r="MKZ343" s="29"/>
      <c r="MLA343" s="29"/>
      <c r="MLB343" s="29"/>
      <c r="MLC343" s="29"/>
      <c r="MLD343" s="29"/>
      <c r="MLE343" s="29"/>
      <c r="MLF343" s="29"/>
      <c r="MLG343" s="29"/>
      <c r="MLH343" s="29"/>
      <c r="MLI343" s="29"/>
      <c r="MLJ343" s="29"/>
      <c r="MLK343" s="29"/>
      <c r="MLL343" s="29"/>
      <c r="MLM343" s="29"/>
      <c r="MLN343" s="29"/>
      <c r="MLO343" s="29"/>
      <c r="MLP343" s="29"/>
      <c r="MLQ343" s="29"/>
      <c r="MLR343" s="29"/>
      <c r="MLS343" s="29"/>
      <c r="MLT343" s="29"/>
      <c r="MLU343" s="29"/>
      <c r="MLV343" s="29"/>
      <c r="MLW343" s="29"/>
      <c r="MLX343" s="29"/>
      <c r="MLY343" s="29"/>
      <c r="MLZ343" s="29"/>
      <c r="MMA343" s="29"/>
      <c r="MMB343" s="29"/>
      <c r="MMC343" s="29"/>
      <c r="MMD343" s="29"/>
      <c r="MME343" s="29"/>
      <c r="MMF343" s="29"/>
      <c r="MMG343" s="29"/>
      <c r="MMH343" s="29"/>
      <c r="MMI343" s="29"/>
      <c r="MMJ343" s="29"/>
      <c r="MMK343" s="29"/>
      <c r="MML343" s="29"/>
      <c r="MMM343" s="29"/>
      <c r="MMN343" s="29"/>
      <c r="MMO343" s="29"/>
      <c r="MMP343" s="29"/>
      <c r="MMQ343" s="29"/>
      <c r="MMR343" s="29"/>
      <c r="MMS343" s="29"/>
      <c r="MMT343" s="29"/>
      <c r="MMU343" s="29"/>
      <c r="MMV343" s="29"/>
      <c r="MMW343" s="29"/>
      <c r="MMX343" s="29"/>
      <c r="MMY343" s="29"/>
      <c r="MMZ343" s="29"/>
      <c r="MNA343" s="29"/>
      <c r="MNB343" s="29"/>
      <c r="MNC343" s="29"/>
      <c r="MND343" s="29"/>
      <c r="MNE343" s="29"/>
      <c r="MNF343" s="29"/>
      <c r="MNG343" s="29"/>
      <c r="MNH343" s="29"/>
      <c r="MNI343" s="29"/>
      <c r="MNJ343" s="29"/>
      <c r="MNK343" s="29"/>
      <c r="MNL343" s="29"/>
      <c r="MNM343" s="29"/>
      <c r="MNN343" s="29"/>
      <c r="MNO343" s="29"/>
      <c r="MNP343" s="29"/>
      <c r="MNQ343" s="29"/>
      <c r="MNR343" s="29"/>
      <c r="MNS343" s="29"/>
      <c r="MNT343" s="29"/>
      <c r="MNU343" s="29"/>
      <c r="MNV343" s="29"/>
      <c r="MNW343" s="29"/>
      <c r="MNX343" s="29"/>
      <c r="MNY343" s="29"/>
      <c r="MNZ343" s="29"/>
      <c r="MOA343" s="29"/>
      <c r="MOB343" s="29"/>
      <c r="MOC343" s="29"/>
      <c r="MOD343" s="29"/>
      <c r="MOE343" s="29"/>
      <c r="MOF343" s="29"/>
      <c r="MOG343" s="29"/>
      <c r="MOH343" s="29"/>
      <c r="MOI343" s="29"/>
      <c r="MOJ343" s="29"/>
      <c r="MOK343" s="29"/>
      <c r="MOL343" s="29"/>
      <c r="MOM343" s="29"/>
      <c r="MON343" s="29"/>
      <c r="MOO343" s="29"/>
      <c r="MOP343" s="29"/>
      <c r="MOQ343" s="29"/>
      <c r="MOR343" s="29"/>
      <c r="MOS343" s="29"/>
      <c r="MOT343" s="29"/>
      <c r="MOU343" s="29"/>
      <c r="MOV343" s="29"/>
      <c r="MOW343" s="29"/>
      <c r="MOX343" s="29"/>
      <c r="MOY343" s="29"/>
      <c r="MOZ343" s="29"/>
      <c r="MPA343" s="29"/>
      <c r="MPB343" s="29"/>
      <c r="MPC343" s="29"/>
      <c r="MPD343" s="29"/>
      <c r="MPE343" s="29"/>
      <c r="MPF343" s="29"/>
      <c r="MPG343" s="29"/>
      <c r="MPH343" s="29"/>
      <c r="MPI343" s="29"/>
      <c r="MPJ343" s="29"/>
      <c r="MPK343" s="29"/>
      <c r="MPL343" s="29"/>
      <c r="MPM343" s="29"/>
      <c r="MPN343" s="29"/>
      <c r="MPO343" s="29"/>
      <c r="MPP343" s="29"/>
      <c r="MPQ343" s="29"/>
      <c r="MPR343" s="29"/>
      <c r="MPS343" s="29"/>
      <c r="MPT343" s="29"/>
      <c r="MPU343" s="29"/>
      <c r="MPV343" s="29"/>
      <c r="MPW343" s="29"/>
      <c r="MPX343" s="29"/>
      <c r="MPY343" s="29"/>
      <c r="MPZ343" s="29"/>
      <c r="MQA343" s="29"/>
      <c r="MQB343" s="29"/>
      <c r="MQC343" s="29"/>
      <c r="MQD343" s="29"/>
      <c r="MQE343" s="29"/>
      <c r="MQF343" s="29"/>
      <c r="MQG343" s="29"/>
      <c r="MQH343" s="29"/>
      <c r="MQI343" s="29"/>
      <c r="MQJ343" s="29"/>
      <c r="MQK343" s="29"/>
      <c r="MQL343" s="29"/>
      <c r="MQM343" s="29"/>
      <c r="MQN343" s="29"/>
      <c r="MQO343" s="29"/>
      <c r="MQP343" s="29"/>
      <c r="MQQ343" s="29"/>
      <c r="MQR343" s="29"/>
      <c r="MQS343" s="29"/>
      <c r="MQT343" s="29"/>
      <c r="MQU343" s="29"/>
      <c r="MQV343" s="29"/>
      <c r="MQW343" s="29"/>
      <c r="MQX343" s="29"/>
      <c r="MQY343" s="29"/>
      <c r="MQZ343" s="29"/>
      <c r="MRA343" s="29"/>
      <c r="MRB343" s="29"/>
      <c r="MRC343" s="29"/>
      <c r="MRD343" s="29"/>
      <c r="MRE343" s="29"/>
      <c r="MRF343" s="29"/>
      <c r="MRG343" s="29"/>
      <c r="MRH343" s="29"/>
      <c r="MRI343" s="29"/>
      <c r="MRJ343" s="29"/>
      <c r="MRK343" s="29"/>
      <c r="MRL343" s="29"/>
      <c r="MRM343" s="29"/>
      <c r="MRN343" s="29"/>
      <c r="MRO343" s="29"/>
      <c r="MRP343" s="29"/>
      <c r="MRQ343" s="29"/>
      <c r="MRR343" s="29"/>
      <c r="MRS343" s="29"/>
      <c r="MRT343" s="29"/>
      <c r="MRU343" s="29"/>
      <c r="MRV343" s="29"/>
      <c r="MRW343" s="29"/>
      <c r="MRX343" s="29"/>
      <c r="MRY343" s="29"/>
      <c r="MRZ343" s="29"/>
      <c r="MSA343" s="29"/>
      <c r="MSB343" s="29"/>
      <c r="MSC343" s="29"/>
      <c r="MSD343" s="29"/>
      <c r="MSE343" s="29"/>
      <c r="MSF343" s="29"/>
      <c r="MSG343" s="29"/>
      <c r="MSH343" s="29"/>
      <c r="MSI343" s="29"/>
      <c r="MSJ343" s="29"/>
      <c r="MSK343" s="29"/>
      <c r="MSL343" s="29"/>
      <c r="MSM343" s="29"/>
      <c r="MSN343" s="29"/>
      <c r="MSO343" s="29"/>
      <c r="MSP343" s="29"/>
      <c r="MSQ343" s="29"/>
      <c r="MSR343" s="29"/>
      <c r="MSS343" s="29"/>
      <c r="MST343" s="29"/>
      <c r="MSU343" s="29"/>
      <c r="MSV343" s="29"/>
      <c r="MSW343" s="29"/>
      <c r="MSX343" s="29"/>
      <c r="MSY343" s="29"/>
      <c r="MSZ343" s="29"/>
      <c r="MTA343" s="29"/>
      <c r="MTB343" s="29"/>
      <c r="MTC343" s="29"/>
      <c r="MTD343" s="29"/>
      <c r="MTE343" s="29"/>
      <c r="MTF343" s="29"/>
      <c r="MTG343" s="29"/>
      <c r="MTH343" s="29"/>
      <c r="MTI343" s="29"/>
      <c r="MTJ343" s="29"/>
      <c r="MTK343" s="29"/>
      <c r="MTL343" s="29"/>
      <c r="MTM343" s="29"/>
      <c r="MTN343" s="29"/>
      <c r="MTO343" s="29"/>
      <c r="MTP343" s="29"/>
      <c r="MTQ343" s="29"/>
      <c r="MTR343" s="29"/>
      <c r="MTS343" s="29"/>
      <c r="MTT343" s="29"/>
      <c r="MTU343" s="29"/>
      <c r="MTV343" s="29"/>
      <c r="MTW343" s="29"/>
      <c r="MTX343" s="29"/>
      <c r="MTY343" s="29"/>
      <c r="MTZ343" s="29"/>
      <c r="MUA343" s="29"/>
      <c r="MUB343" s="29"/>
      <c r="MUC343" s="29"/>
      <c r="MUD343" s="29"/>
      <c r="MUE343" s="29"/>
      <c r="MUF343" s="29"/>
      <c r="MUG343" s="29"/>
      <c r="MUH343" s="29"/>
      <c r="MUI343" s="29"/>
      <c r="MUJ343" s="29"/>
      <c r="MUK343" s="29"/>
      <c r="MUL343" s="29"/>
      <c r="MUM343" s="29"/>
      <c r="MUN343" s="29"/>
      <c r="MUO343" s="29"/>
      <c r="MUP343" s="29"/>
      <c r="MUQ343" s="29"/>
      <c r="MUR343" s="29"/>
      <c r="MUS343" s="29"/>
      <c r="MUT343" s="29"/>
      <c r="MUU343" s="29"/>
      <c r="MUV343" s="29"/>
      <c r="MUW343" s="29"/>
      <c r="MUX343" s="29"/>
      <c r="MUY343" s="29"/>
      <c r="MUZ343" s="29"/>
      <c r="MVA343" s="29"/>
      <c r="MVB343" s="29"/>
      <c r="MVC343" s="29"/>
      <c r="MVD343" s="29"/>
      <c r="MVE343" s="29"/>
      <c r="MVF343" s="29"/>
      <c r="MVG343" s="29"/>
      <c r="MVH343" s="29"/>
      <c r="MVI343" s="29"/>
      <c r="MVJ343" s="29"/>
      <c r="MVK343" s="29"/>
      <c r="MVL343" s="29"/>
      <c r="MVM343" s="29"/>
      <c r="MVN343" s="29"/>
      <c r="MVO343" s="29"/>
      <c r="MVP343" s="29"/>
      <c r="MVQ343" s="29"/>
      <c r="MVR343" s="29"/>
      <c r="MVS343" s="29"/>
      <c r="MVT343" s="29"/>
      <c r="MVU343" s="29"/>
      <c r="MVV343" s="29"/>
      <c r="MVW343" s="29"/>
      <c r="MVX343" s="29"/>
      <c r="MVY343" s="29"/>
      <c r="MVZ343" s="29"/>
      <c r="MWA343" s="29"/>
      <c r="MWB343" s="29"/>
      <c r="MWC343" s="29"/>
      <c r="MWD343" s="29"/>
      <c r="MWE343" s="29"/>
      <c r="MWF343" s="29"/>
      <c r="MWG343" s="29"/>
      <c r="MWH343" s="29"/>
      <c r="MWI343" s="29"/>
      <c r="MWJ343" s="29"/>
      <c r="MWK343" s="29"/>
      <c r="MWL343" s="29"/>
      <c r="MWM343" s="29"/>
      <c r="MWN343" s="29"/>
      <c r="MWO343" s="29"/>
      <c r="MWP343" s="29"/>
      <c r="MWQ343" s="29"/>
      <c r="MWR343" s="29"/>
      <c r="MWS343" s="29"/>
      <c r="MWT343" s="29"/>
      <c r="MWU343" s="29"/>
      <c r="MWV343" s="29"/>
      <c r="MWW343" s="29"/>
      <c r="MWX343" s="29"/>
      <c r="MWY343" s="29"/>
      <c r="MWZ343" s="29"/>
      <c r="MXA343" s="29"/>
      <c r="MXB343" s="29"/>
      <c r="MXC343" s="29"/>
      <c r="MXD343" s="29"/>
      <c r="MXE343" s="29"/>
      <c r="MXF343" s="29"/>
      <c r="MXG343" s="29"/>
      <c r="MXH343" s="29"/>
      <c r="MXI343" s="29"/>
      <c r="MXJ343" s="29"/>
      <c r="MXK343" s="29"/>
      <c r="MXL343" s="29"/>
      <c r="MXM343" s="29"/>
      <c r="MXN343" s="29"/>
      <c r="MXO343" s="29"/>
      <c r="MXP343" s="29"/>
      <c r="MXQ343" s="29"/>
      <c r="MXR343" s="29"/>
      <c r="MXS343" s="29"/>
      <c r="MXT343" s="29"/>
      <c r="MXU343" s="29"/>
      <c r="MXV343" s="29"/>
      <c r="MXW343" s="29"/>
      <c r="MXX343" s="29"/>
      <c r="MXY343" s="29"/>
      <c r="MXZ343" s="29"/>
      <c r="MYA343" s="29"/>
      <c r="MYB343" s="29"/>
      <c r="MYC343" s="29"/>
      <c r="MYD343" s="29"/>
      <c r="MYE343" s="29"/>
      <c r="MYF343" s="29"/>
      <c r="MYG343" s="29"/>
      <c r="MYH343" s="29"/>
      <c r="MYI343" s="29"/>
      <c r="MYJ343" s="29"/>
      <c r="MYK343" s="29"/>
      <c r="MYL343" s="29"/>
      <c r="MYM343" s="29"/>
      <c r="MYN343" s="29"/>
      <c r="MYO343" s="29"/>
      <c r="MYP343" s="29"/>
      <c r="MYQ343" s="29"/>
      <c r="MYR343" s="29"/>
      <c r="MYS343" s="29"/>
      <c r="MYT343" s="29"/>
      <c r="MYU343" s="29"/>
      <c r="MYV343" s="29"/>
      <c r="MYW343" s="29"/>
      <c r="MYX343" s="29"/>
      <c r="MYY343" s="29"/>
      <c r="MYZ343" s="29"/>
      <c r="MZA343" s="29"/>
      <c r="MZB343" s="29"/>
      <c r="MZC343" s="29"/>
      <c r="MZD343" s="29"/>
      <c r="MZE343" s="29"/>
      <c r="MZF343" s="29"/>
      <c r="MZG343" s="29"/>
      <c r="MZH343" s="29"/>
      <c r="MZI343" s="29"/>
      <c r="MZJ343" s="29"/>
      <c r="MZK343" s="29"/>
      <c r="MZL343" s="29"/>
      <c r="MZM343" s="29"/>
      <c r="MZN343" s="29"/>
      <c r="MZO343" s="29"/>
      <c r="MZP343" s="29"/>
      <c r="MZQ343" s="29"/>
      <c r="MZR343" s="29"/>
      <c r="MZS343" s="29"/>
      <c r="MZT343" s="29"/>
      <c r="MZU343" s="29"/>
      <c r="MZV343" s="29"/>
      <c r="MZW343" s="29"/>
      <c r="MZX343" s="29"/>
      <c r="MZY343" s="29"/>
      <c r="MZZ343" s="29"/>
      <c r="NAA343" s="29"/>
      <c r="NAB343" s="29"/>
      <c r="NAC343" s="29"/>
      <c r="NAD343" s="29"/>
      <c r="NAE343" s="29"/>
      <c r="NAF343" s="29"/>
      <c r="NAG343" s="29"/>
      <c r="NAH343" s="29"/>
      <c r="NAI343" s="29"/>
      <c r="NAJ343" s="29"/>
      <c r="NAK343" s="29"/>
      <c r="NAL343" s="29"/>
      <c r="NAM343" s="29"/>
      <c r="NAN343" s="29"/>
      <c r="NAO343" s="29"/>
      <c r="NAP343" s="29"/>
      <c r="NAQ343" s="29"/>
      <c r="NAR343" s="29"/>
      <c r="NAS343" s="29"/>
      <c r="NAT343" s="29"/>
      <c r="NAU343" s="29"/>
      <c r="NAV343" s="29"/>
      <c r="NAW343" s="29"/>
      <c r="NAX343" s="29"/>
      <c r="NAY343" s="29"/>
      <c r="NAZ343" s="29"/>
      <c r="NBA343" s="29"/>
      <c r="NBB343" s="29"/>
      <c r="NBC343" s="29"/>
      <c r="NBD343" s="29"/>
      <c r="NBE343" s="29"/>
      <c r="NBF343" s="29"/>
      <c r="NBG343" s="29"/>
      <c r="NBH343" s="29"/>
      <c r="NBI343" s="29"/>
      <c r="NBJ343" s="29"/>
      <c r="NBK343" s="29"/>
      <c r="NBL343" s="29"/>
      <c r="NBM343" s="29"/>
      <c r="NBN343" s="29"/>
      <c r="NBO343" s="29"/>
      <c r="NBP343" s="29"/>
      <c r="NBQ343" s="29"/>
      <c r="NBR343" s="29"/>
      <c r="NBS343" s="29"/>
      <c r="NBT343" s="29"/>
      <c r="NBU343" s="29"/>
      <c r="NBV343" s="29"/>
      <c r="NBW343" s="29"/>
      <c r="NBX343" s="29"/>
      <c r="NBY343" s="29"/>
      <c r="NBZ343" s="29"/>
      <c r="NCA343" s="29"/>
      <c r="NCB343" s="29"/>
      <c r="NCC343" s="29"/>
      <c r="NCD343" s="29"/>
      <c r="NCE343" s="29"/>
      <c r="NCF343" s="29"/>
      <c r="NCG343" s="29"/>
      <c r="NCH343" s="29"/>
      <c r="NCI343" s="29"/>
      <c r="NCJ343" s="29"/>
      <c r="NCK343" s="29"/>
      <c r="NCL343" s="29"/>
      <c r="NCM343" s="29"/>
      <c r="NCN343" s="29"/>
      <c r="NCO343" s="29"/>
      <c r="NCP343" s="29"/>
      <c r="NCQ343" s="29"/>
      <c r="NCR343" s="29"/>
      <c r="NCS343" s="29"/>
      <c r="NCT343" s="29"/>
      <c r="NCU343" s="29"/>
      <c r="NCV343" s="29"/>
      <c r="NCW343" s="29"/>
      <c r="NCX343" s="29"/>
      <c r="NCY343" s="29"/>
      <c r="NCZ343" s="29"/>
      <c r="NDA343" s="29"/>
      <c r="NDB343" s="29"/>
      <c r="NDC343" s="29"/>
      <c r="NDD343" s="29"/>
      <c r="NDE343" s="29"/>
      <c r="NDF343" s="29"/>
      <c r="NDG343" s="29"/>
      <c r="NDH343" s="29"/>
      <c r="NDI343" s="29"/>
      <c r="NDJ343" s="29"/>
      <c r="NDK343" s="29"/>
      <c r="NDL343" s="29"/>
      <c r="NDM343" s="29"/>
      <c r="NDN343" s="29"/>
      <c r="NDO343" s="29"/>
      <c r="NDP343" s="29"/>
      <c r="NDQ343" s="29"/>
      <c r="NDR343" s="29"/>
      <c r="NDS343" s="29"/>
      <c r="NDT343" s="29"/>
      <c r="NDU343" s="29"/>
      <c r="NDV343" s="29"/>
      <c r="NDW343" s="29"/>
      <c r="NDX343" s="29"/>
      <c r="NDY343" s="29"/>
      <c r="NDZ343" s="29"/>
      <c r="NEA343" s="29"/>
      <c r="NEB343" s="29"/>
      <c r="NEC343" s="29"/>
      <c r="NED343" s="29"/>
      <c r="NEE343" s="29"/>
      <c r="NEF343" s="29"/>
      <c r="NEG343" s="29"/>
      <c r="NEH343" s="29"/>
      <c r="NEI343" s="29"/>
      <c r="NEJ343" s="29"/>
      <c r="NEK343" s="29"/>
      <c r="NEL343" s="29"/>
      <c r="NEM343" s="29"/>
      <c r="NEN343" s="29"/>
      <c r="NEO343" s="29"/>
      <c r="NEP343" s="29"/>
      <c r="NEQ343" s="29"/>
      <c r="NER343" s="29"/>
      <c r="NES343" s="29"/>
      <c r="NET343" s="29"/>
      <c r="NEU343" s="29"/>
      <c r="NEV343" s="29"/>
      <c r="NEW343" s="29"/>
      <c r="NEX343" s="29"/>
      <c r="NEY343" s="29"/>
      <c r="NEZ343" s="29"/>
      <c r="NFA343" s="29"/>
      <c r="NFB343" s="29"/>
      <c r="NFC343" s="29"/>
      <c r="NFD343" s="29"/>
      <c r="NFE343" s="29"/>
      <c r="NFF343" s="29"/>
      <c r="NFG343" s="29"/>
      <c r="NFH343" s="29"/>
      <c r="NFI343" s="29"/>
      <c r="NFJ343" s="29"/>
      <c r="NFK343" s="29"/>
      <c r="NFL343" s="29"/>
      <c r="NFM343" s="29"/>
      <c r="NFN343" s="29"/>
      <c r="NFO343" s="29"/>
      <c r="NFP343" s="29"/>
      <c r="NFQ343" s="29"/>
      <c r="NFR343" s="29"/>
      <c r="NFS343" s="29"/>
      <c r="NFT343" s="29"/>
      <c r="NFU343" s="29"/>
      <c r="NFV343" s="29"/>
      <c r="NFW343" s="29"/>
      <c r="NFX343" s="29"/>
      <c r="NFY343" s="29"/>
      <c r="NFZ343" s="29"/>
      <c r="NGA343" s="29"/>
      <c r="NGB343" s="29"/>
      <c r="NGC343" s="29"/>
      <c r="NGD343" s="29"/>
      <c r="NGE343" s="29"/>
      <c r="NGF343" s="29"/>
      <c r="NGG343" s="29"/>
      <c r="NGH343" s="29"/>
      <c r="NGI343" s="29"/>
      <c r="NGJ343" s="29"/>
      <c r="NGK343" s="29"/>
      <c r="NGL343" s="29"/>
      <c r="NGM343" s="29"/>
      <c r="NGN343" s="29"/>
      <c r="NGO343" s="29"/>
      <c r="NGP343" s="29"/>
      <c r="NGQ343" s="29"/>
      <c r="NGR343" s="29"/>
      <c r="NGS343" s="29"/>
      <c r="NGT343" s="29"/>
      <c r="NGU343" s="29"/>
      <c r="NGV343" s="29"/>
      <c r="NGW343" s="29"/>
      <c r="NGX343" s="29"/>
      <c r="NGY343" s="29"/>
      <c r="NGZ343" s="29"/>
      <c r="NHA343" s="29"/>
      <c r="NHB343" s="29"/>
      <c r="NHC343" s="29"/>
      <c r="NHD343" s="29"/>
      <c r="NHE343" s="29"/>
      <c r="NHF343" s="29"/>
      <c r="NHG343" s="29"/>
      <c r="NHH343" s="29"/>
      <c r="NHI343" s="29"/>
      <c r="NHJ343" s="29"/>
      <c r="NHK343" s="29"/>
      <c r="NHL343" s="29"/>
      <c r="NHM343" s="29"/>
      <c r="NHN343" s="29"/>
      <c r="NHO343" s="29"/>
      <c r="NHP343" s="29"/>
      <c r="NHQ343" s="29"/>
      <c r="NHR343" s="29"/>
      <c r="NHS343" s="29"/>
      <c r="NHT343" s="29"/>
      <c r="NHU343" s="29"/>
      <c r="NHV343" s="29"/>
      <c r="NHW343" s="29"/>
      <c r="NHX343" s="29"/>
      <c r="NHY343" s="29"/>
      <c r="NHZ343" s="29"/>
      <c r="NIA343" s="29"/>
      <c r="NIB343" s="29"/>
      <c r="NIC343" s="29"/>
      <c r="NID343" s="29"/>
      <c r="NIE343" s="29"/>
      <c r="NIF343" s="29"/>
      <c r="NIG343" s="29"/>
      <c r="NIH343" s="29"/>
      <c r="NII343" s="29"/>
      <c r="NIJ343" s="29"/>
      <c r="NIK343" s="29"/>
      <c r="NIL343" s="29"/>
      <c r="NIM343" s="29"/>
      <c r="NIN343" s="29"/>
      <c r="NIO343" s="29"/>
      <c r="NIP343" s="29"/>
      <c r="NIQ343" s="29"/>
      <c r="NIR343" s="29"/>
      <c r="NIS343" s="29"/>
      <c r="NIT343" s="29"/>
      <c r="NIU343" s="29"/>
      <c r="NIV343" s="29"/>
      <c r="NIW343" s="29"/>
      <c r="NIX343" s="29"/>
      <c r="NIY343" s="29"/>
      <c r="NIZ343" s="29"/>
      <c r="NJA343" s="29"/>
      <c r="NJB343" s="29"/>
      <c r="NJC343" s="29"/>
      <c r="NJD343" s="29"/>
      <c r="NJE343" s="29"/>
      <c r="NJF343" s="29"/>
      <c r="NJG343" s="29"/>
      <c r="NJH343" s="29"/>
      <c r="NJI343" s="29"/>
      <c r="NJJ343" s="29"/>
      <c r="NJK343" s="29"/>
      <c r="NJL343" s="29"/>
      <c r="NJM343" s="29"/>
      <c r="NJN343" s="29"/>
      <c r="NJO343" s="29"/>
      <c r="NJP343" s="29"/>
      <c r="NJQ343" s="29"/>
      <c r="NJR343" s="29"/>
      <c r="NJS343" s="29"/>
      <c r="NJT343" s="29"/>
      <c r="NJU343" s="29"/>
      <c r="NJV343" s="29"/>
      <c r="NJW343" s="29"/>
      <c r="NJX343" s="29"/>
      <c r="NJY343" s="29"/>
      <c r="NJZ343" s="29"/>
      <c r="NKA343" s="29"/>
      <c r="NKB343" s="29"/>
      <c r="NKC343" s="29"/>
      <c r="NKD343" s="29"/>
      <c r="NKE343" s="29"/>
      <c r="NKF343" s="29"/>
      <c r="NKG343" s="29"/>
      <c r="NKH343" s="29"/>
      <c r="NKI343" s="29"/>
      <c r="NKJ343" s="29"/>
      <c r="NKK343" s="29"/>
      <c r="NKL343" s="29"/>
      <c r="NKM343" s="29"/>
      <c r="NKN343" s="29"/>
      <c r="NKO343" s="29"/>
      <c r="NKP343" s="29"/>
      <c r="NKQ343" s="29"/>
      <c r="NKR343" s="29"/>
      <c r="NKS343" s="29"/>
      <c r="NKT343" s="29"/>
      <c r="NKU343" s="29"/>
      <c r="NKV343" s="29"/>
      <c r="NKW343" s="29"/>
      <c r="NKX343" s="29"/>
      <c r="NKY343" s="29"/>
      <c r="NKZ343" s="29"/>
      <c r="NLA343" s="29"/>
      <c r="NLB343" s="29"/>
      <c r="NLC343" s="29"/>
      <c r="NLD343" s="29"/>
      <c r="NLE343" s="29"/>
      <c r="NLF343" s="29"/>
      <c r="NLG343" s="29"/>
      <c r="NLH343" s="29"/>
      <c r="NLI343" s="29"/>
      <c r="NLJ343" s="29"/>
      <c r="NLK343" s="29"/>
      <c r="NLL343" s="29"/>
      <c r="NLM343" s="29"/>
      <c r="NLN343" s="29"/>
      <c r="NLO343" s="29"/>
      <c r="NLP343" s="29"/>
      <c r="NLQ343" s="29"/>
      <c r="NLR343" s="29"/>
      <c r="NLS343" s="29"/>
      <c r="NLT343" s="29"/>
      <c r="NLU343" s="29"/>
      <c r="NLV343" s="29"/>
      <c r="NLW343" s="29"/>
      <c r="NLX343" s="29"/>
      <c r="NLY343" s="29"/>
      <c r="NLZ343" s="29"/>
      <c r="NMA343" s="29"/>
      <c r="NMB343" s="29"/>
      <c r="NMC343" s="29"/>
      <c r="NMD343" s="29"/>
      <c r="NME343" s="29"/>
      <c r="NMF343" s="29"/>
      <c r="NMG343" s="29"/>
      <c r="NMH343" s="29"/>
      <c r="NMI343" s="29"/>
      <c r="NMJ343" s="29"/>
      <c r="NMK343" s="29"/>
      <c r="NML343" s="29"/>
      <c r="NMM343" s="29"/>
      <c r="NMN343" s="29"/>
      <c r="NMO343" s="29"/>
      <c r="NMP343" s="29"/>
      <c r="NMQ343" s="29"/>
      <c r="NMR343" s="29"/>
      <c r="NMS343" s="29"/>
      <c r="NMT343" s="29"/>
      <c r="NMU343" s="29"/>
      <c r="NMV343" s="29"/>
      <c r="NMW343" s="29"/>
      <c r="NMX343" s="29"/>
      <c r="NMY343" s="29"/>
      <c r="NMZ343" s="29"/>
      <c r="NNA343" s="29"/>
      <c r="NNB343" s="29"/>
      <c r="NNC343" s="29"/>
      <c r="NND343" s="29"/>
      <c r="NNE343" s="29"/>
      <c r="NNF343" s="29"/>
      <c r="NNG343" s="29"/>
      <c r="NNH343" s="29"/>
      <c r="NNI343" s="29"/>
      <c r="NNJ343" s="29"/>
      <c r="NNK343" s="29"/>
      <c r="NNL343" s="29"/>
      <c r="NNM343" s="29"/>
      <c r="NNN343" s="29"/>
      <c r="NNO343" s="29"/>
      <c r="NNP343" s="29"/>
      <c r="NNQ343" s="29"/>
      <c r="NNR343" s="29"/>
      <c r="NNS343" s="29"/>
      <c r="NNT343" s="29"/>
      <c r="NNU343" s="29"/>
      <c r="NNV343" s="29"/>
      <c r="NNW343" s="29"/>
      <c r="NNX343" s="29"/>
      <c r="NNY343" s="29"/>
      <c r="NNZ343" s="29"/>
      <c r="NOA343" s="29"/>
      <c r="NOB343" s="29"/>
      <c r="NOC343" s="29"/>
      <c r="NOD343" s="29"/>
      <c r="NOE343" s="29"/>
      <c r="NOF343" s="29"/>
      <c r="NOG343" s="29"/>
      <c r="NOH343" s="29"/>
      <c r="NOI343" s="29"/>
      <c r="NOJ343" s="29"/>
      <c r="NOK343" s="29"/>
      <c r="NOL343" s="29"/>
      <c r="NOM343" s="29"/>
      <c r="NON343" s="29"/>
      <c r="NOO343" s="29"/>
      <c r="NOP343" s="29"/>
      <c r="NOQ343" s="29"/>
      <c r="NOR343" s="29"/>
      <c r="NOS343" s="29"/>
      <c r="NOT343" s="29"/>
      <c r="NOU343" s="29"/>
      <c r="NOV343" s="29"/>
      <c r="NOW343" s="29"/>
      <c r="NOX343" s="29"/>
      <c r="NOY343" s="29"/>
      <c r="NOZ343" s="29"/>
      <c r="NPA343" s="29"/>
      <c r="NPB343" s="29"/>
      <c r="NPC343" s="29"/>
      <c r="NPD343" s="29"/>
      <c r="NPE343" s="29"/>
      <c r="NPF343" s="29"/>
      <c r="NPG343" s="29"/>
      <c r="NPH343" s="29"/>
      <c r="NPI343" s="29"/>
      <c r="NPJ343" s="29"/>
      <c r="NPK343" s="29"/>
      <c r="NPL343" s="29"/>
      <c r="NPM343" s="29"/>
      <c r="NPN343" s="29"/>
      <c r="NPO343" s="29"/>
      <c r="NPP343" s="29"/>
      <c r="NPQ343" s="29"/>
      <c r="NPR343" s="29"/>
      <c r="NPS343" s="29"/>
      <c r="NPT343" s="29"/>
      <c r="NPU343" s="29"/>
      <c r="NPV343" s="29"/>
      <c r="NPW343" s="29"/>
      <c r="NPX343" s="29"/>
      <c r="NPY343" s="29"/>
      <c r="NPZ343" s="29"/>
      <c r="NQA343" s="29"/>
      <c r="NQB343" s="29"/>
      <c r="NQC343" s="29"/>
      <c r="NQD343" s="29"/>
      <c r="NQE343" s="29"/>
      <c r="NQF343" s="29"/>
      <c r="NQG343" s="29"/>
      <c r="NQH343" s="29"/>
      <c r="NQI343" s="29"/>
      <c r="NQJ343" s="29"/>
      <c r="NQK343" s="29"/>
      <c r="NQL343" s="29"/>
      <c r="NQM343" s="29"/>
      <c r="NQN343" s="29"/>
      <c r="NQO343" s="29"/>
      <c r="NQP343" s="29"/>
      <c r="NQQ343" s="29"/>
      <c r="NQR343" s="29"/>
      <c r="NQS343" s="29"/>
      <c r="NQT343" s="29"/>
      <c r="NQU343" s="29"/>
      <c r="NQV343" s="29"/>
      <c r="NQW343" s="29"/>
      <c r="NQX343" s="29"/>
      <c r="NQY343" s="29"/>
      <c r="NQZ343" s="29"/>
      <c r="NRA343" s="29"/>
      <c r="NRB343" s="29"/>
      <c r="NRC343" s="29"/>
      <c r="NRD343" s="29"/>
      <c r="NRE343" s="29"/>
      <c r="NRF343" s="29"/>
      <c r="NRG343" s="29"/>
      <c r="NRH343" s="29"/>
      <c r="NRI343" s="29"/>
      <c r="NRJ343" s="29"/>
      <c r="NRK343" s="29"/>
      <c r="NRL343" s="29"/>
      <c r="NRM343" s="29"/>
      <c r="NRN343" s="29"/>
      <c r="NRO343" s="29"/>
      <c r="NRP343" s="29"/>
      <c r="NRQ343" s="29"/>
      <c r="NRR343" s="29"/>
      <c r="NRS343" s="29"/>
      <c r="NRT343" s="29"/>
      <c r="NRU343" s="29"/>
      <c r="NRV343" s="29"/>
      <c r="NRW343" s="29"/>
      <c r="NRX343" s="29"/>
      <c r="NRY343" s="29"/>
      <c r="NRZ343" s="29"/>
      <c r="NSA343" s="29"/>
      <c r="NSB343" s="29"/>
      <c r="NSC343" s="29"/>
      <c r="NSD343" s="29"/>
      <c r="NSE343" s="29"/>
      <c r="NSF343" s="29"/>
      <c r="NSG343" s="29"/>
      <c r="NSH343" s="29"/>
      <c r="NSI343" s="29"/>
      <c r="NSJ343" s="29"/>
      <c r="NSK343" s="29"/>
      <c r="NSL343" s="29"/>
      <c r="NSM343" s="29"/>
      <c r="NSN343" s="29"/>
      <c r="NSO343" s="29"/>
      <c r="NSP343" s="29"/>
      <c r="NSQ343" s="29"/>
      <c r="NSR343" s="29"/>
      <c r="NSS343" s="29"/>
      <c r="NST343" s="29"/>
      <c r="NSU343" s="29"/>
      <c r="NSV343" s="29"/>
      <c r="NSW343" s="29"/>
      <c r="NSX343" s="29"/>
      <c r="NSY343" s="29"/>
      <c r="NSZ343" s="29"/>
      <c r="NTA343" s="29"/>
      <c r="NTB343" s="29"/>
      <c r="NTC343" s="29"/>
      <c r="NTD343" s="29"/>
      <c r="NTE343" s="29"/>
      <c r="NTF343" s="29"/>
      <c r="NTG343" s="29"/>
      <c r="NTH343" s="29"/>
      <c r="NTI343" s="29"/>
      <c r="NTJ343" s="29"/>
      <c r="NTK343" s="29"/>
      <c r="NTL343" s="29"/>
      <c r="NTM343" s="29"/>
      <c r="NTN343" s="29"/>
      <c r="NTO343" s="29"/>
      <c r="NTP343" s="29"/>
      <c r="NTQ343" s="29"/>
      <c r="NTR343" s="29"/>
      <c r="NTS343" s="29"/>
      <c r="NTT343" s="29"/>
      <c r="NTU343" s="29"/>
      <c r="NTV343" s="29"/>
      <c r="NTW343" s="29"/>
      <c r="NTX343" s="29"/>
      <c r="NTY343" s="29"/>
      <c r="NTZ343" s="29"/>
      <c r="NUA343" s="29"/>
      <c r="NUB343" s="29"/>
      <c r="NUC343" s="29"/>
      <c r="NUD343" s="29"/>
      <c r="NUE343" s="29"/>
      <c r="NUF343" s="29"/>
      <c r="NUG343" s="29"/>
      <c r="NUH343" s="29"/>
      <c r="NUI343" s="29"/>
      <c r="NUJ343" s="29"/>
      <c r="NUK343" s="29"/>
      <c r="NUL343" s="29"/>
      <c r="NUM343" s="29"/>
      <c r="NUN343" s="29"/>
      <c r="NUO343" s="29"/>
      <c r="NUP343" s="29"/>
      <c r="NUQ343" s="29"/>
      <c r="NUR343" s="29"/>
      <c r="NUS343" s="29"/>
      <c r="NUT343" s="29"/>
      <c r="NUU343" s="29"/>
      <c r="NUV343" s="29"/>
      <c r="NUW343" s="29"/>
      <c r="NUX343" s="29"/>
      <c r="NUY343" s="29"/>
      <c r="NUZ343" s="29"/>
      <c r="NVA343" s="29"/>
      <c r="NVB343" s="29"/>
      <c r="NVC343" s="29"/>
      <c r="NVD343" s="29"/>
      <c r="NVE343" s="29"/>
      <c r="NVF343" s="29"/>
      <c r="NVG343" s="29"/>
      <c r="NVH343" s="29"/>
      <c r="NVI343" s="29"/>
      <c r="NVJ343" s="29"/>
      <c r="NVK343" s="29"/>
      <c r="NVL343" s="29"/>
      <c r="NVM343" s="29"/>
      <c r="NVN343" s="29"/>
      <c r="NVO343" s="29"/>
      <c r="NVP343" s="29"/>
      <c r="NVQ343" s="29"/>
      <c r="NVR343" s="29"/>
      <c r="NVS343" s="29"/>
      <c r="NVT343" s="29"/>
      <c r="NVU343" s="29"/>
      <c r="NVV343" s="29"/>
      <c r="NVW343" s="29"/>
      <c r="NVX343" s="29"/>
      <c r="NVY343" s="29"/>
      <c r="NVZ343" s="29"/>
      <c r="NWA343" s="29"/>
      <c r="NWB343" s="29"/>
      <c r="NWC343" s="29"/>
      <c r="NWD343" s="29"/>
      <c r="NWE343" s="29"/>
      <c r="NWF343" s="29"/>
      <c r="NWG343" s="29"/>
      <c r="NWH343" s="29"/>
      <c r="NWI343" s="29"/>
      <c r="NWJ343" s="29"/>
      <c r="NWK343" s="29"/>
      <c r="NWL343" s="29"/>
      <c r="NWM343" s="29"/>
      <c r="NWN343" s="29"/>
      <c r="NWO343" s="29"/>
      <c r="NWP343" s="29"/>
      <c r="NWQ343" s="29"/>
      <c r="NWR343" s="29"/>
      <c r="NWS343" s="29"/>
      <c r="NWT343" s="29"/>
      <c r="NWU343" s="29"/>
      <c r="NWV343" s="29"/>
      <c r="NWW343" s="29"/>
      <c r="NWX343" s="29"/>
      <c r="NWY343" s="29"/>
      <c r="NWZ343" s="29"/>
      <c r="NXA343" s="29"/>
      <c r="NXB343" s="29"/>
      <c r="NXC343" s="29"/>
      <c r="NXD343" s="29"/>
      <c r="NXE343" s="29"/>
      <c r="NXF343" s="29"/>
      <c r="NXG343" s="29"/>
      <c r="NXH343" s="29"/>
      <c r="NXI343" s="29"/>
      <c r="NXJ343" s="29"/>
      <c r="NXK343" s="29"/>
      <c r="NXL343" s="29"/>
      <c r="NXM343" s="29"/>
      <c r="NXN343" s="29"/>
      <c r="NXO343" s="29"/>
      <c r="NXP343" s="29"/>
      <c r="NXQ343" s="29"/>
      <c r="NXR343" s="29"/>
      <c r="NXS343" s="29"/>
      <c r="NXT343" s="29"/>
      <c r="NXU343" s="29"/>
      <c r="NXV343" s="29"/>
      <c r="NXW343" s="29"/>
      <c r="NXX343" s="29"/>
      <c r="NXY343" s="29"/>
      <c r="NXZ343" s="29"/>
      <c r="NYA343" s="29"/>
      <c r="NYB343" s="29"/>
      <c r="NYC343" s="29"/>
      <c r="NYD343" s="29"/>
      <c r="NYE343" s="29"/>
      <c r="NYF343" s="29"/>
      <c r="NYG343" s="29"/>
      <c r="NYH343" s="29"/>
      <c r="NYI343" s="29"/>
      <c r="NYJ343" s="29"/>
      <c r="NYK343" s="29"/>
      <c r="NYL343" s="29"/>
      <c r="NYM343" s="29"/>
      <c r="NYN343" s="29"/>
      <c r="NYO343" s="29"/>
      <c r="NYP343" s="29"/>
      <c r="NYQ343" s="29"/>
      <c r="NYR343" s="29"/>
      <c r="NYS343" s="29"/>
      <c r="NYT343" s="29"/>
      <c r="NYU343" s="29"/>
      <c r="NYV343" s="29"/>
      <c r="NYW343" s="29"/>
      <c r="NYX343" s="29"/>
      <c r="NYY343" s="29"/>
      <c r="NYZ343" s="29"/>
      <c r="NZA343" s="29"/>
      <c r="NZB343" s="29"/>
      <c r="NZC343" s="29"/>
      <c r="NZD343" s="29"/>
      <c r="NZE343" s="29"/>
      <c r="NZF343" s="29"/>
      <c r="NZG343" s="29"/>
      <c r="NZH343" s="29"/>
      <c r="NZI343" s="29"/>
      <c r="NZJ343" s="29"/>
      <c r="NZK343" s="29"/>
      <c r="NZL343" s="29"/>
      <c r="NZM343" s="29"/>
      <c r="NZN343" s="29"/>
      <c r="NZO343" s="29"/>
      <c r="NZP343" s="29"/>
      <c r="NZQ343" s="29"/>
      <c r="NZR343" s="29"/>
      <c r="NZS343" s="29"/>
      <c r="NZT343" s="29"/>
      <c r="NZU343" s="29"/>
      <c r="NZV343" s="29"/>
      <c r="NZW343" s="29"/>
      <c r="NZX343" s="29"/>
      <c r="NZY343" s="29"/>
      <c r="NZZ343" s="29"/>
      <c r="OAA343" s="29"/>
      <c r="OAB343" s="29"/>
      <c r="OAC343" s="29"/>
      <c r="OAD343" s="29"/>
      <c r="OAE343" s="29"/>
      <c r="OAF343" s="29"/>
      <c r="OAG343" s="29"/>
      <c r="OAH343" s="29"/>
      <c r="OAI343" s="29"/>
      <c r="OAJ343" s="29"/>
      <c r="OAK343" s="29"/>
      <c r="OAL343" s="29"/>
      <c r="OAM343" s="29"/>
      <c r="OAN343" s="29"/>
      <c r="OAO343" s="29"/>
      <c r="OAP343" s="29"/>
      <c r="OAQ343" s="29"/>
      <c r="OAR343" s="29"/>
      <c r="OAS343" s="29"/>
      <c r="OAT343" s="29"/>
      <c r="OAU343" s="29"/>
      <c r="OAV343" s="29"/>
      <c r="OAW343" s="29"/>
      <c r="OAX343" s="29"/>
      <c r="OAY343" s="29"/>
      <c r="OAZ343" s="29"/>
      <c r="OBA343" s="29"/>
      <c r="OBB343" s="29"/>
      <c r="OBC343" s="29"/>
      <c r="OBD343" s="29"/>
      <c r="OBE343" s="29"/>
      <c r="OBF343" s="29"/>
      <c r="OBG343" s="29"/>
      <c r="OBH343" s="29"/>
      <c r="OBI343" s="29"/>
      <c r="OBJ343" s="29"/>
      <c r="OBK343" s="29"/>
      <c r="OBL343" s="29"/>
      <c r="OBM343" s="29"/>
      <c r="OBN343" s="29"/>
      <c r="OBO343" s="29"/>
      <c r="OBP343" s="29"/>
      <c r="OBQ343" s="29"/>
      <c r="OBR343" s="29"/>
      <c r="OBS343" s="29"/>
      <c r="OBT343" s="29"/>
      <c r="OBU343" s="29"/>
      <c r="OBV343" s="29"/>
      <c r="OBW343" s="29"/>
      <c r="OBX343" s="29"/>
      <c r="OBY343" s="29"/>
      <c r="OBZ343" s="29"/>
      <c r="OCA343" s="29"/>
      <c r="OCB343" s="29"/>
      <c r="OCC343" s="29"/>
      <c r="OCD343" s="29"/>
      <c r="OCE343" s="29"/>
      <c r="OCF343" s="29"/>
      <c r="OCG343" s="29"/>
      <c r="OCH343" s="29"/>
      <c r="OCI343" s="29"/>
      <c r="OCJ343" s="29"/>
      <c r="OCK343" s="29"/>
      <c r="OCL343" s="29"/>
      <c r="OCM343" s="29"/>
      <c r="OCN343" s="29"/>
      <c r="OCO343" s="29"/>
      <c r="OCP343" s="29"/>
      <c r="OCQ343" s="29"/>
      <c r="OCR343" s="29"/>
      <c r="OCS343" s="29"/>
      <c r="OCT343" s="29"/>
      <c r="OCU343" s="29"/>
      <c r="OCV343" s="29"/>
      <c r="OCW343" s="29"/>
      <c r="OCX343" s="29"/>
      <c r="OCY343" s="29"/>
      <c r="OCZ343" s="29"/>
      <c r="ODA343" s="29"/>
      <c r="ODB343" s="29"/>
      <c r="ODC343" s="29"/>
      <c r="ODD343" s="29"/>
      <c r="ODE343" s="29"/>
      <c r="ODF343" s="29"/>
      <c r="ODG343" s="29"/>
      <c r="ODH343" s="29"/>
      <c r="ODI343" s="29"/>
      <c r="ODJ343" s="29"/>
      <c r="ODK343" s="29"/>
      <c r="ODL343" s="29"/>
      <c r="ODM343" s="29"/>
      <c r="ODN343" s="29"/>
      <c r="ODO343" s="29"/>
      <c r="ODP343" s="29"/>
      <c r="ODQ343" s="29"/>
      <c r="ODR343" s="29"/>
      <c r="ODS343" s="29"/>
      <c r="ODT343" s="29"/>
      <c r="ODU343" s="29"/>
      <c r="ODV343" s="29"/>
      <c r="ODW343" s="29"/>
      <c r="ODX343" s="29"/>
      <c r="ODY343" s="29"/>
      <c r="ODZ343" s="29"/>
      <c r="OEA343" s="29"/>
      <c r="OEB343" s="29"/>
      <c r="OEC343" s="29"/>
      <c r="OED343" s="29"/>
      <c r="OEE343" s="29"/>
      <c r="OEF343" s="29"/>
      <c r="OEG343" s="29"/>
      <c r="OEH343" s="29"/>
      <c r="OEI343" s="29"/>
      <c r="OEJ343" s="29"/>
      <c r="OEK343" s="29"/>
      <c r="OEL343" s="29"/>
      <c r="OEM343" s="29"/>
      <c r="OEN343" s="29"/>
      <c r="OEO343" s="29"/>
      <c r="OEP343" s="29"/>
      <c r="OEQ343" s="29"/>
      <c r="OER343" s="29"/>
      <c r="OES343" s="29"/>
      <c r="OET343" s="29"/>
      <c r="OEU343" s="29"/>
      <c r="OEV343" s="29"/>
      <c r="OEW343" s="29"/>
      <c r="OEX343" s="29"/>
      <c r="OEY343" s="29"/>
      <c r="OEZ343" s="29"/>
      <c r="OFA343" s="29"/>
      <c r="OFB343" s="29"/>
      <c r="OFC343" s="29"/>
      <c r="OFD343" s="29"/>
      <c r="OFE343" s="29"/>
      <c r="OFF343" s="29"/>
      <c r="OFG343" s="29"/>
      <c r="OFH343" s="29"/>
      <c r="OFI343" s="29"/>
      <c r="OFJ343" s="29"/>
      <c r="OFK343" s="29"/>
      <c r="OFL343" s="29"/>
      <c r="OFM343" s="29"/>
      <c r="OFN343" s="29"/>
      <c r="OFO343" s="29"/>
      <c r="OFP343" s="29"/>
      <c r="OFQ343" s="29"/>
      <c r="OFR343" s="29"/>
      <c r="OFS343" s="29"/>
      <c r="OFT343" s="29"/>
      <c r="OFU343" s="29"/>
      <c r="OFV343" s="29"/>
      <c r="OFW343" s="29"/>
      <c r="OFX343" s="29"/>
      <c r="OFY343" s="29"/>
      <c r="OFZ343" s="29"/>
      <c r="OGA343" s="29"/>
      <c r="OGB343" s="29"/>
      <c r="OGC343" s="29"/>
      <c r="OGD343" s="29"/>
      <c r="OGE343" s="29"/>
      <c r="OGF343" s="29"/>
      <c r="OGG343" s="29"/>
      <c r="OGH343" s="29"/>
      <c r="OGI343" s="29"/>
      <c r="OGJ343" s="29"/>
      <c r="OGK343" s="29"/>
      <c r="OGL343" s="29"/>
      <c r="OGM343" s="29"/>
      <c r="OGN343" s="29"/>
      <c r="OGO343" s="29"/>
      <c r="OGP343" s="29"/>
      <c r="OGQ343" s="29"/>
      <c r="OGR343" s="29"/>
      <c r="OGS343" s="29"/>
      <c r="OGT343" s="29"/>
      <c r="OGU343" s="29"/>
      <c r="OGV343" s="29"/>
      <c r="OGW343" s="29"/>
      <c r="OGX343" s="29"/>
      <c r="OGY343" s="29"/>
      <c r="OGZ343" s="29"/>
      <c r="OHA343" s="29"/>
      <c r="OHB343" s="29"/>
      <c r="OHC343" s="29"/>
      <c r="OHD343" s="29"/>
      <c r="OHE343" s="29"/>
      <c r="OHF343" s="29"/>
      <c r="OHG343" s="29"/>
      <c r="OHH343" s="29"/>
      <c r="OHI343" s="29"/>
      <c r="OHJ343" s="29"/>
      <c r="OHK343" s="29"/>
      <c r="OHL343" s="29"/>
      <c r="OHM343" s="29"/>
      <c r="OHN343" s="29"/>
      <c r="OHO343" s="29"/>
      <c r="OHP343" s="29"/>
      <c r="OHQ343" s="29"/>
      <c r="OHR343" s="29"/>
      <c r="OHS343" s="29"/>
      <c r="OHT343" s="29"/>
      <c r="OHU343" s="29"/>
      <c r="OHV343" s="29"/>
      <c r="OHW343" s="29"/>
      <c r="OHX343" s="29"/>
      <c r="OHY343" s="29"/>
      <c r="OHZ343" s="29"/>
      <c r="OIA343" s="29"/>
      <c r="OIB343" s="29"/>
      <c r="OIC343" s="29"/>
      <c r="OID343" s="29"/>
      <c r="OIE343" s="29"/>
      <c r="OIF343" s="29"/>
      <c r="OIG343" s="29"/>
      <c r="OIH343" s="29"/>
      <c r="OII343" s="29"/>
      <c r="OIJ343" s="29"/>
      <c r="OIK343" s="29"/>
      <c r="OIL343" s="29"/>
      <c r="OIM343" s="29"/>
      <c r="OIN343" s="29"/>
      <c r="OIO343" s="29"/>
      <c r="OIP343" s="29"/>
      <c r="OIQ343" s="29"/>
      <c r="OIR343" s="29"/>
      <c r="OIS343" s="29"/>
      <c r="OIT343" s="29"/>
      <c r="OIU343" s="29"/>
      <c r="OIV343" s="29"/>
      <c r="OIW343" s="29"/>
      <c r="OIX343" s="29"/>
      <c r="OIY343" s="29"/>
      <c r="OIZ343" s="29"/>
      <c r="OJA343" s="29"/>
      <c r="OJB343" s="29"/>
      <c r="OJC343" s="29"/>
      <c r="OJD343" s="29"/>
      <c r="OJE343" s="29"/>
      <c r="OJF343" s="29"/>
      <c r="OJG343" s="29"/>
      <c r="OJH343" s="29"/>
      <c r="OJI343" s="29"/>
      <c r="OJJ343" s="29"/>
      <c r="OJK343" s="29"/>
      <c r="OJL343" s="29"/>
      <c r="OJM343" s="29"/>
      <c r="OJN343" s="29"/>
      <c r="OJO343" s="29"/>
      <c r="OJP343" s="29"/>
      <c r="OJQ343" s="29"/>
      <c r="OJR343" s="29"/>
      <c r="OJS343" s="29"/>
      <c r="OJT343" s="29"/>
      <c r="OJU343" s="29"/>
      <c r="OJV343" s="29"/>
      <c r="OJW343" s="29"/>
      <c r="OJX343" s="29"/>
      <c r="OJY343" s="29"/>
      <c r="OJZ343" s="29"/>
      <c r="OKA343" s="29"/>
      <c r="OKB343" s="29"/>
      <c r="OKC343" s="29"/>
      <c r="OKD343" s="29"/>
      <c r="OKE343" s="29"/>
      <c r="OKF343" s="29"/>
      <c r="OKG343" s="29"/>
      <c r="OKH343" s="29"/>
      <c r="OKI343" s="29"/>
      <c r="OKJ343" s="29"/>
      <c r="OKK343" s="29"/>
      <c r="OKL343" s="29"/>
      <c r="OKM343" s="29"/>
      <c r="OKN343" s="29"/>
      <c r="OKO343" s="29"/>
      <c r="OKP343" s="29"/>
      <c r="OKQ343" s="29"/>
      <c r="OKR343" s="29"/>
      <c r="OKS343" s="29"/>
      <c r="OKT343" s="29"/>
      <c r="OKU343" s="29"/>
      <c r="OKV343" s="29"/>
      <c r="OKW343" s="29"/>
      <c r="OKX343" s="29"/>
      <c r="OKY343" s="29"/>
      <c r="OKZ343" s="29"/>
      <c r="OLA343" s="29"/>
      <c r="OLB343" s="29"/>
      <c r="OLC343" s="29"/>
      <c r="OLD343" s="29"/>
      <c r="OLE343" s="29"/>
      <c r="OLF343" s="29"/>
      <c r="OLG343" s="29"/>
      <c r="OLH343" s="29"/>
      <c r="OLI343" s="29"/>
      <c r="OLJ343" s="29"/>
      <c r="OLK343" s="29"/>
      <c r="OLL343" s="29"/>
      <c r="OLM343" s="29"/>
      <c r="OLN343" s="29"/>
      <c r="OLO343" s="29"/>
      <c r="OLP343" s="29"/>
      <c r="OLQ343" s="29"/>
      <c r="OLR343" s="29"/>
      <c r="OLS343" s="29"/>
      <c r="OLT343" s="29"/>
      <c r="OLU343" s="29"/>
      <c r="OLV343" s="29"/>
      <c r="OLW343" s="29"/>
      <c r="OLX343" s="29"/>
      <c r="OLY343" s="29"/>
      <c r="OLZ343" s="29"/>
      <c r="OMA343" s="29"/>
      <c r="OMB343" s="29"/>
      <c r="OMC343" s="29"/>
      <c r="OMD343" s="29"/>
      <c r="OME343" s="29"/>
      <c r="OMF343" s="29"/>
      <c r="OMG343" s="29"/>
      <c r="OMH343" s="29"/>
      <c r="OMI343" s="29"/>
      <c r="OMJ343" s="29"/>
      <c r="OMK343" s="29"/>
      <c r="OML343" s="29"/>
      <c r="OMM343" s="29"/>
      <c r="OMN343" s="29"/>
      <c r="OMO343" s="29"/>
      <c r="OMP343" s="29"/>
      <c r="OMQ343" s="29"/>
      <c r="OMR343" s="29"/>
      <c r="OMS343" s="29"/>
      <c r="OMT343" s="29"/>
      <c r="OMU343" s="29"/>
      <c r="OMV343" s="29"/>
      <c r="OMW343" s="29"/>
      <c r="OMX343" s="29"/>
      <c r="OMY343" s="29"/>
      <c r="OMZ343" s="29"/>
      <c r="ONA343" s="29"/>
      <c r="ONB343" s="29"/>
      <c r="ONC343" s="29"/>
      <c r="OND343" s="29"/>
      <c r="ONE343" s="29"/>
      <c r="ONF343" s="29"/>
      <c r="ONG343" s="29"/>
      <c r="ONH343" s="29"/>
      <c r="ONI343" s="29"/>
      <c r="ONJ343" s="29"/>
      <c r="ONK343" s="29"/>
      <c r="ONL343" s="29"/>
      <c r="ONM343" s="29"/>
      <c r="ONN343" s="29"/>
      <c r="ONO343" s="29"/>
      <c r="ONP343" s="29"/>
      <c r="ONQ343" s="29"/>
      <c r="ONR343" s="29"/>
      <c r="ONS343" s="29"/>
      <c r="ONT343" s="29"/>
      <c r="ONU343" s="29"/>
      <c r="ONV343" s="29"/>
      <c r="ONW343" s="29"/>
      <c r="ONX343" s="29"/>
      <c r="ONY343" s="29"/>
      <c r="ONZ343" s="29"/>
      <c r="OOA343" s="29"/>
      <c r="OOB343" s="29"/>
      <c r="OOC343" s="29"/>
      <c r="OOD343" s="29"/>
      <c r="OOE343" s="29"/>
      <c r="OOF343" s="29"/>
      <c r="OOG343" s="29"/>
      <c r="OOH343" s="29"/>
      <c r="OOI343" s="29"/>
      <c r="OOJ343" s="29"/>
      <c r="OOK343" s="29"/>
      <c r="OOL343" s="29"/>
      <c r="OOM343" s="29"/>
      <c r="OON343" s="29"/>
      <c r="OOO343" s="29"/>
      <c r="OOP343" s="29"/>
      <c r="OOQ343" s="29"/>
      <c r="OOR343" s="29"/>
      <c r="OOS343" s="29"/>
      <c r="OOT343" s="29"/>
      <c r="OOU343" s="29"/>
      <c r="OOV343" s="29"/>
      <c r="OOW343" s="29"/>
      <c r="OOX343" s="29"/>
      <c r="OOY343" s="29"/>
      <c r="OOZ343" s="29"/>
      <c r="OPA343" s="29"/>
      <c r="OPB343" s="29"/>
      <c r="OPC343" s="29"/>
      <c r="OPD343" s="29"/>
      <c r="OPE343" s="29"/>
      <c r="OPF343" s="29"/>
      <c r="OPG343" s="29"/>
      <c r="OPH343" s="29"/>
      <c r="OPI343" s="29"/>
      <c r="OPJ343" s="29"/>
      <c r="OPK343" s="29"/>
      <c r="OPL343" s="29"/>
      <c r="OPM343" s="29"/>
      <c r="OPN343" s="29"/>
      <c r="OPO343" s="29"/>
      <c r="OPP343" s="29"/>
      <c r="OPQ343" s="29"/>
      <c r="OPR343" s="29"/>
      <c r="OPS343" s="29"/>
      <c r="OPT343" s="29"/>
      <c r="OPU343" s="29"/>
      <c r="OPV343" s="29"/>
      <c r="OPW343" s="29"/>
      <c r="OPX343" s="29"/>
      <c r="OPY343" s="29"/>
      <c r="OPZ343" s="29"/>
      <c r="OQA343" s="29"/>
      <c r="OQB343" s="29"/>
      <c r="OQC343" s="29"/>
      <c r="OQD343" s="29"/>
      <c r="OQE343" s="29"/>
      <c r="OQF343" s="29"/>
      <c r="OQG343" s="29"/>
      <c r="OQH343" s="29"/>
      <c r="OQI343" s="29"/>
      <c r="OQJ343" s="29"/>
      <c r="OQK343" s="29"/>
      <c r="OQL343" s="29"/>
      <c r="OQM343" s="29"/>
      <c r="OQN343" s="29"/>
      <c r="OQO343" s="29"/>
      <c r="OQP343" s="29"/>
      <c r="OQQ343" s="29"/>
      <c r="OQR343" s="29"/>
      <c r="OQS343" s="29"/>
      <c r="OQT343" s="29"/>
      <c r="OQU343" s="29"/>
      <c r="OQV343" s="29"/>
      <c r="OQW343" s="29"/>
      <c r="OQX343" s="29"/>
      <c r="OQY343" s="29"/>
      <c r="OQZ343" s="29"/>
      <c r="ORA343" s="29"/>
      <c r="ORB343" s="29"/>
      <c r="ORC343" s="29"/>
      <c r="ORD343" s="29"/>
      <c r="ORE343" s="29"/>
      <c r="ORF343" s="29"/>
      <c r="ORG343" s="29"/>
      <c r="ORH343" s="29"/>
      <c r="ORI343" s="29"/>
      <c r="ORJ343" s="29"/>
      <c r="ORK343" s="29"/>
      <c r="ORL343" s="29"/>
      <c r="ORM343" s="29"/>
      <c r="ORN343" s="29"/>
      <c r="ORO343" s="29"/>
      <c r="ORP343" s="29"/>
      <c r="ORQ343" s="29"/>
      <c r="ORR343" s="29"/>
      <c r="ORS343" s="29"/>
      <c r="ORT343" s="29"/>
      <c r="ORU343" s="29"/>
      <c r="ORV343" s="29"/>
      <c r="ORW343" s="29"/>
      <c r="ORX343" s="29"/>
      <c r="ORY343" s="29"/>
      <c r="ORZ343" s="29"/>
      <c r="OSA343" s="29"/>
      <c r="OSB343" s="29"/>
      <c r="OSC343" s="29"/>
      <c r="OSD343" s="29"/>
      <c r="OSE343" s="29"/>
      <c r="OSF343" s="29"/>
      <c r="OSG343" s="29"/>
      <c r="OSH343" s="29"/>
      <c r="OSI343" s="29"/>
      <c r="OSJ343" s="29"/>
      <c r="OSK343" s="29"/>
      <c r="OSL343" s="29"/>
      <c r="OSM343" s="29"/>
      <c r="OSN343" s="29"/>
      <c r="OSO343" s="29"/>
      <c r="OSP343" s="29"/>
      <c r="OSQ343" s="29"/>
      <c r="OSR343" s="29"/>
      <c r="OSS343" s="29"/>
      <c r="OST343" s="29"/>
      <c r="OSU343" s="29"/>
      <c r="OSV343" s="29"/>
      <c r="OSW343" s="29"/>
      <c r="OSX343" s="29"/>
      <c r="OSY343" s="29"/>
      <c r="OSZ343" s="29"/>
      <c r="OTA343" s="29"/>
      <c r="OTB343" s="29"/>
      <c r="OTC343" s="29"/>
      <c r="OTD343" s="29"/>
      <c r="OTE343" s="29"/>
      <c r="OTF343" s="29"/>
      <c r="OTG343" s="29"/>
      <c r="OTH343" s="29"/>
      <c r="OTI343" s="29"/>
      <c r="OTJ343" s="29"/>
      <c r="OTK343" s="29"/>
      <c r="OTL343" s="29"/>
      <c r="OTM343" s="29"/>
      <c r="OTN343" s="29"/>
      <c r="OTO343" s="29"/>
      <c r="OTP343" s="29"/>
      <c r="OTQ343" s="29"/>
      <c r="OTR343" s="29"/>
      <c r="OTS343" s="29"/>
      <c r="OTT343" s="29"/>
      <c r="OTU343" s="29"/>
      <c r="OTV343" s="29"/>
      <c r="OTW343" s="29"/>
      <c r="OTX343" s="29"/>
      <c r="OTY343" s="29"/>
      <c r="OTZ343" s="29"/>
      <c r="OUA343" s="29"/>
      <c r="OUB343" s="29"/>
      <c r="OUC343" s="29"/>
      <c r="OUD343" s="29"/>
      <c r="OUE343" s="29"/>
      <c r="OUF343" s="29"/>
      <c r="OUG343" s="29"/>
      <c r="OUH343" s="29"/>
      <c r="OUI343" s="29"/>
      <c r="OUJ343" s="29"/>
      <c r="OUK343" s="29"/>
      <c r="OUL343" s="29"/>
      <c r="OUM343" s="29"/>
      <c r="OUN343" s="29"/>
      <c r="OUO343" s="29"/>
      <c r="OUP343" s="29"/>
      <c r="OUQ343" s="29"/>
      <c r="OUR343" s="29"/>
      <c r="OUS343" s="29"/>
      <c r="OUT343" s="29"/>
      <c r="OUU343" s="29"/>
      <c r="OUV343" s="29"/>
      <c r="OUW343" s="29"/>
      <c r="OUX343" s="29"/>
      <c r="OUY343" s="29"/>
      <c r="OUZ343" s="29"/>
      <c r="OVA343" s="29"/>
      <c r="OVB343" s="29"/>
      <c r="OVC343" s="29"/>
      <c r="OVD343" s="29"/>
      <c r="OVE343" s="29"/>
      <c r="OVF343" s="29"/>
      <c r="OVG343" s="29"/>
      <c r="OVH343" s="29"/>
      <c r="OVI343" s="29"/>
      <c r="OVJ343" s="29"/>
      <c r="OVK343" s="29"/>
      <c r="OVL343" s="29"/>
      <c r="OVM343" s="29"/>
      <c r="OVN343" s="29"/>
      <c r="OVO343" s="29"/>
      <c r="OVP343" s="29"/>
      <c r="OVQ343" s="29"/>
      <c r="OVR343" s="29"/>
      <c r="OVS343" s="29"/>
      <c r="OVT343" s="29"/>
      <c r="OVU343" s="29"/>
      <c r="OVV343" s="29"/>
      <c r="OVW343" s="29"/>
      <c r="OVX343" s="29"/>
      <c r="OVY343" s="29"/>
      <c r="OVZ343" s="29"/>
      <c r="OWA343" s="29"/>
      <c r="OWB343" s="29"/>
      <c r="OWC343" s="29"/>
      <c r="OWD343" s="29"/>
      <c r="OWE343" s="29"/>
      <c r="OWF343" s="29"/>
      <c r="OWG343" s="29"/>
      <c r="OWH343" s="29"/>
      <c r="OWI343" s="29"/>
      <c r="OWJ343" s="29"/>
      <c r="OWK343" s="29"/>
      <c r="OWL343" s="29"/>
      <c r="OWM343" s="29"/>
      <c r="OWN343" s="29"/>
      <c r="OWO343" s="29"/>
      <c r="OWP343" s="29"/>
      <c r="OWQ343" s="29"/>
      <c r="OWR343" s="29"/>
      <c r="OWS343" s="29"/>
      <c r="OWT343" s="29"/>
      <c r="OWU343" s="29"/>
      <c r="OWV343" s="29"/>
      <c r="OWW343" s="29"/>
      <c r="OWX343" s="29"/>
      <c r="OWY343" s="29"/>
      <c r="OWZ343" s="29"/>
      <c r="OXA343" s="29"/>
      <c r="OXB343" s="29"/>
      <c r="OXC343" s="29"/>
      <c r="OXD343" s="29"/>
      <c r="OXE343" s="29"/>
      <c r="OXF343" s="29"/>
      <c r="OXG343" s="29"/>
      <c r="OXH343" s="29"/>
      <c r="OXI343" s="29"/>
      <c r="OXJ343" s="29"/>
      <c r="OXK343" s="29"/>
      <c r="OXL343" s="29"/>
      <c r="OXM343" s="29"/>
      <c r="OXN343" s="29"/>
      <c r="OXO343" s="29"/>
      <c r="OXP343" s="29"/>
      <c r="OXQ343" s="29"/>
      <c r="OXR343" s="29"/>
      <c r="OXS343" s="29"/>
      <c r="OXT343" s="29"/>
      <c r="OXU343" s="29"/>
      <c r="OXV343" s="29"/>
      <c r="OXW343" s="29"/>
      <c r="OXX343" s="29"/>
      <c r="OXY343" s="29"/>
      <c r="OXZ343" s="29"/>
      <c r="OYA343" s="29"/>
      <c r="OYB343" s="29"/>
      <c r="OYC343" s="29"/>
      <c r="OYD343" s="29"/>
      <c r="OYE343" s="29"/>
      <c r="OYF343" s="29"/>
      <c r="OYG343" s="29"/>
      <c r="OYH343" s="29"/>
      <c r="OYI343" s="29"/>
      <c r="OYJ343" s="29"/>
      <c r="OYK343" s="29"/>
      <c r="OYL343" s="29"/>
      <c r="OYM343" s="29"/>
      <c r="OYN343" s="29"/>
      <c r="OYO343" s="29"/>
      <c r="OYP343" s="29"/>
      <c r="OYQ343" s="29"/>
      <c r="OYR343" s="29"/>
      <c r="OYS343" s="29"/>
      <c r="OYT343" s="29"/>
      <c r="OYU343" s="29"/>
      <c r="OYV343" s="29"/>
      <c r="OYW343" s="29"/>
      <c r="OYX343" s="29"/>
      <c r="OYY343" s="29"/>
      <c r="OYZ343" s="29"/>
      <c r="OZA343" s="29"/>
      <c r="OZB343" s="29"/>
      <c r="OZC343" s="29"/>
      <c r="OZD343" s="29"/>
      <c r="OZE343" s="29"/>
      <c r="OZF343" s="29"/>
      <c r="OZG343" s="29"/>
      <c r="OZH343" s="29"/>
      <c r="OZI343" s="29"/>
      <c r="OZJ343" s="29"/>
      <c r="OZK343" s="29"/>
      <c r="OZL343" s="29"/>
      <c r="OZM343" s="29"/>
      <c r="OZN343" s="29"/>
      <c r="OZO343" s="29"/>
      <c r="OZP343" s="29"/>
      <c r="OZQ343" s="29"/>
      <c r="OZR343" s="29"/>
      <c r="OZS343" s="29"/>
      <c r="OZT343" s="29"/>
      <c r="OZU343" s="29"/>
      <c r="OZV343" s="29"/>
      <c r="OZW343" s="29"/>
      <c r="OZX343" s="29"/>
      <c r="OZY343" s="29"/>
      <c r="OZZ343" s="29"/>
      <c r="PAA343" s="29"/>
      <c r="PAB343" s="29"/>
      <c r="PAC343" s="29"/>
      <c r="PAD343" s="29"/>
      <c r="PAE343" s="29"/>
      <c r="PAF343" s="29"/>
      <c r="PAG343" s="29"/>
      <c r="PAH343" s="29"/>
      <c r="PAI343" s="29"/>
      <c r="PAJ343" s="29"/>
      <c r="PAK343" s="29"/>
      <c r="PAL343" s="29"/>
      <c r="PAM343" s="29"/>
      <c r="PAN343" s="29"/>
      <c r="PAO343" s="29"/>
      <c r="PAP343" s="29"/>
      <c r="PAQ343" s="29"/>
      <c r="PAR343" s="29"/>
      <c r="PAS343" s="29"/>
      <c r="PAT343" s="29"/>
      <c r="PAU343" s="29"/>
      <c r="PAV343" s="29"/>
      <c r="PAW343" s="29"/>
      <c r="PAX343" s="29"/>
      <c r="PAY343" s="29"/>
      <c r="PAZ343" s="29"/>
      <c r="PBA343" s="29"/>
      <c r="PBB343" s="29"/>
      <c r="PBC343" s="29"/>
      <c r="PBD343" s="29"/>
      <c r="PBE343" s="29"/>
      <c r="PBF343" s="29"/>
      <c r="PBG343" s="29"/>
      <c r="PBH343" s="29"/>
      <c r="PBI343" s="29"/>
      <c r="PBJ343" s="29"/>
      <c r="PBK343" s="29"/>
      <c r="PBL343" s="29"/>
      <c r="PBM343" s="29"/>
      <c r="PBN343" s="29"/>
      <c r="PBO343" s="29"/>
      <c r="PBP343" s="29"/>
      <c r="PBQ343" s="29"/>
      <c r="PBR343" s="29"/>
      <c r="PBS343" s="29"/>
      <c r="PBT343" s="29"/>
      <c r="PBU343" s="29"/>
      <c r="PBV343" s="29"/>
      <c r="PBW343" s="29"/>
      <c r="PBX343" s="29"/>
      <c r="PBY343" s="29"/>
      <c r="PBZ343" s="29"/>
      <c r="PCA343" s="29"/>
      <c r="PCB343" s="29"/>
      <c r="PCC343" s="29"/>
      <c r="PCD343" s="29"/>
      <c r="PCE343" s="29"/>
      <c r="PCF343" s="29"/>
      <c r="PCG343" s="29"/>
      <c r="PCH343" s="29"/>
      <c r="PCI343" s="29"/>
      <c r="PCJ343" s="29"/>
      <c r="PCK343" s="29"/>
      <c r="PCL343" s="29"/>
      <c r="PCM343" s="29"/>
      <c r="PCN343" s="29"/>
      <c r="PCO343" s="29"/>
      <c r="PCP343" s="29"/>
      <c r="PCQ343" s="29"/>
      <c r="PCR343" s="29"/>
      <c r="PCS343" s="29"/>
      <c r="PCT343" s="29"/>
      <c r="PCU343" s="29"/>
      <c r="PCV343" s="29"/>
      <c r="PCW343" s="29"/>
      <c r="PCX343" s="29"/>
      <c r="PCY343" s="29"/>
      <c r="PCZ343" s="29"/>
      <c r="PDA343" s="29"/>
      <c r="PDB343" s="29"/>
      <c r="PDC343" s="29"/>
      <c r="PDD343" s="29"/>
      <c r="PDE343" s="29"/>
      <c r="PDF343" s="29"/>
      <c r="PDG343" s="29"/>
      <c r="PDH343" s="29"/>
      <c r="PDI343" s="29"/>
      <c r="PDJ343" s="29"/>
      <c r="PDK343" s="29"/>
      <c r="PDL343" s="29"/>
      <c r="PDM343" s="29"/>
      <c r="PDN343" s="29"/>
      <c r="PDO343" s="29"/>
      <c r="PDP343" s="29"/>
      <c r="PDQ343" s="29"/>
      <c r="PDR343" s="29"/>
      <c r="PDS343" s="29"/>
      <c r="PDT343" s="29"/>
      <c r="PDU343" s="29"/>
      <c r="PDV343" s="29"/>
      <c r="PDW343" s="29"/>
      <c r="PDX343" s="29"/>
      <c r="PDY343" s="29"/>
      <c r="PDZ343" s="29"/>
      <c r="PEA343" s="29"/>
      <c r="PEB343" s="29"/>
      <c r="PEC343" s="29"/>
      <c r="PED343" s="29"/>
      <c r="PEE343" s="29"/>
      <c r="PEF343" s="29"/>
      <c r="PEG343" s="29"/>
      <c r="PEH343" s="29"/>
      <c r="PEI343" s="29"/>
      <c r="PEJ343" s="29"/>
      <c r="PEK343" s="29"/>
      <c r="PEL343" s="29"/>
      <c r="PEM343" s="29"/>
      <c r="PEN343" s="29"/>
      <c r="PEO343" s="29"/>
      <c r="PEP343" s="29"/>
      <c r="PEQ343" s="29"/>
      <c r="PER343" s="29"/>
      <c r="PES343" s="29"/>
      <c r="PET343" s="29"/>
      <c r="PEU343" s="29"/>
      <c r="PEV343" s="29"/>
      <c r="PEW343" s="29"/>
      <c r="PEX343" s="29"/>
      <c r="PEY343" s="29"/>
      <c r="PEZ343" s="29"/>
      <c r="PFA343" s="29"/>
      <c r="PFB343" s="29"/>
      <c r="PFC343" s="29"/>
      <c r="PFD343" s="29"/>
      <c r="PFE343" s="29"/>
      <c r="PFF343" s="29"/>
      <c r="PFG343" s="29"/>
      <c r="PFH343" s="29"/>
      <c r="PFI343" s="29"/>
      <c r="PFJ343" s="29"/>
      <c r="PFK343" s="29"/>
      <c r="PFL343" s="29"/>
      <c r="PFM343" s="29"/>
      <c r="PFN343" s="29"/>
      <c r="PFO343" s="29"/>
      <c r="PFP343" s="29"/>
      <c r="PFQ343" s="29"/>
      <c r="PFR343" s="29"/>
      <c r="PFS343" s="29"/>
      <c r="PFT343" s="29"/>
      <c r="PFU343" s="29"/>
      <c r="PFV343" s="29"/>
      <c r="PFW343" s="29"/>
      <c r="PFX343" s="29"/>
      <c r="PFY343" s="29"/>
      <c r="PFZ343" s="29"/>
      <c r="PGA343" s="29"/>
      <c r="PGB343" s="29"/>
      <c r="PGC343" s="29"/>
      <c r="PGD343" s="29"/>
      <c r="PGE343" s="29"/>
      <c r="PGF343" s="29"/>
      <c r="PGG343" s="29"/>
      <c r="PGH343" s="29"/>
      <c r="PGI343" s="29"/>
      <c r="PGJ343" s="29"/>
      <c r="PGK343" s="29"/>
      <c r="PGL343" s="29"/>
      <c r="PGM343" s="29"/>
      <c r="PGN343" s="29"/>
      <c r="PGO343" s="29"/>
      <c r="PGP343" s="29"/>
      <c r="PGQ343" s="29"/>
      <c r="PGR343" s="29"/>
      <c r="PGS343" s="29"/>
      <c r="PGT343" s="29"/>
      <c r="PGU343" s="29"/>
      <c r="PGV343" s="29"/>
      <c r="PGW343" s="29"/>
      <c r="PGX343" s="29"/>
      <c r="PGY343" s="29"/>
      <c r="PGZ343" s="29"/>
      <c r="PHA343" s="29"/>
      <c r="PHB343" s="29"/>
      <c r="PHC343" s="29"/>
      <c r="PHD343" s="29"/>
      <c r="PHE343" s="29"/>
      <c r="PHF343" s="29"/>
      <c r="PHG343" s="29"/>
      <c r="PHH343" s="29"/>
      <c r="PHI343" s="29"/>
      <c r="PHJ343" s="29"/>
      <c r="PHK343" s="29"/>
      <c r="PHL343" s="29"/>
      <c r="PHM343" s="29"/>
      <c r="PHN343" s="29"/>
      <c r="PHO343" s="29"/>
      <c r="PHP343" s="29"/>
      <c r="PHQ343" s="29"/>
      <c r="PHR343" s="29"/>
      <c r="PHS343" s="29"/>
      <c r="PHT343" s="29"/>
      <c r="PHU343" s="29"/>
      <c r="PHV343" s="29"/>
      <c r="PHW343" s="29"/>
      <c r="PHX343" s="29"/>
      <c r="PHY343" s="29"/>
      <c r="PHZ343" s="29"/>
      <c r="PIA343" s="29"/>
      <c r="PIB343" s="29"/>
      <c r="PIC343" s="29"/>
      <c r="PID343" s="29"/>
      <c r="PIE343" s="29"/>
      <c r="PIF343" s="29"/>
      <c r="PIG343" s="29"/>
      <c r="PIH343" s="29"/>
      <c r="PII343" s="29"/>
      <c r="PIJ343" s="29"/>
      <c r="PIK343" s="29"/>
      <c r="PIL343" s="29"/>
      <c r="PIM343" s="29"/>
      <c r="PIN343" s="29"/>
      <c r="PIO343" s="29"/>
      <c r="PIP343" s="29"/>
      <c r="PIQ343" s="29"/>
      <c r="PIR343" s="29"/>
      <c r="PIS343" s="29"/>
      <c r="PIT343" s="29"/>
      <c r="PIU343" s="29"/>
      <c r="PIV343" s="29"/>
      <c r="PIW343" s="29"/>
      <c r="PIX343" s="29"/>
      <c r="PIY343" s="29"/>
      <c r="PIZ343" s="29"/>
      <c r="PJA343" s="29"/>
      <c r="PJB343" s="29"/>
      <c r="PJC343" s="29"/>
      <c r="PJD343" s="29"/>
      <c r="PJE343" s="29"/>
      <c r="PJF343" s="29"/>
      <c r="PJG343" s="29"/>
      <c r="PJH343" s="29"/>
      <c r="PJI343" s="29"/>
      <c r="PJJ343" s="29"/>
      <c r="PJK343" s="29"/>
      <c r="PJL343" s="29"/>
      <c r="PJM343" s="29"/>
      <c r="PJN343" s="29"/>
      <c r="PJO343" s="29"/>
      <c r="PJP343" s="29"/>
      <c r="PJQ343" s="29"/>
      <c r="PJR343" s="29"/>
      <c r="PJS343" s="29"/>
      <c r="PJT343" s="29"/>
      <c r="PJU343" s="29"/>
      <c r="PJV343" s="29"/>
      <c r="PJW343" s="29"/>
      <c r="PJX343" s="29"/>
      <c r="PJY343" s="29"/>
      <c r="PJZ343" s="29"/>
      <c r="PKA343" s="29"/>
      <c r="PKB343" s="29"/>
      <c r="PKC343" s="29"/>
      <c r="PKD343" s="29"/>
      <c r="PKE343" s="29"/>
      <c r="PKF343" s="29"/>
      <c r="PKG343" s="29"/>
      <c r="PKH343" s="29"/>
      <c r="PKI343" s="29"/>
      <c r="PKJ343" s="29"/>
      <c r="PKK343" s="29"/>
      <c r="PKL343" s="29"/>
      <c r="PKM343" s="29"/>
      <c r="PKN343" s="29"/>
      <c r="PKO343" s="29"/>
      <c r="PKP343" s="29"/>
      <c r="PKQ343" s="29"/>
      <c r="PKR343" s="29"/>
      <c r="PKS343" s="29"/>
      <c r="PKT343" s="29"/>
      <c r="PKU343" s="29"/>
      <c r="PKV343" s="29"/>
      <c r="PKW343" s="29"/>
      <c r="PKX343" s="29"/>
      <c r="PKY343" s="29"/>
      <c r="PKZ343" s="29"/>
      <c r="PLA343" s="29"/>
      <c r="PLB343" s="29"/>
      <c r="PLC343" s="29"/>
      <c r="PLD343" s="29"/>
      <c r="PLE343" s="29"/>
      <c r="PLF343" s="29"/>
      <c r="PLG343" s="29"/>
      <c r="PLH343" s="29"/>
      <c r="PLI343" s="29"/>
      <c r="PLJ343" s="29"/>
      <c r="PLK343" s="29"/>
      <c r="PLL343" s="29"/>
      <c r="PLM343" s="29"/>
      <c r="PLN343" s="29"/>
      <c r="PLO343" s="29"/>
      <c r="PLP343" s="29"/>
      <c r="PLQ343" s="29"/>
      <c r="PLR343" s="29"/>
      <c r="PLS343" s="29"/>
      <c r="PLT343" s="29"/>
      <c r="PLU343" s="29"/>
      <c r="PLV343" s="29"/>
      <c r="PLW343" s="29"/>
      <c r="PLX343" s="29"/>
      <c r="PLY343" s="29"/>
      <c r="PLZ343" s="29"/>
      <c r="PMA343" s="29"/>
      <c r="PMB343" s="29"/>
      <c r="PMC343" s="29"/>
      <c r="PMD343" s="29"/>
      <c r="PME343" s="29"/>
      <c r="PMF343" s="29"/>
      <c r="PMG343" s="29"/>
      <c r="PMH343" s="29"/>
      <c r="PMI343" s="29"/>
      <c r="PMJ343" s="29"/>
      <c r="PMK343" s="29"/>
      <c r="PML343" s="29"/>
      <c r="PMM343" s="29"/>
      <c r="PMN343" s="29"/>
      <c r="PMO343" s="29"/>
      <c r="PMP343" s="29"/>
      <c r="PMQ343" s="29"/>
      <c r="PMR343" s="29"/>
      <c r="PMS343" s="29"/>
      <c r="PMT343" s="29"/>
      <c r="PMU343" s="29"/>
      <c r="PMV343" s="29"/>
      <c r="PMW343" s="29"/>
      <c r="PMX343" s="29"/>
      <c r="PMY343" s="29"/>
      <c r="PMZ343" s="29"/>
      <c r="PNA343" s="29"/>
      <c r="PNB343" s="29"/>
      <c r="PNC343" s="29"/>
      <c r="PND343" s="29"/>
      <c r="PNE343" s="29"/>
      <c r="PNF343" s="29"/>
      <c r="PNG343" s="29"/>
      <c r="PNH343" s="29"/>
      <c r="PNI343" s="29"/>
      <c r="PNJ343" s="29"/>
      <c r="PNK343" s="29"/>
      <c r="PNL343" s="29"/>
      <c r="PNM343" s="29"/>
      <c r="PNN343" s="29"/>
      <c r="PNO343" s="29"/>
      <c r="PNP343" s="29"/>
      <c r="PNQ343" s="29"/>
      <c r="PNR343" s="29"/>
      <c r="PNS343" s="29"/>
      <c r="PNT343" s="29"/>
      <c r="PNU343" s="29"/>
      <c r="PNV343" s="29"/>
      <c r="PNW343" s="29"/>
      <c r="PNX343" s="29"/>
      <c r="PNY343" s="29"/>
      <c r="PNZ343" s="29"/>
      <c r="POA343" s="29"/>
      <c r="POB343" s="29"/>
      <c r="POC343" s="29"/>
      <c r="POD343" s="29"/>
      <c r="POE343" s="29"/>
      <c r="POF343" s="29"/>
      <c r="POG343" s="29"/>
      <c r="POH343" s="29"/>
      <c r="POI343" s="29"/>
      <c r="POJ343" s="29"/>
      <c r="POK343" s="29"/>
      <c r="POL343" s="29"/>
      <c r="POM343" s="29"/>
      <c r="PON343" s="29"/>
      <c r="POO343" s="29"/>
      <c r="POP343" s="29"/>
      <c r="POQ343" s="29"/>
      <c r="POR343" s="29"/>
      <c r="POS343" s="29"/>
      <c r="POT343" s="29"/>
      <c r="POU343" s="29"/>
      <c r="POV343" s="29"/>
      <c r="POW343" s="29"/>
      <c r="POX343" s="29"/>
      <c r="POY343" s="29"/>
      <c r="POZ343" s="29"/>
      <c r="PPA343" s="29"/>
      <c r="PPB343" s="29"/>
      <c r="PPC343" s="29"/>
      <c r="PPD343" s="29"/>
      <c r="PPE343" s="29"/>
      <c r="PPF343" s="29"/>
      <c r="PPG343" s="29"/>
      <c r="PPH343" s="29"/>
      <c r="PPI343" s="29"/>
      <c r="PPJ343" s="29"/>
      <c r="PPK343" s="29"/>
      <c r="PPL343" s="29"/>
      <c r="PPM343" s="29"/>
      <c r="PPN343" s="29"/>
      <c r="PPO343" s="29"/>
      <c r="PPP343" s="29"/>
      <c r="PPQ343" s="29"/>
      <c r="PPR343" s="29"/>
      <c r="PPS343" s="29"/>
      <c r="PPT343" s="29"/>
      <c r="PPU343" s="29"/>
      <c r="PPV343" s="29"/>
      <c r="PPW343" s="29"/>
      <c r="PPX343" s="29"/>
      <c r="PPY343" s="29"/>
      <c r="PPZ343" s="29"/>
      <c r="PQA343" s="29"/>
      <c r="PQB343" s="29"/>
      <c r="PQC343" s="29"/>
      <c r="PQD343" s="29"/>
      <c r="PQE343" s="29"/>
      <c r="PQF343" s="29"/>
      <c r="PQG343" s="29"/>
      <c r="PQH343" s="29"/>
      <c r="PQI343" s="29"/>
      <c r="PQJ343" s="29"/>
      <c r="PQK343" s="29"/>
      <c r="PQL343" s="29"/>
      <c r="PQM343" s="29"/>
      <c r="PQN343" s="29"/>
      <c r="PQO343" s="29"/>
      <c r="PQP343" s="29"/>
      <c r="PQQ343" s="29"/>
      <c r="PQR343" s="29"/>
      <c r="PQS343" s="29"/>
      <c r="PQT343" s="29"/>
      <c r="PQU343" s="29"/>
      <c r="PQV343" s="29"/>
      <c r="PQW343" s="29"/>
      <c r="PQX343" s="29"/>
      <c r="PQY343" s="29"/>
      <c r="PQZ343" s="29"/>
      <c r="PRA343" s="29"/>
      <c r="PRB343" s="29"/>
      <c r="PRC343" s="29"/>
      <c r="PRD343" s="29"/>
      <c r="PRE343" s="29"/>
      <c r="PRF343" s="29"/>
      <c r="PRG343" s="29"/>
      <c r="PRH343" s="29"/>
      <c r="PRI343" s="29"/>
      <c r="PRJ343" s="29"/>
      <c r="PRK343" s="29"/>
      <c r="PRL343" s="29"/>
      <c r="PRM343" s="29"/>
      <c r="PRN343" s="29"/>
      <c r="PRO343" s="29"/>
      <c r="PRP343" s="29"/>
      <c r="PRQ343" s="29"/>
      <c r="PRR343" s="29"/>
      <c r="PRS343" s="29"/>
      <c r="PRT343" s="29"/>
      <c r="PRU343" s="29"/>
      <c r="PRV343" s="29"/>
      <c r="PRW343" s="29"/>
      <c r="PRX343" s="29"/>
      <c r="PRY343" s="29"/>
      <c r="PRZ343" s="29"/>
      <c r="PSA343" s="29"/>
      <c r="PSB343" s="29"/>
      <c r="PSC343" s="29"/>
      <c r="PSD343" s="29"/>
      <c r="PSE343" s="29"/>
      <c r="PSF343" s="29"/>
      <c r="PSG343" s="29"/>
      <c r="PSH343" s="29"/>
      <c r="PSI343" s="29"/>
      <c r="PSJ343" s="29"/>
      <c r="PSK343" s="29"/>
      <c r="PSL343" s="29"/>
      <c r="PSM343" s="29"/>
      <c r="PSN343" s="29"/>
      <c r="PSO343" s="29"/>
      <c r="PSP343" s="29"/>
      <c r="PSQ343" s="29"/>
      <c r="PSR343" s="29"/>
      <c r="PSS343" s="29"/>
      <c r="PST343" s="29"/>
      <c r="PSU343" s="29"/>
      <c r="PSV343" s="29"/>
      <c r="PSW343" s="29"/>
      <c r="PSX343" s="29"/>
      <c r="PSY343" s="29"/>
      <c r="PSZ343" s="29"/>
      <c r="PTA343" s="29"/>
      <c r="PTB343" s="29"/>
      <c r="PTC343" s="29"/>
      <c r="PTD343" s="29"/>
      <c r="PTE343" s="29"/>
      <c r="PTF343" s="29"/>
      <c r="PTG343" s="29"/>
      <c r="PTH343" s="29"/>
      <c r="PTI343" s="29"/>
      <c r="PTJ343" s="29"/>
      <c r="PTK343" s="29"/>
      <c r="PTL343" s="29"/>
      <c r="PTM343" s="29"/>
      <c r="PTN343" s="29"/>
      <c r="PTO343" s="29"/>
      <c r="PTP343" s="29"/>
      <c r="PTQ343" s="29"/>
      <c r="PTR343" s="29"/>
      <c r="PTS343" s="29"/>
      <c r="PTT343" s="29"/>
      <c r="PTU343" s="29"/>
      <c r="PTV343" s="29"/>
      <c r="PTW343" s="29"/>
      <c r="PTX343" s="29"/>
      <c r="PTY343" s="29"/>
      <c r="PTZ343" s="29"/>
      <c r="PUA343" s="29"/>
      <c r="PUB343" s="29"/>
      <c r="PUC343" s="29"/>
      <c r="PUD343" s="29"/>
      <c r="PUE343" s="29"/>
      <c r="PUF343" s="29"/>
      <c r="PUG343" s="29"/>
      <c r="PUH343" s="29"/>
      <c r="PUI343" s="29"/>
      <c r="PUJ343" s="29"/>
      <c r="PUK343" s="29"/>
      <c r="PUL343" s="29"/>
      <c r="PUM343" s="29"/>
      <c r="PUN343" s="29"/>
      <c r="PUO343" s="29"/>
      <c r="PUP343" s="29"/>
      <c r="PUQ343" s="29"/>
      <c r="PUR343" s="29"/>
      <c r="PUS343" s="29"/>
      <c r="PUT343" s="29"/>
      <c r="PUU343" s="29"/>
      <c r="PUV343" s="29"/>
      <c r="PUW343" s="29"/>
      <c r="PUX343" s="29"/>
      <c r="PUY343" s="29"/>
      <c r="PUZ343" s="29"/>
      <c r="PVA343" s="29"/>
      <c r="PVB343" s="29"/>
      <c r="PVC343" s="29"/>
      <c r="PVD343" s="29"/>
      <c r="PVE343" s="29"/>
      <c r="PVF343" s="29"/>
      <c r="PVG343" s="29"/>
      <c r="PVH343" s="29"/>
      <c r="PVI343" s="29"/>
      <c r="PVJ343" s="29"/>
      <c r="PVK343" s="29"/>
      <c r="PVL343" s="29"/>
      <c r="PVM343" s="29"/>
      <c r="PVN343" s="29"/>
      <c r="PVO343" s="29"/>
      <c r="PVP343" s="29"/>
      <c r="PVQ343" s="29"/>
      <c r="PVR343" s="29"/>
      <c r="PVS343" s="29"/>
      <c r="PVT343" s="29"/>
      <c r="PVU343" s="29"/>
      <c r="PVV343" s="29"/>
      <c r="PVW343" s="29"/>
      <c r="PVX343" s="29"/>
      <c r="PVY343" s="29"/>
      <c r="PVZ343" s="29"/>
      <c r="PWA343" s="29"/>
      <c r="PWB343" s="29"/>
      <c r="PWC343" s="29"/>
      <c r="PWD343" s="29"/>
      <c r="PWE343" s="29"/>
      <c r="PWF343" s="29"/>
      <c r="PWG343" s="29"/>
      <c r="PWH343" s="29"/>
      <c r="PWI343" s="29"/>
      <c r="PWJ343" s="29"/>
      <c r="PWK343" s="29"/>
      <c r="PWL343" s="29"/>
      <c r="PWM343" s="29"/>
      <c r="PWN343" s="29"/>
      <c r="PWO343" s="29"/>
      <c r="PWP343" s="29"/>
      <c r="PWQ343" s="29"/>
      <c r="PWR343" s="29"/>
      <c r="PWS343" s="29"/>
      <c r="PWT343" s="29"/>
      <c r="PWU343" s="29"/>
      <c r="PWV343" s="29"/>
      <c r="PWW343" s="29"/>
      <c r="PWX343" s="29"/>
      <c r="PWY343" s="29"/>
      <c r="PWZ343" s="29"/>
      <c r="PXA343" s="29"/>
      <c r="PXB343" s="29"/>
      <c r="PXC343" s="29"/>
      <c r="PXD343" s="29"/>
      <c r="PXE343" s="29"/>
      <c r="PXF343" s="29"/>
      <c r="PXG343" s="29"/>
      <c r="PXH343" s="29"/>
      <c r="PXI343" s="29"/>
      <c r="PXJ343" s="29"/>
      <c r="PXK343" s="29"/>
      <c r="PXL343" s="29"/>
      <c r="PXM343" s="29"/>
      <c r="PXN343" s="29"/>
      <c r="PXO343" s="29"/>
      <c r="PXP343" s="29"/>
      <c r="PXQ343" s="29"/>
      <c r="PXR343" s="29"/>
      <c r="PXS343" s="29"/>
      <c r="PXT343" s="29"/>
      <c r="PXU343" s="29"/>
      <c r="PXV343" s="29"/>
      <c r="PXW343" s="29"/>
      <c r="PXX343" s="29"/>
      <c r="PXY343" s="29"/>
      <c r="PXZ343" s="29"/>
      <c r="PYA343" s="29"/>
      <c r="PYB343" s="29"/>
      <c r="PYC343" s="29"/>
      <c r="PYD343" s="29"/>
      <c r="PYE343" s="29"/>
      <c r="PYF343" s="29"/>
      <c r="PYG343" s="29"/>
      <c r="PYH343" s="29"/>
      <c r="PYI343" s="29"/>
      <c r="PYJ343" s="29"/>
      <c r="PYK343" s="29"/>
      <c r="PYL343" s="29"/>
      <c r="PYM343" s="29"/>
      <c r="PYN343" s="29"/>
      <c r="PYO343" s="29"/>
      <c r="PYP343" s="29"/>
      <c r="PYQ343" s="29"/>
      <c r="PYR343" s="29"/>
      <c r="PYS343" s="29"/>
      <c r="PYT343" s="29"/>
      <c r="PYU343" s="29"/>
      <c r="PYV343" s="29"/>
      <c r="PYW343" s="29"/>
      <c r="PYX343" s="29"/>
      <c r="PYY343" s="29"/>
      <c r="PYZ343" s="29"/>
      <c r="PZA343" s="29"/>
      <c r="PZB343" s="29"/>
      <c r="PZC343" s="29"/>
      <c r="PZD343" s="29"/>
      <c r="PZE343" s="29"/>
      <c r="PZF343" s="29"/>
      <c r="PZG343" s="29"/>
      <c r="PZH343" s="29"/>
      <c r="PZI343" s="29"/>
      <c r="PZJ343" s="29"/>
      <c r="PZK343" s="29"/>
      <c r="PZL343" s="29"/>
      <c r="PZM343" s="29"/>
      <c r="PZN343" s="29"/>
      <c r="PZO343" s="29"/>
      <c r="PZP343" s="29"/>
      <c r="PZQ343" s="29"/>
      <c r="PZR343" s="29"/>
      <c r="PZS343" s="29"/>
      <c r="PZT343" s="29"/>
      <c r="PZU343" s="29"/>
      <c r="PZV343" s="29"/>
      <c r="PZW343" s="29"/>
      <c r="PZX343" s="29"/>
      <c r="PZY343" s="29"/>
      <c r="PZZ343" s="29"/>
      <c r="QAA343" s="29"/>
      <c r="QAB343" s="29"/>
      <c r="QAC343" s="29"/>
      <c r="QAD343" s="29"/>
      <c r="QAE343" s="29"/>
      <c r="QAF343" s="29"/>
      <c r="QAG343" s="29"/>
      <c r="QAH343" s="29"/>
      <c r="QAI343" s="29"/>
      <c r="QAJ343" s="29"/>
      <c r="QAK343" s="29"/>
      <c r="QAL343" s="29"/>
      <c r="QAM343" s="29"/>
      <c r="QAN343" s="29"/>
      <c r="QAO343" s="29"/>
      <c r="QAP343" s="29"/>
      <c r="QAQ343" s="29"/>
      <c r="QAR343" s="29"/>
      <c r="QAS343" s="29"/>
      <c r="QAT343" s="29"/>
      <c r="QAU343" s="29"/>
      <c r="QAV343" s="29"/>
      <c r="QAW343" s="29"/>
      <c r="QAX343" s="29"/>
      <c r="QAY343" s="29"/>
      <c r="QAZ343" s="29"/>
      <c r="QBA343" s="29"/>
      <c r="QBB343" s="29"/>
      <c r="QBC343" s="29"/>
      <c r="QBD343" s="29"/>
      <c r="QBE343" s="29"/>
      <c r="QBF343" s="29"/>
      <c r="QBG343" s="29"/>
      <c r="QBH343" s="29"/>
      <c r="QBI343" s="29"/>
      <c r="QBJ343" s="29"/>
      <c r="QBK343" s="29"/>
      <c r="QBL343" s="29"/>
      <c r="QBM343" s="29"/>
      <c r="QBN343" s="29"/>
      <c r="QBO343" s="29"/>
      <c r="QBP343" s="29"/>
      <c r="QBQ343" s="29"/>
      <c r="QBR343" s="29"/>
      <c r="QBS343" s="29"/>
      <c r="QBT343" s="29"/>
      <c r="QBU343" s="29"/>
      <c r="QBV343" s="29"/>
      <c r="QBW343" s="29"/>
      <c r="QBX343" s="29"/>
      <c r="QBY343" s="29"/>
      <c r="QBZ343" s="29"/>
      <c r="QCA343" s="29"/>
      <c r="QCB343" s="29"/>
      <c r="QCC343" s="29"/>
      <c r="QCD343" s="29"/>
      <c r="QCE343" s="29"/>
      <c r="QCF343" s="29"/>
      <c r="QCG343" s="29"/>
      <c r="QCH343" s="29"/>
      <c r="QCI343" s="29"/>
      <c r="QCJ343" s="29"/>
      <c r="QCK343" s="29"/>
      <c r="QCL343" s="29"/>
      <c r="QCM343" s="29"/>
      <c r="QCN343" s="29"/>
      <c r="QCO343" s="29"/>
      <c r="QCP343" s="29"/>
      <c r="QCQ343" s="29"/>
      <c r="QCR343" s="29"/>
      <c r="QCS343" s="29"/>
      <c r="QCT343" s="29"/>
      <c r="QCU343" s="29"/>
      <c r="QCV343" s="29"/>
      <c r="QCW343" s="29"/>
      <c r="QCX343" s="29"/>
      <c r="QCY343" s="29"/>
      <c r="QCZ343" s="29"/>
      <c r="QDA343" s="29"/>
      <c r="QDB343" s="29"/>
      <c r="QDC343" s="29"/>
      <c r="QDD343" s="29"/>
      <c r="QDE343" s="29"/>
      <c r="QDF343" s="29"/>
      <c r="QDG343" s="29"/>
      <c r="QDH343" s="29"/>
      <c r="QDI343" s="29"/>
      <c r="QDJ343" s="29"/>
      <c r="QDK343" s="29"/>
      <c r="QDL343" s="29"/>
      <c r="QDM343" s="29"/>
      <c r="QDN343" s="29"/>
      <c r="QDO343" s="29"/>
      <c r="QDP343" s="29"/>
      <c r="QDQ343" s="29"/>
      <c r="QDR343" s="29"/>
      <c r="QDS343" s="29"/>
      <c r="QDT343" s="29"/>
      <c r="QDU343" s="29"/>
      <c r="QDV343" s="29"/>
      <c r="QDW343" s="29"/>
      <c r="QDX343" s="29"/>
      <c r="QDY343" s="29"/>
      <c r="QDZ343" s="29"/>
      <c r="QEA343" s="29"/>
      <c r="QEB343" s="29"/>
      <c r="QEC343" s="29"/>
      <c r="QED343" s="29"/>
      <c r="QEE343" s="29"/>
      <c r="QEF343" s="29"/>
      <c r="QEG343" s="29"/>
      <c r="QEH343" s="29"/>
      <c r="QEI343" s="29"/>
      <c r="QEJ343" s="29"/>
      <c r="QEK343" s="29"/>
      <c r="QEL343" s="29"/>
      <c r="QEM343" s="29"/>
      <c r="QEN343" s="29"/>
      <c r="QEO343" s="29"/>
      <c r="QEP343" s="29"/>
      <c r="QEQ343" s="29"/>
      <c r="QER343" s="29"/>
      <c r="QES343" s="29"/>
      <c r="QET343" s="29"/>
      <c r="QEU343" s="29"/>
      <c r="QEV343" s="29"/>
      <c r="QEW343" s="29"/>
      <c r="QEX343" s="29"/>
      <c r="QEY343" s="29"/>
      <c r="QEZ343" s="29"/>
      <c r="QFA343" s="29"/>
      <c r="QFB343" s="29"/>
      <c r="QFC343" s="29"/>
      <c r="QFD343" s="29"/>
      <c r="QFE343" s="29"/>
      <c r="QFF343" s="29"/>
      <c r="QFG343" s="29"/>
      <c r="QFH343" s="29"/>
      <c r="QFI343" s="29"/>
      <c r="QFJ343" s="29"/>
      <c r="QFK343" s="29"/>
      <c r="QFL343" s="29"/>
      <c r="QFM343" s="29"/>
      <c r="QFN343" s="29"/>
      <c r="QFO343" s="29"/>
      <c r="QFP343" s="29"/>
      <c r="QFQ343" s="29"/>
      <c r="QFR343" s="29"/>
      <c r="QFS343" s="29"/>
      <c r="QFT343" s="29"/>
      <c r="QFU343" s="29"/>
      <c r="QFV343" s="29"/>
      <c r="QFW343" s="29"/>
      <c r="QFX343" s="29"/>
      <c r="QFY343" s="29"/>
      <c r="QFZ343" s="29"/>
      <c r="QGA343" s="29"/>
      <c r="QGB343" s="29"/>
      <c r="QGC343" s="29"/>
      <c r="QGD343" s="29"/>
      <c r="QGE343" s="29"/>
      <c r="QGF343" s="29"/>
      <c r="QGG343" s="29"/>
      <c r="QGH343" s="29"/>
      <c r="QGI343" s="29"/>
      <c r="QGJ343" s="29"/>
      <c r="QGK343" s="29"/>
      <c r="QGL343" s="29"/>
      <c r="QGM343" s="29"/>
      <c r="QGN343" s="29"/>
      <c r="QGO343" s="29"/>
      <c r="QGP343" s="29"/>
      <c r="QGQ343" s="29"/>
      <c r="QGR343" s="29"/>
      <c r="QGS343" s="29"/>
      <c r="QGT343" s="29"/>
      <c r="QGU343" s="29"/>
      <c r="QGV343" s="29"/>
      <c r="QGW343" s="29"/>
      <c r="QGX343" s="29"/>
      <c r="QGY343" s="29"/>
      <c r="QGZ343" s="29"/>
      <c r="QHA343" s="29"/>
      <c r="QHB343" s="29"/>
      <c r="QHC343" s="29"/>
      <c r="QHD343" s="29"/>
      <c r="QHE343" s="29"/>
      <c r="QHF343" s="29"/>
      <c r="QHG343" s="29"/>
      <c r="QHH343" s="29"/>
      <c r="QHI343" s="29"/>
      <c r="QHJ343" s="29"/>
      <c r="QHK343" s="29"/>
      <c r="QHL343" s="29"/>
      <c r="QHM343" s="29"/>
      <c r="QHN343" s="29"/>
      <c r="QHO343" s="29"/>
      <c r="QHP343" s="29"/>
      <c r="QHQ343" s="29"/>
      <c r="QHR343" s="29"/>
      <c r="QHS343" s="29"/>
      <c r="QHT343" s="29"/>
      <c r="QHU343" s="29"/>
      <c r="QHV343" s="29"/>
      <c r="QHW343" s="29"/>
      <c r="QHX343" s="29"/>
      <c r="QHY343" s="29"/>
      <c r="QHZ343" s="29"/>
      <c r="QIA343" s="29"/>
      <c r="QIB343" s="29"/>
      <c r="QIC343" s="29"/>
      <c r="QID343" s="29"/>
      <c r="QIE343" s="29"/>
      <c r="QIF343" s="29"/>
      <c r="QIG343" s="29"/>
      <c r="QIH343" s="29"/>
      <c r="QII343" s="29"/>
      <c r="QIJ343" s="29"/>
      <c r="QIK343" s="29"/>
      <c r="QIL343" s="29"/>
      <c r="QIM343" s="29"/>
      <c r="QIN343" s="29"/>
      <c r="QIO343" s="29"/>
      <c r="QIP343" s="29"/>
      <c r="QIQ343" s="29"/>
      <c r="QIR343" s="29"/>
      <c r="QIS343" s="29"/>
      <c r="QIT343" s="29"/>
      <c r="QIU343" s="29"/>
      <c r="QIV343" s="29"/>
      <c r="QIW343" s="29"/>
      <c r="QIX343" s="29"/>
      <c r="QIY343" s="29"/>
      <c r="QIZ343" s="29"/>
      <c r="QJA343" s="29"/>
      <c r="QJB343" s="29"/>
      <c r="QJC343" s="29"/>
      <c r="QJD343" s="29"/>
      <c r="QJE343" s="29"/>
      <c r="QJF343" s="29"/>
      <c r="QJG343" s="29"/>
      <c r="QJH343" s="29"/>
      <c r="QJI343" s="29"/>
      <c r="QJJ343" s="29"/>
      <c r="QJK343" s="29"/>
      <c r="QJL343" s="29"/>
      <c r="QJM343" s="29"/>
      <c r="QJN343" s="29"/>
      <c r="QJO343" s="29"/>
      <c r="QJP343" s="29"/>
      <c r="QJQ343" s="29"/>
      <c r="QJR343" s="29"/>
      <c r="QJS343" s="29"/>
      <c r="QJT343" s="29"/>
      <c r="QJU343" s="29"/>
      <c r="QJV343" s="29"/>
      <c r="QJW343" s="29"/>
      <c r="QJX343" s="29"/>
      <c r="QJY343" s="29"/>
      <c r="QJZ343" s="29"/>
      <c r="QKA343" s="29"/>
      <c r="QKB343" s="29"/>
      <c r="QKC343" s="29"/>
      <c r="QKD343" s="29"/>
      <c r="QKE343" s="29"/>
      <c r="QKF343" s="29"/>
      <c r="QKG343" s="29"/>
      <c r="QKH343" s="29"/>
      <c r="QKI343" s="29"/>
      <c r="QKJ343" s="29"/>
      <c r="QKK343" s="29"/>
      <c r="QKL343" s="29"/>
      <c r="QKM343" s="29"/>
      <c r="QKN343" s="29"/>
      <c r="QKO343" s="29"/>
      <c r="QKP343" s="29"/>
      <c r="QKQ343" s="29"/>
      <c r="QKR343" s="29"/>
      <c r="QKS343" s="29"/>
      <c r="QKT343" s="29"/>
      <c r="QKU343" s="29"/>
      <c r="QKV343" s="29"/>
      <c r="QKW343" s="29"/>
      <c r="QKX343" s="29"/>
      <c r="QKY343" s="29"/>
      <c r="QKZ343" s="29"/>
      <c r="QLA343" s="29"/>
      <c r="QLB343" s="29"/>
      <c r="QLC343" s="29"/>
      <c r="QLD343" s="29"/>
      <c r="QLE343" s="29"/>
      <c r="QLF343" s="29"/>
      <c r="QLG343" s="29"/>
      <c r="QLH343" s="29"/>
      <c r="QLI343" s="29"/>
      <c r="QLJ343" s="29"/>
      <c r="QLK343" s="29"/>
      <c r="QLL343" s="29"/>
      <c r="QLM343" s="29"/>
      <c r="QLN343" s="29"/>
      <c r="QLO343" s="29"/>
      <c r="QLP343" s="29"/>
      <c r="QLQ343" s="29"/>
      <c r="QLR343" s="29"/>
      <c r="QLS343" s="29"/>
      <c r="QLT343" s="29"/>
      <c r="QLU343" s="29"/>
      <c r="QLV343" s="29"/>
      <c r="QLW343" s="29"/>
      <c r="QLX343" s="29"/>
      <c r="QLY343" s="29"/>
      <c r="QLZ343" s="29"/>
      <c r="QMA343" s="29"/>
      <c r="QMB343" s="29"/>
      <c r="QMC343" s="29"/>
      <c r="QMD343" s="29"/>
      <c r="QME343" s="29"/>
      <c r="QMF343" s="29"/>
      <c r="QMG343" s="29"/>
      <c r="QMH343" s="29"/>
      <c r="QMI343" s="29"/>
      <c r="QMJ343" s="29"/>
      <c r="QMK343" s="29"/>
      <c r="QML343" s="29"/>
      <c r="QMM343" s="29"/>
      <c r="QMN343" s="29"/>
      <c r="QMO343" s="29"/>
      <c r="QMP343" s="29"/>
      <c r="QMQ343" s="29"/>
      <c r="QMR343" s="29"/>
      <c r="QMS343" s="29"/>
      <c r="QMT343" s="29"/>
      <c r="QMU343" s="29"/>
      <c r="QMV343" s="29"/>
      <c r="QMW343" s="29"/>
      <c r="QMX343" s="29"/>
      <c r="QMY343" s="29"/>
      <c r="QMZ343" s="29"/>
      <c r="QNA343" s="29"/>
      <c r="QNB343" s="29"/>
      <c r="QNC343" s="29"/>
      <c r="QND343" s="29"/>
      <c r="QNE343" s="29"/>
      <c r="QNF343" s="29"/>
      <c r="QNG343" s="29"/>
      <c r="QNH343" s="29"/>
      <c r="QNI343" s="29"/>
      <c r="QNJ343" s="29"/>
      <c r="QNK343" s="29"/>
      <c r="QNL343" s="29"/>
      <c r="QNM343" s="29"/>
      <c r="QNN343" s="29"/>
      <c r="QNO343" s="29"/>
      <c r="QNP343" s="29"/>
      <c r="QNQ343" s="29"/>
      <c r="QNR343" s="29"/>
      <c r="QNS343" s="29"/>
      <c r="QNT343" s="29"/>
      <c r="QNU343" s="29"/>
      <c r="QNV343" s="29"/>
      <c r="QNW343" s="29"/>
      <c r="QNX343" s="29"/>
      <c r="QNY343" s="29"/>
      <c r="QNZ343" s="29"/>
      <c r="QOA343" s="29"/>
      <c r="QOB343" s="29"/>
      <c r="QOC343" s="29"/>
      <c r="QOD343" s="29"/>
      <c r="QOE343" s="29"/>
      <c r="QOF343" s="29"/>
      <c r="QOG343" s="29"/>
      <c r="QOH343" s="29"/>
      <c r="QOI343" s="29"/>
      <c r="QOJ343" s="29"/>
      <c r="QOK343" s="29"/>
      <c r="QOL343" s="29"/>
      <c r="QOM343" s="29"/>
      <c r="QON343" s="29"/>
      <c r="QOO343" s="29"/>
      <c r="QOP343" s="29"/>
      <c r="QOQ343" s="29"/>
      <c r="QOR343" s="29"/>
      <c r="QOS343" s="29"/>
      <c r="QOT343" s="29"/>
      <c r="QOU343" s="29"/>
      <c r="QOV343" s="29"/>
      <c r="QOW343" s="29"/>
      <c r="QOX343" s="29"/>
      <c r="QOY343" s="29"/>
      <c r="QOZ343" s="29"/>
      <c r="QPA343" s="29"/>
      <c r="QPB343" s="29"/>
      <c r="QPC343" s="29"/>
      <c r="QPD343" s="29"/>
      <c r="QPE343" s="29"/>
      <c r="QPF343" s="29"/>
      <c r="QPG343" s="29"/>
      <c r="QPH343" s="29"/>
      <c r="QPI343" s="29"/>
      <c r="QPJ343" s="29"/>
      <c r="QPK343" s="29"/>
      <c r="QPL343" s="29"/>
      <c r="QPM343" s="29"/>
      <c r="QPN343" s="29"/>
      <c r="QPO343" s="29"/>
      <c r="QPP343" s="29"/>
      <c r="QPQ343" s="29"/>
      <c r="QPR343" s="29"/>
      <c r="QPS343" s="29"/>
      <c r="QPT343" s="29"/>
      <c r="QPU343" s="29"/>
      <c r="QPV343" s="29"/>
      <c r="QPW343" s="29"/>
      <c r="QPX343" s="29"/>
      <c r="QPY343" s="29"/>
      <c r="QPZ343" s="29"/>
      <c r="QQA343" s="29"/>
      <c r="QQB343" s="29"/>
      <c r="QQC343" s="29"/>
      <c r="QQD343" s="29"/>
      <c r="QQE343" s="29"/>
      <c r="QQF343" s="29"/>
      <c r="QQG343" s="29"/>
      <c r="QQH343" s="29"/>
      <c r="QQI343" s="29"/>
      <c r="QQJ343" s="29"/>
      <c r="QQK343" s="29"/>
      <c r="QQL343" s="29"/>
      <c r="QQM343" s="29"/>
      <c r="QQN343" s="29"/>
      <c r="QQO343" s="29"/>
      <c r="QQP343" s="29"/>
      <c r="QQQ343" s="29"/>
      <c r="QQR343" s="29"/>
      <c r="QQS343" s="29"/>
      <c r="QQT343" s="29"/>
      <c r="QQU343" s="29"/>
      <c r="QQV343" s="29"/>
      <c r="QQW343" s="29"/>
      <c r="QQX343" s="29"/>
      <c r="QQY343" s="29"/>
      <c r="QQZ343" s="29"/>
      <c r="QRA343" s="29"/>
      <c r="QRB343" s="29"/>
      <c r="QRC343" s="29"/>
      <c r="QRD343" s="29"/>
      <c r="QRE343" s="29"/>
      <c r="QRF343" s="29"/>
      <c r="QRG343" s="29"/>
      <c r="QRH343" s="29"/>
      <c r="QRI343" s="29"/>
      <c r="QRJ343" s="29"/>
      <c r="QRK343" s="29"/>
      <c r="QRL343" s="29"/>
      <c r="QRM343" s="29"/>
      <c r="QRN343" s="29"/>
      <c r="QRO343" s="29"/>
      <c r="QRP343" s="29"/>
      <c r="QRQ343" s="29"/>
      <c r="QRR343" s="29"/>
      <c r="QRS343" s="29"/>
      <c r="QRT343" s="29"/>
      <c r="QRU343" s="29"/>
      <c r="QRV343" s="29"/>
      <c r="QRW343" s="29"/>
      <c r="QRX343" s="29"/>
      <c r="QRY343" s="29"/>
      <c r="QRZ343" s="29"/>
      <c r="QSA343" s="29"/>
      <c r="QSB343" s="29"/>
      <c r="QSC343" s="29"/>
      <c r="QSD343" s="29"/>
      <c r="QSE343" s="29"/>
      <c r="QSF343" s="29"/>
      <c r="QSG343" s="29"/>
      <c r="QSH343" s="29"/>
      <c r="QSI343" s="29"/>
      <c r="QSJ343" s="29"/>
      <c r="QSK343" s="29"/>
      <c r="QSL343" s="29"/>
      <c r="QSM343" s="29"/>
      <c r="QSN343" s="29"/>
      <c r="QSO343" s="29"/>
      <c r="QSP343" s="29"/>
      <c r="QSQ343" s="29"/>
      <c r="QSR343" s="29"/>
      <c r="QSS343" s="29"/>
      <c r="QST343" s="29"/>
      <c r="QSU343" s="29"/>
      <c r="QSV343" s="29"/>
      <c r="QSW343" s="29"/>
      <c r="QSX343" s="29"/>
      <c r="QSY343" s="29"/>
      <c r="QSZ343" s="29"/>
      <c r="QTA343" s="29"/>
      <c r="QTB343" s="29"/>
      <c r="QTC343" s="29"/>
      <c r="QTD343" s="29"/>
      <c r="QTE343" s="29"/>
      <c r="QTF343" s="29"/>
      <c r="QTG343" s="29"/>
      <c r="QTH343" s="29"/>
      <c r="QTI343" s="29"/>
      <c r="QTJ343" s="29"/>
      <c r="QTK343" s="29"/>
      <c r="QTL343" s="29"/>
      <c r="QTM343" s="29"/>
      <c r="QTN343" s="29"/>
      <c r="QTO343" s="29"/>
      <c r="QTP343" s="29"/>
      <c r="QTQ343" s="29"/>
      <c r="QTR343" s="29"/>
      <c r="QTS343" s="29"/>
      <c r="QTT343" s="29"/>
      <c r="QTU343" s="29"/>
      <c r="QTV343" s="29"/>
      <c r="QTW343" s="29"/>
      <c r="QTX343" s="29"/>
      <c r="QTY343" s="29"/>
      <c r="QTZ343" s="29"/>
      <c r="QUA343" s="29"/>
      <c r="QUB343" s="29"/>
      <c r="QUC343" s="29"/>
      <c r="QUD343" s="29"/>
      <c r="QUE343" s="29"/>
      <c r="QUF343" s="29"/>
      <c r="QUG343" s="29"/>
      <c r="QUH343" s="29"/>
      <c r="QUI343" s="29"/>
      <c r="QUJ343" s="29"/>
      <c r="QUK343" s="29"/>
      <c r="QUL343" s="29"/>
      <c r="QUM343" s="29"/>
      <c r="QUN343" s="29"/>
      <c r="QUO343" s="29"/>
      <c r="QUP343" s="29"/>
      <c r="QUQ343" s="29"/>
      <c r="QUR343" s="29"/>
      <c r="QUS343" s="29"/>
      <c r="QUT343" s="29"/>
      <c r="QUU343" s="29"/>
      <c r="QUV343" s="29"/>
      <c r="QUW343" s="29"/>
      <c r="QUX343" s="29"/>
      <c r="QUY343" s="29"/>
      <c r="QUZ343" s="29"/>
      <c r="QVA343" s="29"/>
      <c r="QVB343" s="29"/>
      <c r="QVC343" s="29"/>
      <c r="QVD343" s="29"/>
      <c r="QVE343" s="29"/>
      <c r="QVF343" s="29"/>
      <c r="QVG343" s="29"/>
      <c r="QVH343" s="29"/>
      <c r="QVI343" s="29"/>
      <c r="QVJ343" s="29"/>
      <c r="QVK343" s="29"/>
      <c r="QVL343" s="29"/>
      <c r="QVM343" s="29"/>
      <c r="QVN343" s="29"/>
      <c r="QVO343" s="29"/>
      <c r="QVP343" s="29"/>
      <c r="QVQ343" s="29"/>
      <c r="QVR343" s="29"/>
      <c r="QVS343" s="29"/>
      <c r="QVT343" s="29"/>
      <c r="QVU343" s="29"/>
      <c r="QVV343" s="29"/>
      <c r="QVW343" s="29"/>
      <c r="QVX343" s="29"/>
      <c r="QVY343" s="29"/>
      <c r="QVZ343" s="29"/>
      <c r="QWA343" s="29"/>
      <c r="QWB343" s="29"/>
      <c r="QWC343" s="29"/>
      <c r="QWD343" s="29"/>
      <c r="QWE343" s="29"/>
      <c r="QWF343" s="29"/>
      <c r="QWG343" s="29"/>
      <c r="QWH343" s="29"/>
      <c r="QWI343" s="29"/>
      <c r="QWJ343" s="29"/>
      <c r="QWK343" s="29"/>
      <c r="QWL343" s="29"/>
      <c r="QWM343" s="29"/>
      <c r="QWN343" s="29"/>
      <c r="QWO343" s="29"/>
      <c r="QWP343" s="29"/>
      <c r="QWQ343" s="29"/>
      <c r="QWR343" s="29"/>
      <c r="QWS343" s="29"/>
      <c r="QWT343" s="29"/>
      <c r="QWU343" s="29"/>
      <c r="QWV343" s="29"/>
      <c r="QWW343" s="29"/>
      <c r="QWX343" s="29"/>
      <c r="QWY343" s="29"/>
      <c r="QWZ343" s="29"/>
      <c r="QXA343" s="29"/>
      <c r="QXB343" s="29"/>
      <c r="QXC343" s="29"/>
      <c r="QXD343" s="29"/>
      <c r="QXE343" s="29"/>
      <c r="QXF343" s="29"/>
      <c r="QXG343" s="29"/>
      <c r="QXH343" s="29"/>
      <c r="QXI343" s="29"/>
      <c r="QXJ343" s="29"/>
      <c r="QXK343" s="29"/>
      <c r="QXL343" s="29"/>
      <c r="QXM343" s="29"/>
      <c r="QXN343" s="29"/>
      <c r="QXO343" s="29"/>
      <c r="QXP343" s="29"/>
      <c r="QXQ343" s="29"/>
      <c r="QXR343" s="29"/>
      <c r="QXS343" s="29"/>
      <c r="QXT343" s="29"/>
      <c r="QXU343" s="29"/>
      <c r="QXV343" s="29"/>
      <c r="QXW343" s="29"/>
      <c r="QXX343" s="29"/>
      <c r="QXY343" s="29"/>
      <c r="QXZ343" s="29"/>
      <c r="QYA343" s="29"/>
      <c r="QYB343" s="29"/>
      <c r="QYC343" s="29"/>
      <c r="QYD343" s="29"/>
      <c r="QYE343" s="29"/>
      <c r="QYF343" s="29"/>
      <c r="QYG343" s="29"/>
      <c r="QYH343" s="29"/>
      <c r="QYI343" s="29"/>
      <c r="QYJ343" s="29"/>
      <c r="QYK343" s="29"/>
      <c r="QYL343" s="29"/>
      <c r="QYM343" s="29"/>
      <c r="QYN343" s="29"/>
      <c r="QYO343" s="29"/>
      <c r="QYP343" s="29"/>
      <c r="QYQ343" s="29"/>
      <c r="QYR343" s="29"/>
      <c r="QYS343" s="29"/>
      <c r="QYT343" s="29"/>
      <c r="QYU343" s="29"/>
      <c r="QYV343" s="29"/>
      <c r="QYW343" s="29"/>
      <c r="QYX343" s="29"/>
      <c r="QYY343" s="29"/>
      <c r="QYZ343" s="29"/>
      <c r="QZA343" s="29"/>
      <c r="QZB343" s="29"/>
      <c r="QZC343" s="29"/>
      <c r="QZD343" s="29"/>
      <c r="QZE343" s="29"/>
      <c r="QZF343" s="29"/>
      <c r="QZG343" s="29"/>
      <c r="QZH343" s="29"/>
      <c r="QZI343" s="29"/>
      <c r="QZJ343" s="29"/>
      <c r="QZK343" s="29"/>
      <c r="QZL343" s="29"/>
      <c r="QZM343" s="29"/>
      <c r="QZN343" s="29"/>
      <c r="QZO343" s="29"/>
      <c r="QZP343" s="29"/>
      <c r="QZQ343" s="29"/>
      <c r="QZR343" s="29"/>
      <c r="QZS343" s="29"/>
      <c r="QZT343" s="29"/>
      <c r="QZU343" s="29"/>
      <c r="QZV343" s="29"/>
      <c r="QZW343" s="29"/>
      <c r="QZX343" s="29"/>
      <c r="QZY343" s="29"/>
      <c r="QZZ343" s="29"/>
      <c r="RAA343" s="29"/>
      <c r="RAB343" s="29"/>
      <c r="RAC343" s="29"/>
      <c r="RAD343" s="29"/>
      <c r="RAE343" s="29"/>
      <c r="RAF343" s="29"/>
      <c r="RAG343" s="29"/>
      <c r="RAH343" s="29"/>
      <c r="RAI343" s="29"/>
      <c r="RAJ343" s="29"/>
      <c r="RAK343" s="29"/>
      <c r="RAL343" s="29"/>
      <c r="RAM343" s="29"/>
      <c r="RAN343" s="29"/>
      <c r="RAO343" s="29"/>
      <c r="RAP343" s="29"/>
      <c r="RAQ343" s="29"/>
      <c r="RAR343" s="29"/>
      <c r="RAS343" s="29"/>
      <c r="RAT343" s="29"/>
      <c r="RAU343" s="29"/>
      <c r="RAV343" s="29"/>
      <c r="RAW343" s="29"/>
      <c r="RAX343" s="29"/>
      <c r="RAY343" s="29"/>
      <c r="RAZ343" s="29"/>
      <c r="RBA343" s="29"/>
      <c r="RBB343" s="29"/>
      <c r="RBC343" s="29"/>
      <c r="RBD343" s="29"/>
      <c r="RBE343" s="29"/>
      <c r="RBF343" s="29"/>
      <c r="RBG343" s="29"/>
      <c r="RBH343" s="29"/>
      <c r="RBI343" s="29"/>
      <c r="RBJ343" s="29"/>
      <c r="RBK343" s="29"/>
      <c r="RBL343" s="29"/>
      <c r="RBM343" s="29"/>
      <c r="RBN343" s="29"/>
      <c r="RBO343" s="29"/>
      <c r="RBP343" s="29"/>
      <c r="RBQ343" s="29"/>
      <c r="RBR343" s="29"/>
      <c r="RBS343" s="29"/>
      <c r="RBT343" s="29"/>
      <c r="RBU343" s="29"/>
      <c r="RBV343" s="29"/>
      <c r="RBW343" s="29"/>
      <c r="RBX343" s="29"/>
      <c r="RBY343" s="29"/>
      <c r="RBZ343" s="29"/>
      <c r="RCA343" s="29"/>
      <c r="RCB343" s="29"/>
      <c r="RCC343" s="29"/>
      <c r="RCD343" s="29"/>
      <c r="RCE343" s="29"/>
      <c r="RCF343" s="29"/>
      <c r="RCG343" s="29"/>
      <c r="RCH343" s="29"/>
      <c r="RCI343" s="29"/>
      <c r="RCJ343" s="29"/>
      <c r="RCK343" s="29"/>
      <c r="RCL343" s="29"/>
      <c r="RCM343" s="29"/>
      <c r="RCN343" s="29"/>
      <c r="RCO343" s="29"/>
      <c r="RCP343" s="29"/>
      <c r="RCQ343" s="29"/>
      <c r="RCR343" s="29"/>
      <c r="RCS343" s="29"/>
      <c r="RCT343" s="29"/>
      <c r="RCU343" s="29"/>
      <c r="RCV343" s="29"/>
      <c r="RCW343" s="29"/>
      <c r="RCX343" s="29"/>
      <c r="RCY343" s="29"/>
      <c r="RCZ343" s="29"/>
      <c r="RDA343" s="29"/>
      <c r="RDB343" s="29"/>
      <c r="RDC343" s="29"/>
      <c r="RDD343" s="29"/>
      <c r="RDE343" s="29"/>
      <c r="RDF343" s="29"/>
      <c r="RDG343" s="29"/>
      <c r="RDH343" s="29"/>
      <c r="RDI343" s="29"/>
      <c r="RDJ343" s="29"/>
      <c r="RDK343" s="29"/>
      <c r="RDL343" s="29"/>
      <c r="RDM343" s="29"/>
      <c r="RDN343" s="29"/>
      <c r="RDO343" s="29"/>
      <c r="RDP343" s="29"/>
      <c r="RDQ343" s="29"/>
      <c r="RDR343" s="29"/>
      <c r="RDS343" s="29"/>
      <c r="RDT343" s="29"/>
      <c r="RDU343" s="29"/>
      <c r="RDV343" s="29"/>
      <c r="RDW343" s="29"/>
      <c r="RDX343" s="29"/>
      <c r="RDY343" s="29"/>
      <c r="RDZ343" s="29"/>
      <c r="REA343" s="29"/>
      <c r="REB343" s="29"/>
      <c r="REC343" s="29"/>
      <c r="RED343" s="29"/>
      <c r="REE343" s="29"/>
      <c r="REF343" s="29"/>
      <c r="REG343" s="29"/>
      <c r="REH343" s="29"/>
      <c r="REI343" s="29"/>
      <c r="REJ343" s="29"/>
      <c r="REK343" s="29"/>
      <c r="REL343" s="29"/>
      <c r="REM343" s="29"/>
      <c r="REN343" s="29"/>
      <c r="REO343" s="29"/>
      <c r="REP343" s="29"/>
      <c r="REQ343" s="29"/>
      <c r="RER343" s="29"/>
      <c r="RES343" s="29"/>
      <c r="RET343" s="29"/>
      <c r="REU343" s="29"/>
      <c r="REV343" s="29"/>
      <c r="REW343" s="29"/>
      <c r="REX343" s="29"/>
      <c r="REY343" s="29"/>
      <c r="REZ343" s="29"/>
      <c r="RFA343" s="29"/>
      <c r="RFB343" s="29"/>
      <c r="RFC343" s="29"/>
      <c r="RFD343" s="29"/>
      <c r="RFE343" s="29"/>
      <c r="RFF343" s="29"/>
      <c r="RFG343" s="29"/>
      <c r="RFH343" s="29"/>
      <c r="RFI343" s="29"/>
      <c r="RFJ343" s="29"/>
      <c r="RFK343" s="29"/>
      <c r="RFL343" s="29"/>
      <c r="RFM343" s="29"/>
      <c r="RFN343" s="29"/>
      <c r="RFO343" s="29"/>
      <c r="RFP343" s="29"/>
      <c r="RFQ343" s="29"/>
      <c r="RFR343" s="29"/>
      <c r="RFS343" s="29"/>
      <c r="RFT343" s="29"/>
      <c r="RFU343" s="29"/>
      <c r="RFV343" s="29"/>
      <c r="RFW343" s="29"/>
      <c r="RFX343" s="29"/>
      <c r="RFY343" s="29"/>
      <c r="RFZ343" s="29"/>
      <c r="RGA343" s="29"/>
      <c r="RGB343" s="29"/>
      <c r="RGC343" s="29"/>
      <c r="RGD343" s="29"/>
      <c r="RGE343" s="29"/>
      <c r="RGF343" s="29"/>
      <c r="RGG343" s="29"/>
      <c r="RGH343" s="29"/>
      <c r="RGI343" s="29"/>
      <c r="RGJ343" s="29"/>
      <c r="RGK343" s="29"/>
      <c r="RGL343" s="29"/>
      <c r="RGM343" s="29"/>
      <c r="RGN343" s="29"/>
      <c r="RGO343" s="29"/>
      <c r="RGP343" s="29"/>
      <c r="RGQ343" s="29"/>
      <c r="RGR343" s="29"/>
      <c r="RGS343" s="29"/>
      <c r="RGT343" s="29"/>
      <c r="RGU343" s="29"/>
      <c r="RGV343" s="29"/>
      <c r="RGW343" s="29"/>
      <c r="RGX343" s="29"/>
      <c r="RGY343" s="29"/>
      <c r="RGZ343" s="29"/>
      <c r="RHA343" s="29"/>
      <c r="RHB343" s="29"/>
      <c r="RHC343" s="29"/>
      <c r="RHD343" s="29"/>
      <c r="RHE343" s="29"/>
      <c r="RHF343" s="29"/>
      <c r="RHG343" s="29"/>
      <c r="RHH343" s="29"/>
      <c r="RHI343" s="29"/>
      <c r="RHJ343" s="29"/>
      <c r="RHK343" s="29"/>
      <c r="RHL343" s="29"/>
      <c r="RHM343" s="29"/>
      <c r="RHN343" s="29"/>
      <c r="RHO343" s="29"/>
      <c r="RHP343" s="29"/>
      <c r="RHQ343" s="29"/>
      <c r="RHR343" s="29"/>
      <c r="RHS343" s="29"/>
      <c r="RHT343" s="29"/>
      <c r="RHU343" s="29"/>
      <c r="RHV343" s="29"/>
      <c r="RHW343" s="29"/>
      <c r="RHX343" s="29"/>
      <c r="RHY343" s="29"/>
      <c r="RHZ343" s="29"/>
      <c r="RIA343" s="29"/>
      <c r="RIB343" s="29"/>
      <c r="RIC343" s="29"/>
      <c r="RID343" s="29"/>
      <c r="RIE343" s="29"/>
      <c r="RIF343" s="29"/>
      <c r="RIG343" s="29"/>
      <c r="RIH343" s="29"/>
      <c r="RII343" s="29"/>
      <c r="RIJ343" s="29"/>
      <c r="RIK343" s="29"/>
      <c r="RIL343" s="29"/>
      <c r="RIM343" s="29"/>
      <c r="RIN343" s="29"/>
      <c r="RIO343" s="29"/>
      <c r="RIP343" s="29"/>
      <c r="RIQ343" s="29"/>
      <c r="RIR343" s="29"/>
      <c r="RIS343" s="29"/>
      <c r="RIT343" s="29"/>
      <c r="RIU343" s="29"/>
      <c r="RIV343" s="29"/>
      <c r="RIW343" s="29"/>
      <c r="RIX343" s="29"/>
      <c r="RIY343" s="29"/>
      <c r="RIZ343" s="29"/>
      <c r="RJA343" s="29"/>
      <c r="RJB343" s="29"/>
      <c r="RJC343" s="29"/>
      <c r="RJD343" s="29"/>
      <c r="RJE343" s="29"/>
      <c r="RJF343" s="29"/>
      <c r="RJG343" s="29"/>
      <c r="RJH343" s="29"/>
      <c r="RJI343" s="29"/>
      <c r="RJJ343" s="29"/>
      <c r="RJK343" s="29"/>
      <c r="RJL343" s="29"/>
      <c r="RJM343" s="29"/>
      <c r="RJN343" s="29"/>
      <c r="RJO343" s="29"/>
      <c r="RJP343" s="29"/>
      <c r="RJQ343" s="29"/>
      <c r="RJR343" s="29"/>
      <c r="RJS343" s="29"/>
      <c r="RJT343" s="29"/>
      <c r="RJU343" s="29"/>
      <c r="RJV343" s="29"/>
      <c r="RJW343" s="29"/>
      <c r="RJX343" s="29"/>
      <c r="RJY343" s="29"/>
      <c r="RJZ343" s="29"/>
      <c r="RKA343" s="29"/>
      <c r="RKB343" s="29"/>
      <c r="RKC343" s="29"/>
      <c r="RKD343" s="29"/>
      <c r="RKE343" s="29"/>
      <c r="RKF343" s="29"/>
      <c r="RKG343" s="29"/>
      <c r="RKH343" s="29"/>
      <c r="RKI343" s="29"/>
      <c r="RKJ343" s="29"/>
      <c r="RKK343" s="29"/>
      <c r="RKL343" s="29"/>
      <c r="RKM343" s="29"/>
      <c r="RKN343" s="29"/>
      <c r="RKO343" s="29"/>
      <c r="RKP343" s="29"/>
      <c r="RKQ343" s="29"/>
      <c r="RKR343" s="29"/>
      <c r="RKS343" s="29"/>
      <c r="RKT343" s="29"/>
      <c r="RKU343" s="29"/>
      <c r="RKV343" s="29"/>
      <c r="RKW343" s="29"/>
      <c r="RKX343" s="29"/>
      <c r="RKY343" s="29"/>
      <c r="RKZ343" s="29"/>
      <c r="RLA343" s="29"/>
      <c r="RLB343" s="29"/>
      <c r="RLC343" s="29"/>
      <c r="RLD343" s="29"/>
      <c r="RLE343" s="29"/>
      <c r="RLF343" s="29"/>
      <c r="RLG343" s="29"/>
      <c r="RLH343" s="29"/>
      <c r="RLI343" s="29"/>
      <c r="RLJ343" s="29"/>
      <c r="RLK343" s="29"/>
      <c r="RLL343" s="29"/>
      <c r="RLM343" s="29"/>
      <c r="RLN343" s="29"/>
      <c r="RLO343" s="29"/>
      <c r="RLP343" s="29"/>
      <c r="RLQ343" s="29"/>
      <c r="RLR343" s="29"/>
      <c r="RLS343" s="29"/>
      <c r="RLT343" s="29"/>
      <c r="RLU343" s="29"/>
      <c r="RLV343" s="29"/>
      <c r="RLW343" s="29"/>
      <c r="RLX343" s="29"/>
      <c r="RLY343" s="29"/>
      <c r="RLZ343" s="29"/>
      <c r="RMA343" s="29"/>
      <c r="RMB343" s="29"/>
      <c r="RMC343" s="29"/>
      <c r="RMD343" s="29"/>
      <c r="RME343" s="29"/>
      <c r="RMF343" s="29"/>
      <c r="RMG343" s="29"/>
      <c r="RMH343" s="29"/>
      <c r="RMI343" s="29"/>
      <c r="RMJ343" s="29"/>
      <c r="RMK343" s="29"/>
      <c r="RML343" s="29"/>
      <c r="RMM343" s="29"/>
      <c r="RMN343" s="29"/>
      <c r="RMO343" s="29"/>
      <c r="RMP343" s="29"/>
      <c r="RMQ343" s="29"/>
      <c r="RMR343" s="29"/>
      <c r="RMS343" s="29"/>
      <c r="RMT343" s="29"/>
      <c r="RMU343" s="29"/>
      <c r="RMV343" s="29"/>
      <c r="RMW343" s="29"/>
      <c r="RMX343" s="29"/>
      <c r="RMY343" s="29"/>
      <c r="RMZ343" s="29"/>
      <c r="RNA343" s="29"/>
      <c r="RNB343" s="29"/>
      <c r="RNC343" s="29"/>
      <c r="RND343" s="29"/>
      <c r="RNE343" s="29"/>
      <c r="RNF343" s="29"/>
      <c r="RNG343" s="29"/>
      <c r="RNH343" s="29"/>
      <c r="RNI343" s="29"/>
      <c r="RNJ343" s="29"/>
      <c r="RNK343" s="29"/>
      <c r="RNL343" s="29"/>
      <c r="RNM343" s="29"/>
      <c r="RNN343" s="29"/>
      <c r="RNO343" s="29"/>
      <c r="RNP343" s="29"/>
      <c r="RNQ343" s="29"/>
      <c r="RNR343" s="29"/>
      <c r="RNS343" s="29"/>
      <c r="RNT343" s="29"/>
      <c r="RNU343" s="29"/>
      <c r="RNV343" s="29"/>
      <c r="RNW343" s="29"/>
      <c r="RNX343" s="29"/>
      <c r="RNY343" s="29"/>
      <c r="RNZ343" s="29"/>
      <c r="ROA343" s="29"/>
      <c r="ROB343" s="29"/>
      <c r="ROC343" s="29"/>
      <c r="ROD343" s="29"/>
      <c r="ROE343" s="29"/>
      <c r="ROF343" s="29"/>
      <c r="ROG343" s="29"/>
      <c r="ROH343" s="29"/>
      <c r="ROI343" s="29"/>
      <c r="ROJ343" s="29"/>
      <c r="ROK343" s="29"/>
      <c r="ROL343" s="29"/>
      <c r="ROM343" s="29"/>
      <c r="RON343" s="29"/>
      <c r="ROO343" s="29"/>
      <c r="ROP343" s="29"/>
      <c r="ROQ343" s="29"/>
      <c r="ROR343" s="29"/>
      <c r="ROS343" s="29"/>
      <c r="ROT343" s="29"/>
      <c r="ROU343" s="29"/>
      <c r="ROV343" s="29"/>
      <c r="ROW343" s="29"/>
      <c r="ROX343" s="29"/>
      <c r="ROY343" s="29"/>
      <c r="ROZ343" s="29"/>
      <c r="RPA343" s="29"/>
      <c r="RPB343" s="29"/>
      <c r="RPC343" s="29"/>
      <c r="RPD343" s="29"/>
      <c r="RPE343" s="29"/>
      <c r="RPF343" s="29"/>
      <c r="RPG343" s="29"/>
      <c r="RPH343" s="29"/>
      <c r="RPI343" s="29"/>
      <c r="RPJ343" s="29"/>
      <c r="RPK343" s="29"/>
      <c r="RPL343" s="29"/>
      <c r="RPM343" s="29"/>
      <c r="RPN343" s="29"/>
      <c r="RPO343" s="29"/>
      <c r="RPP343" s="29"/>
      <c r="RPQ343" s="29"/>
      <c r="RPR343" s="29"/>
      <c r="RPS343" s="29"/>
      <c r="RPT343" s="29"/>
      <c r="RPU343" s="29"/>
      <c r="RPV343" s="29"/>
      <c r="RPW343" s="29"/>
      <c r="RPX343" s="29"/>
      <c r="RPY343" s="29"/>
      <c r="RPZ343" s="29"/>
      <c r="RQA343" s="29"/>
      <c r="RQB343" s="29"/>
      <c r="RQC343" s="29"/>
      <c r="RQD343" s="29"/>
      <c r="RQE343" s="29"/>
      <c r="RQF343" s="29"/>
      <c r="RQG343" s="29"/>
      <c r="RQH343" s="29"/>
      <c r="RQI343" s="29"/>
      <c r="RQJ343" s="29"/>
      <c r="RQK343" s="29"/>
      <c r="RQL343" s="29"/>
      <c r="RQM343" s="29"/>
      <c r="RQN343" s="29"/>
      <c r="RQO343" s="29"/>
      <c r="RQP343" s="29"/>
      <c r="RQQ343" s="29"/>
      <c r="RQR343" s="29"/>
      <c r="RQS343" s="29"/>
      <c r="RQT343" s="29"/>
      <c r="RQU343" s="29"/>
      <c r="RQV343" s="29"/>
      <c r="RQW343" s="29"/>
      <c r="RQX343" s="29"/>
      <c r="RQY343" s="29"/>
      <c r="RQZ343" s="29"/>
      <c r="RRA343" s="29"/>
      <c r="RRB343" s="29"/>
      <c r="RRC343" s="29"/>
      <c r="RRD343" s="29"/>
      <c r="RRE343" s="29"/>
      <c r="RRF343" s="29"/>
      <c r="RRG343" s="29"/>
      <c r="RRH343" s="29"/>
      <c r="RRI343" s="29"/>
      <c r="RRJ343" s="29"/>
      <c r="RRK343" s="29"/>
      <c r="RRL343" s="29"/>
      <c r="RRM343" s="29"/>
      <c r="RRN343" s="29"/>
      <c r="RRO343" s="29"/>
      <c r="RRP343" s="29"/>
      <c r="RRQ343" s="29"/>
      <c r="RRR343" s="29"/>
      <c r="RRS343" s="29"/>
      <c r="RRT343" s="29"/>
      <c r="RRU343" s="29"/>
      <c r="RRV343" s="29"/>
      <c r="RRW343" s="29"/>
      <c r="RRX343" s="29"/>
      <c r="RRY343" s="29"/>
      <c r="RRZ343" s="29"/>
      <c r="RSA343" s="29"/>
      <c r="RSB343" s="29"/>
      <c r="RSC343" s="29"/>
      <c r="RSD343" s="29"/>
      <c r="RSE343" s="29"/>
      <c r="RSF343" s="29"/>
      <c r="RSG343" s="29"/>
      <c r="RSH343" s="29"/>
      <c r="RSI343" s="29"/>
      <c r="RSJ343" s="29"/>
      <c r="RSK343" s="29"/>
      <c r="RSL343" s="29"/>
      <c r="RSM343" s="29"/>
      <c r="RSN343" s="29"/>
      <c r="RSO343" s="29"/>
      <c r="RSP343" s="29"/>
      <c r="RSQ343" s="29"/>
      <c r="RSR343" s="29"/>
      <c r="RSS343" s="29"/>
      <c r="RST343" s="29"/>
      <c r="RSU343" s="29"/>
      <c r="RSV343" s="29"/>
      <c r="RSW343" s="29"/>
      <c r="RSX343" s="29"/>
      <c r="RSY343" s="29"/>
      <c r="RSZ343" s="29"/>
      <c r="RTA343" s="29"/>
      <c r="RTB343" s="29"/>
      <c r="RTC343" s="29"/>
      <c r="RTD343" s="29"/>
      <c r="RTE343" s="29"/>
      <c r="RTF343" s="29"/>
      <c r="RTG343" s="29"/>
      <c r="RTH343" s="29"/>
      <c r="RTI343" s="29"/>
      <c r="RTJ343" s="29"/>
      <c r="RTK343" s="29"/>
      <c r="RTL343" s="29"/>
      <c r="RTM343" s="29"/>
      <c r="RTN343" s="29"/>
      <c r="RTO343" s="29"/>
      <c r="RTP343" s="29"/>
      <c r="RTQ343" s="29"/>
      <c r="RTR343" s="29"/>
      <c r="RTS343" s="29"/>
      <c r="RTT343" s="29"/>
      <c r="RTU343" s="29"/>
      <c r="RTV343" s="29"/>
      <c r="RTW343" s="29"/>
      <c r="RTX343" s="29"/>
      <c r="RTY343" s="29"/>
      <c r="RTZ343" s="29"/>
      <c r="RUA343" s="29"/>
      <c r="RUB343" s="29"/>
      <c r="RUC343" s="29"/>
      <c r="RUD343" s="29"/>
      <c r="RUE343" s="29"/>
      <c r="RUF343" s="29"/>
      <c r="RUG343" s="29"/>
      <c r="RUH343" s="29"/>
      <c r="RUI343" s="29"/>
      <c r="RUJ343" s="29"/>
      <c r="RUK343" s="29"/>
      <c r="RUL343" s="29"/>
      <c r="RUM343" s="29"/>
      <c r="RUN343" s="29"/>
      <c r="RUO343" s="29"/>
      <c r="RUP343" s="29"/>
      <c r="RUQ343" s="29"/>
      <c r="RUR343" s="29"/>
      <c r="RUS343" s="29"/>
      <c r="RUT343" s="29"/>
      <c r="RUU343" s="29"/>
      <c r="RUV343" s="29"/>
      <c r="RUW343" s="29"/>
      <c r="RUX343" s="29"/>
      <c r="RUY343" s="29"/>
      <c r="RUZ343" s="29"/>
      <c r="RVA343" s="29"/>
      <c r="RVB343" s="29"/>
      <c r="RVC343" s="29"/>
      <c r="RVD343" s="29"/>
      <c r="RVE343" s="29"/>
      <c r="RVF343" s="29"/>
      <c r="RVG343" s="29"/>
      <c r="RVH343" s="29"/>
      <c r="RVI343" s="29"/>
      <c r="RVJ343" s="29"/>
      <c r="RVK343" s="29"/>
      <c r="RVL343" s="29"/>
      <c r="RVM343" s="29"/>
      <c r="RVN343" s="29"/>
      <c r="RVO343" s="29"/>
      <c r="RVP343" s="29"/>
      <c r="RVQ343" s="29"/>
      <c r="RVR343" s="29"/>
      <c r="RVS343" s="29"/>
      <c r="RVT343" s="29"/>
      <c r="RVU343" s="29"/>
      <c r="RVV343" s="29"/>
      <c r="RVW343" s="29"/>
      <c r="RVX343" s="29"/>
      <c r="RVY343" s="29"/>
      <c r="RVZ343" s="29"/>
      <c r="RWA343" s="29"/>
      <c r="RWB343" s="29"/>
      <c r="RWC343" s="29"/>
      <c r="RWD343" s="29"/>
      <c r="RWE343" s="29"/>
      <c r="RWF343" s="29"/>
      <c r="RWG343" s="29"/>
      <c r="RWH343" s="29"/>
      <c r="RWI343" s="29"/>
      <c r="RWJ343" s="29"/>
      <c r="RWK343" s="29"/>
      <c r="RWL343" s="29"/>
      <c r="RWM343" s="29"/>
      <c r="RWN343" s="29"/>
      <c r="RWO343" s="29"/>
      <c r="RWP343" s="29"/>
      <c r="RWQ343" s="29"/>
      <c r="RWR343" s="29"/>
      <c r="RWS343" s="29"/>
      <c r="RWT343" s="29"/>
      <c r="RWU343" s="29"/>
      <c r="RWV343" s="29"/>
      <c r="RWW343" s="29"/>
      <c r="RWX343" s="29"/>
      <c r="RWY343" s="29"/>
      <c r="RWZ343" s="29"/>
      <c r="RXA343" s="29"/>
      <c r="RXB343" s="29"/>
      <c r="RXC343" s="29"/>
      <c r="RXD343" s="29"/>
      <c r="RXE343" s="29"/>
      <c r="RXF343" s="29"/>
      <c r="RXG343" s="29"/>
      <c r="RXH343" s="29"/>
      <c r="RXI343" s="29"/>
      <c r="RXJ343" s="29"/>
      <c r="RXK343" s="29"/>
      <c r="RXL343" s="29"/>
      <c r="RXM343" s="29"/>
      <c r="RXN343" s="29"/>
      <c r="RXO343" s="29"/>
      <c r="RXP343" s="29"/>
      <c r="RXQ343" s="29"/>
      <c r="RXR343" s="29"/>
      <c r="RXS343" s="29"/>
      <c r="RXT343" s="29"/>
      <c r="RXU343" s="29"/>
      <c r="RXV343" s="29"/>
      <c r="RXW343" s="29"/>
      <c r="RXX343" s="29"/>
      <c r="RXY343" s="29"/>
      <c r="RXZ343" s="29"/>
      <c r="RYA343" s="29"/>
      <c r="RYB343" s="29"/>
      <c r="RYC343" s="29"/>
      <c r="RYD343" s="29"/>
      <c r="RYE343" s="29"/>
      <c r="RYF343" s="29"/>
      <c r="RYG343" s="29"/>
      <c r="RYH343" s="29"/>
      <c r="RYI343" s="29"/>
      <c r="RYJ343" s="29"/>
      <c r="RYK343" s="29"/>
      <c r="RYL343" s="29"/>
      <c r="RYM343" s="29"/>
      <c r="RYN343" s="29"/>
      <c r="RYO343" s="29"/>
      <c r="RYP343" s="29"/>
      <c r="RYQ343" s="29"/>
      <c r="RYR343" s="29"/>
      <c r="RYS343" s="29"/>
      <c r="RYT343" s="29"/>
      <c r="RYU343" s="29"/>
      <c r="RYV343" s="29"/>
      <c r="RYW343" s="29"/>
      <c r="RYX343" s="29"/>
      <c r="RYY343" s="29"/>
      <c r="RYZ343" s="29"/>
      <c r="RZA343" s="29"/>
      <c r="RZB343" s="29"/>
      <c r="RZC343" s="29"/>
      <c r="RZD343" s="29"/>
      <c r="RZE343" s="29"/>
      <c r="RZF343" s="29"/>
      <c r="RZG343" s="29"/>
      <c r="RZH343" s="29"/>
      <c r="RZI343" s="29"/>
      <c r="RZJ343" s="29"/>
      <c r="RZK343" s="29"/>
      <c r="RZL343" s="29"/>
      <c r="RZM343" s="29"/>
      <c r="RZN343" s="29"/>
      <c r="RZO343" s="29"/>
      <c r="RZP343" s="29"/>
      <c r="RZQ343" s="29"/>
      <c r="RZR343" s="29"/>
      <c r="RZS343" s="29"/>
      <c r="RZT343" s="29"/>
      <c r="RZU343" s="29"/>
      <c r="RZV343" s="29"/>
      <c r="RZW343" s="29"/>
      <c r="RZX343" s="29"/>
      <c r="RZY343" s="29"/>
      <c r="RZZ343" s="29"/>
      <c r="SAA343" s="29"/>
      <c r="SAB343" s="29"/>
      <c r="SAC343" s="29"/>
      <c r="SAD343" s="29"/>
      <c r="SAE343" s="29"/>
      <c r="SAF343" s="29"/>
      <c r="SAG343" s="29"/>
      <c r="SAH343" s="29"/>
      <c r="SAI343" s="29"/>
      <c r="SAJ343" s="29"/>
      <c r="SAK343" s="29"/>
      <c r="SAL343" s="29"/>
      <c r="SAM343" s="29"/>
      <c r="SAN343" s="29"/>
      <c r="SAO343" s="29"/>
      <c r="SAP343" s="29"/>
      <c r="SAQ343" s="29"/>
      <c r="SAR343" s="29"/>
      <c r="SAS343" s="29"/>
      <c r="SAT343" s="29"/>
      <c r="SAU343" s="29"/>
      <c r="SAV343" s="29"/>
      <c r="SAW343" s="29"/>
      <c r="SAX343" s="29"/>
      <c r="SAY343" s="29"/>
      <c r="SAZ343" s="29"/>
      <c r="SBA343" s="29"/>
      <c r="SBB343" s="29"/>
      <c r="SBC343" s="29"/>
      <c r="SBD343" s="29"/>
      <c r="SBE343" s="29"/>
      <c r="SBF343" s="29"/>
      <c r="SBG343" s="29"/>
      <c r="SBH343" s="29"/>
      <c r="SBI343" s="29"/>
      <c r="SBJ343" s="29"/>
      <c r="SBK343" s="29"/>
      <c r="SBL343" s="29"/>
      <c r="SBM343" s="29"/>
      <c r="SBN343" s="29"/>
      <c r="SBO343" s="29"/>
      <c r="SBP343" s="29"/>
      <c r="SBQ343" s="29"/>
      <c r="SBR343" s="29"/>
      <c r="SBS343" s="29"/>
      <c r="SBT343" s="29"/>
      <c r="SBU343" s="29"/>
      <c r="SBV343" s="29"/>
      <c r="SBW343" s="29"/>
      <c r="SBX343" s="29"/>
      <c r="SBY343" s="29"/>
      <c r="SBZ343" s="29"/>
      <c r="SCA343" s="29"/>
      <c r="SCB343" s="29"/>
      <c r="SCC343" s="29"/>
      <c r="SCD343" s="29"/>
      <c r="SCE343" s="29"/>
      <c r="SCF343" s="29"/>
      <c r="SCG343" s="29"/>
      <c r="SCH343" s="29"/>
      <c r="SCI343" s="29"/>
      <c r="SCJ343" s="29"/>
      <c r="SCK343" s="29"/>
      <c r="SCL343" s="29"/>
      <c r="SCM343" s="29"/>
      <c r="SCN343" s="29"/>
      <c r="SCO343" s="29"/>
      <c r="SCP343" s="29"/>
      <c r="SCQ343" s="29"/>
      <c r="SCR343" s="29"/>
      <c r="SCS343" s="29"/>
      <c r="SCT343" s="29"/>
      <c r="SCU343" s="29"/>
      <c r="SCV343" s="29"/>
      <c r="SCW343" s="29"/>
      <c r="SCX343" s="29"/>
      <c r="SCY343" s="29"/>
      <c r="SCZ343" s="29"/>
      <c r="SDA343" s="29"/>
      <c r="SDB343" s="29"/>
      <c r="SDC343" s="29"/>
      <c r="SDD343" s="29"/>
      <c r="SDE343" s="29"/>
      <c r="SDF343" s="29"/>
      <c r="SDG343" s="29"/>
      <c r="SDH343" s="29"/>
      <c r="SDI343" s="29"/>
      <c r="SDJ343" s="29"/>
      <c r="SDK343" s="29"/>
      <c r="SDL343" s="29"/>
      <c r="SDM343" s="29"/>
      <c r="SDN343" s="29"/>
      <c r="SDO343" s="29"/>
      <c r="SDP343" s="29"/>
      <c r="SDQ343" s="29"/>
      <c r="SDR343" s="29"/>
      <c r="SDS343" s="29"/>
      <c r="SDT343" s="29"/>
      <c r="SDU343" s="29"/>
      <c r="SDV343" s="29"/>
      <c r="SDW343" s="29"/>
      <c r="SDX343" s="29"/>
      <c r="SDY343" s="29"/>
      <c r="SDZ343" s="29"/>
      <c r="SEA343" s="29"/>
      <c r="SEB343" s="29"/>
      <c r="SEC343" s="29"/>
      <c r="SED343" s="29"/>
      <c r="SEE343" s="29"/>
      <c r="SEF343" s="29"/>
      <c r="SEG343" s="29"/>
      <c r="SEH343" s="29"/>
      <c r="SEI343" s="29"/>
      <c r="SEJ343" s="29"/>
      <c r="SEK343" s="29"/>
      <c r="SEL343" s="29"/>
      <c r="SEM343" s="29"/>
      <c r="SEN343" s="29"/>
      <c r="SEO343" s="29"/>
      <c r="SEP343" s="29"/>
      <c r="SEQ343" s="29"/>
      <c r="SER343" s="29"/>
      <c r="SES343" s="29"/>
      <c r="SET343" s="29"/>
      <c r="SEU343" s="29"/>
      <c r="SEV343" s="29"/>
      <c r="SEW343" s="29"/>
      <c r="SEX343" s="29"/>
      <c r="SEY343" s="29"/>
      <c r="SEZ343" s="29"/>
      <c r="SFA343" s="29"/>
      <c r="SFB343" s="29"/>
      <c r="SFC343" s="29"/>
      <c r="SFD343" s="29"/>
      <c r="SFE343" s="29"/>
      <c r="SFF343" s="29"/>
      <c r="SFG343" s="29"/>
      <c r="SFH343" s="29"/>
      <c r="SFI343" s="29"/>
      <c r="SFJ343" s="29"/>
      <c r="SFK343" s="29"/>
      <c r="SFL343" s="29"/>
      <c r="SFM343" s="29"/>
      <c r="SFN343" s="29"/>
      <c r="SFO343" s="29"/>
      <c r="SFP343" s="29"/>
      <c r="SFQ343" s="29"/>
      <c r="SFR343" s="29"/>
      <c r="SFS343" s="29"/>
      <c r="SFT343" s="29"/>
      <c r="SFU343" s="29"/>
      <c r="SFV343" s="29"/>
      <c r="SFW343" s="29"/>
      <c r="SFX343" s="29"/>
      <c r="SFY343" s="29"/>
      <c r="SFZ343" s="29"/>
      <c r="SGA343" s="29"/>
      <c r="SGB343" s="29"/>
      <c r="SGC343" s="29"/>
      <c r="SGD343" s="29"/>
      <c r="SGE343" s="29"/>
      <c r="SGF343" s="29"/>
      <c r="SGG343" s="29"/>
      <c r="SGH343" s="29"/>
      <c r="SGI343" s="29"/>
      <c r="SGJ343" s="29"/>
      <c r="SGK343" s="29"/>
      <c r="SGL343" s="29"/>
      <c r="SGM343" s="29"/>
      <c r="SGN343" s="29"/>
      <c r="SGO343" s="29"/>
      <c r="SGP343" s="29"/>
      <c r="SGQ343" s="29"/>
      <c r="SGR343" s="29"/>
      <c r="SGS343" s="29"/>
      <c r="SGT343" s="29"/>
      <c r="SGU343" s="29"/>
      <c r="SGV343" s="29"/>
      <c r="SGW343" s="29"/>
      <c r="SGX343" s="29"/>
      <c r="SGY343" s="29"/>
      <c r="SGZ343" s="29"/>
      <c r="SHA343" s="29"/>
      <c r="SHB343" s="29"/>
      <c r="SHC343" s="29"/>
      <c r="SHD343" s="29"/>
      <c r="SHE343" s="29"/>
      <c r="SHF343" s="29"/>
      <c r="SHG343" s="29"/>
      <c r="SHH343" s="29"/>
      <c r="SHI343" s="29"/>
      <c r="SHJ343" s="29"/>
      <c r="SHK343" s="29"/>
      <c r="SHL343" s="29"/>
      <c r="SHM343" s="29"/>
      <c r="SHN343" s="29"/>
      <c r="SHO343" s="29"/>
      <c r="SHP343" s="29"/>
      <c r="SHQ343" s="29"/>
      <c r="SHR343" s="29"/>
      <c r="SHS343" s="29"/>
      <c r="SHT343" s="29"/>
      <c r="SHU343" s="29"/>
      <c r="SHV343" s="29"/>
      <c r="SHW343" s="29"/>
      <c r="SHX343" s="29"/>
      <c r="SHY343" s="29"/>
      <c r="SHZ343" s="29"/>
      <c r="SIA343" s="29"/>
      <c r="SIB343" s="29"/>
      <c r="SIC343" s="29"/>
      <c r="SID343" s="29"/>
      <c r="SIE343" s="29"/>
      <c r="SIF343" s="29"/>
      <c r="SIG343" s="29"/>
      <c r="SIH343" s="29"/>
      <c r="SII343" s="29"/>
      <c r="SIJ343" s="29"/>
      <c r="SIK343" s="29"/>
      <c r="SIL343" s="29"/>
      <c r="SIM343" s="29"/>
      <c r="SIN343" s="29"/>
      <c r="SIO343" s="29"/>
      <c r="SIP343" s="29"/>
      <c r="SIQ343" s="29"/>
      <c r="SIR343" s="29"/>
      <c r="SIS343" s="29"/>
      <c r="SIT343" s="29"/>
      <c r="SIU343" s="29"/>
      <c r="SIV343" s="29"/>
      <c r="SIW343" s="29"/>
      <c r="SIX343" s="29"/>
      <c r="SIY343" s="29"/>
      <c r="SIZ343" s="29"/>
      <c r="SJA343" s="29"/>
      <c r="SJB343" s="29"/>
      <c r="SJC343" s="29"/>
      <c r="SJD343" s="29"/>
      <c r="SJE343" s="29"/>
      <c r="SJF343" s="29"/>
      <c r="SJG343" s="29"/>
      <c r="SJH343" s="29"/>
      <c r="SJI343" s="29"/>
      <c r="SJJ343" s="29"/>
      <c r="SJK343" s="29"/>
      <c r="SJL343" s="29"/>
      <c r="SJM343" s="29"/>
      <c r="SJN343" s="29"/>
      <c r="SJO343" s="29"/>
      <c r="SJP343" s="29"/>
      <c r="SJQ343" s="29"/>
      <c r="SJR343" s="29"/>
      <c r="SJS343" s="29"/>
      <c r="SJT343" s="29"/>
      <c r="SJU343" s="29"/>
      <c r="SJV343" s="29"/>
      <c r="SJW343" s="29"/>
      <c r="SJX343" s="29"/>
      <c r="SJY343" s="29"/>
      <c r="SJZ343" s="29"/>
      <c r="SKA343" s="29"/>
      <c r="SKB343" s="29"/>
      <c r="SKC343" s="29"/>
      <c r="SKD343" s="29"/>
      <c r="SKE343" s="29"/>
      <c r="SKF343" s="29"/>
      <c r="SKG343" s="29"/>
      <c r="SKH343" s="29"/>
      <c r="SKI343" s="29"/>
      <c r="SKJ343" s="29"/>
      <c r="SKK343" s="29"/>
      <c r="SKL343" s="29"/>
      <c r="SKM343" s="29"/>
      <c r="SKN343" s="29"/>
      <c r="SKO343" s="29"/>
      <c r="SKP343" s="29"/>
      <c r="SKQ343" s="29"/>
      <c r="SKR343" s="29"/>
      <c r="SKS343" s="29"/>
      <c r="SKT343" s="29"/>
      <c r="SKU343" s="29"/>
      <c r="SKV343" s="29"/>
      <c r="SKW343" s="29"/>
      <c r="SKX343" s="29"/>
      <c r="SKY343" s="29"/>
      <c r="SKZ343" s="29"/>
      <c r="SLA343" s="29"/>
      <c r="SLB343" s="29"/>
      <c r="SLC343" s="29"/>
      <c r="SLD343" s="29"/>
      <c r="SLE343" s="29"/>
      <c r="SLF343" s="29"/>
      <c r="SLG343" s="29"/>
      <c r="SLH343" s="29"/>
      <c r="SLI343" s="29"/>
      <c r="SLJ343" s="29"/>
      <c r="SLK343" s="29"/>
      <c r="SLL343" s="29"/>
      <c r="SLM343" s="29"/>
      <c r="SLN343" s="29"/>
      <c r="SLO343" s="29"/>
      <c r="SLP343" s="29"/>
      <c r="SLQ343" s="29"/>
      <c r="SLR343" s="29"/>
      <c r="SLS343" s="29"/>
      <c r="SLT343" s="29"/>
      <c r="SLU343" s="29"/>
      <c r="SLV343" s="29"/>
      <c r="SLW343" s="29"/>
      <c r="SLX343" s="29"/>
      <c r="SLY343" s="29"/>
      <c r="SLZ343" s="29"/>
      <c r="SMA343" s="29"/>
      <c r="SMB343" s="29"/>
      <c r="SMC343" s="29"/>
      <c r="SMD343" s="29"/>
      <c r="SME343" s="29"/>
      <c r="SMF343" s="29"/>
      <c r="SMG343" s="29"/>
      <c r="SMH343" s="29"/>
      <c r="SMI343" s="29"/>
      <c r="SMJ343" s="29"/>
      <c r="SMK343" s="29"/>
      <c r="SML343" s="29"/>
      <c r="SMM343" s="29"/>
      <c r="SMN343" s="29"/>
      <c r="SMO343" s="29"/>
      <c r="SMP343" s="29"/>
      <c r="SMQ343" s="29"/>
      <c r="SMR343" s="29"/>
      <c r="SMS343" s="29"/>
      <c r="SMT343" s="29"/>
      <c r="SMU343" s="29"/>
      <c r="SMV343" s="29"/>
      <c r="SMW343" s="29"/>
      <c r="SMX343" s="29"/>
      <c r="SMY343" s="29"/>
      <c r="SMZ343" s="29"/>
      <c r="SNA343" s="29"/>
      <c r="SNB343" s="29"/>
      <c r="SNC343" s="29"/>
      <c r="SND343" s="29"/>
      <c r="SNE343" s="29"/>
      <c r="SNF343" s="29"/>
      <c r="SNG343" s="29"/>
      <c r="SNH343" s="29"/>
      <c r="SNI343" s="29"/>
      <c r="SNJ343" s="29"/>
      <c r="SNK343" s="29"/>
      <c r="SNL343" s="29"/>
      <c r="SNM343" s="29"/>
      <c r="SNN343" s="29"/>
      <c r="SNO343" s="29"/>
      <c r="SNP343" s="29"/>
      <c r="SNQ343" s="29"/>
      <c r="SNR343" s="29"/>
      <c r="SNS343" s="29"/>
      <c r="SNT343" s="29"/>
      <c r="SNU343" s="29"/>
      <c r="SNV343" s="29"/>
      <c r="SNW343" s="29"/>
      <c r="SNX343" s="29"/>
      <c r="SNY343" s="29"/>
      <c r="SNZ343" s="29"/>
      <c r="SOA343" s="29"/>
      <c r="SOB343" s="29"/>
      <c r="SOC343" s="29"/>
      <c r="SOD343" s="29"/>
      <c r="SOE343" s="29"/>
      <c r="SOF343" s="29"/>
      <c r="SOG343" s="29"/>
      <c r="SOH343" s="29"/>
      <c r="SOI343" s="29"/>
      <c r="SOJ343" s="29"/>
      <c r="SOK343" s="29"/>
      <c r="SOL343" s="29"/>
      <c r="SOM343" s="29"/>
      <c r="SON343" s="29"/>
      <c r="SOO343" s="29"/>
      <c r="SOP343" s="29"/>
      <c r="SOQ343" s="29"/>
      <c r="SOR343" s="29"/>
      <c r="SOS343" s="29"/>
      <c r="SOT343" s="29"/>
      <c r="SOU343" s="29"/>
      <c r="SOV343" s="29"/>
      <c r="SOW343" s="29"/>
      <c r="SOX343" s="29"/>
      <c r="SOY343" s="29"/>
      <c r="SOZ343" s="29"/>
      <c r="SPA343" s="29"/>
      <c r="SPB343" s="29"/>
      <c r="SPC343" s="29"/>
      <c r="SPD343" s="29"/>
      <c r="SPE343" s="29"/>
      <c r="SPF343" s="29"/>
      <c r="SPG343" s="29"/>
      <c r="SPH343" s="29"/>
      <c r="SPI343" s="29"/>
      <c r="SPJ343" s="29"/>
      <c r="SPK343" s="29"/>
      <c r="SPL343" s="29"/>
      <c r="SPM343" s="29"/>
      <c r="SPN343" s="29"/>
      <c r="SPO343" s="29"/>
      <c r="SPP343" s="29"/>
      <c r="SPQ343" s="29"/>
      <c r="SPR343" s="29"/>
      <c r="SPS343" s="29"/>
      <c r="SPT343" s="29"/>
      <c r="SPU343" s="29"/>
      <c r="SPV343" s="29"/>
      <c r="SPW343" s="29"/>
      <c r="SPX343" s="29"/>
      <c r="SPY343" s="29"/>
      <c r="SPZ343" s="29"/>
      <c r="SQA343" s="29"/>
      <c r="SQB343" s="29"/>
      <c r="SQC343" s="29"/>
      <c r="SQD343" s="29"/>
      <c r="SQE343" s="29"/>
      <c r="SQF343" s="29"/>
      <c r="SQG343" s="29"/>
      <c r="SQH343" s="29"/>
      <c r="SQI343" s="29"/>
      <c r="SQJ343" s="29"/>
      <c r="SQK343" s="29"/>
      <c r="SQL343" s="29"/>
      <c r="SQM343" s="29"/>
      <c r="SQN343" s="29"/>
      <c r="SQO343" s="29"/>
      <c r="SQP343" s="29"/>
      <c r="SQQ343" s="29"/>
      <c r="SQR343" s="29"/>
      <c r="SQS343" s="29"/>
      <c r="SQT343" s="29"/>
      <c r="SQU343" s="29"/>
      <c r="SQV343" s="29"/>
      <c r="SQW343" s="29"/>
      <c r="SQX343" s="29"/>
      <c r="SQY343" s="29"/>
      <c r="SQZ343" s="29"/>
      <c r="SRA343" s="29"/>
      <c r="SRB343" s="29"/>
      <c r="SRC343" s="29"/>
      <c r="SRD343" s="29"/>
      <c r="SRE343" s="29"/>
      <c r="SRF343" s="29"/>
      <c r="SRG343" s="29"/>
      <c r="SRH343" s="29"/>
      <c r="SRI343" s="29"/>
      <c r="SRJ343" s="29"/>
      <c r="SRK343" s="29"/>
      <c r="SRL343" s="29"/>
      <c r="SRM343" s="29"/>
      <c r="SRN343" s="29"/>
      <c r="SRO343" s="29"/>
      <c r="SRP343" s="29"/>
      <c r="SRQ343" s="29"/>
      <c r="SRR343" s="29"/>
      <c r="SRS343" s="29"/>
      <c r="SRT343" s="29"/>
      <c r="SRU343" s="29"/>
      <c r="SRV343" s="29"/>
      <c r="SRW343" s="29"/>
      <c r="SRX343" s="29"/>
      <c r="SRY343" s="29"/>
      <c r="SRZ343" s="29"/>
      <c r="SSA343" s="29"/>
      <c r="SSB343" s="29"/>
      <c r="SSC343" s="29"/>
      <c r="SSD343" s="29"/>
      <c r="SSE343" s="29"/>
      <c r="SSF343" s="29"/>
      <c r="SSG343" s="29"/>
      <c r="SSH343" s="29"/>
      <c r="SSI343" s="29"/>
      <c r="SSJ343" s="29"/>
      <c r="SSK343" s="29"/>
      <c r="SSL343" s="29"/>
      <c r="SSM343" s="29"/>
      <c r="SSN343" s="29"/>
      <c r="SSO343" s="29"/>
      <c r="SSP343" s="29"/>
      <c r="SSQ343" s="29"/>
      <c r="SSR343" s="29"/>
      <c r="SSS343" s="29"/>
      <c r="SST343" s="29"/>
      <c r="SSU343" s="29"/>
      <c r="SSV343" s="29"/>
      <c r="SSW343" s="29"/>
      <c r="SSX343" s="29"/>
      <c r="SSY343" s="29"/>
      <c r="SSZ343" s="29"/>
      <c r="STA343" s="29"/>
      <c r="STB343" s="29"/>
      <c r="STC343" s="29"/>
      <c r="STD343" s="29"/>
      <c r="STE343" s="29"/>
      <c r="STF343" s="29"/>
      <c r="STG343" s="29"/>
      <c r="STH343" s="29"/>
      <c r="STI343" s="29"/>
      <c r="STJ343" s="29"/>
      <c r="STK343" s="29"/>
      <c r="STL343" s="29"/>
      <c r="STM343" s="29"/>
      <c r="STN343" s="29"/>
      <c r="STO343" s="29"/>
      <c r="STP343" s="29"/>
      <c r="STQ343" s="29"/>
      <c r="STR343" s="29"/>
      <c r="STS343" s="29"/>
      <c r="STT343" s="29"/>
      <c r="STU343" s="29"/>
      <c r="STV343" s="29"/>
      <c r="STW343" s="29"/>
      <c r="STX343" s="29"/>
      <c r="STY343" s="29"/>
      <c r="STZ343" s="29"/>
      <c r="SUA343" s="29"/>
      <c r="SUB343" s="29"/>
      <c r="SUC343" s="29"/>
      <c r="SUD343" s="29"/>
      <c r="SUE343" s="29"/>
      <c r="SUF343" s="29"/>
      <c r="SUG343" s="29"/>
      <c r="SUH343" s="29"/>
      <c r="SUI343" s="29"/>
      <c r="SUJ343" s="29"/>
      <c r="SUK343" s="29"/>
      <c r="SUL343" s="29"/>
      <c r="SUM343" s="29"/>
      <c r="SUN343" s="29"/>
      <c r="SUO343" s="29"/>
      <c r="SUP343" s="29"/>
      <c r="SUQ343" s="29"/>
      <c r="SUR343" s="29"/>
      <c r="SUS343" s="29"/>
      <c r="SUT343" s="29"/>
      <c r="SUU343" s="29"/>
      <c r="SUV343" s="29"/>
      <c r="SUW343" s="29"/>
      <c r="SUX343" s="29"/>
      <c r="SUY343" s="29"/>
      <c r="SUZ343" s="29"/>
      <c r="SVA343" s="29"/>
      <c r="SVB343" s="29"/>
      <c r="SVC343" s="29"/>
      <c r="SVD343" s="29"/>
      <c r="SVE343" s="29"/>
      <c r="SVF343" s="29"/>
      <c r="SVG343" s="29"/>
      <c r="SVH343" s="29"/>
      <c r="SVI343" s="29"/>
      <c r="SVJ343" s="29"/>
      <c r="SVK343" s="29"/>
      <c r="SVL343" s="29"/>
      <c r="SVM343" s="29"/>
      <c r="SVN343" s="29"/>
      <c r="SVO343" s="29"/>
      <c r="SVP343" s="29"/>
      <c r="SVQ343" s="29"/>
      <c r="SVR343" s="29"/>
      <c r="SVS343" s="29"/>
      <c r="SVT343" s="29"/>
      <c r="SVU343" s="29"/>
      <c r="SVV343" s="29"/>
      <c r="SVW343" s="29"/>
      <c r="SVX343" s="29"/>
      <c r="SVY343" s="29"/>
      <c r="SVZ343" s="29"/>
      <c r="SWA343" s="29"/>
      <c r="SWB343" s="29"/>
      <c r="SWC343" s="29"/>
      <c r="SWD343" s="29"/>
      <c r="SWE343" s="29"/>
      <c r="SWF343" s="29"/>
      <c r="SWG343" s="29"/>
      <c r="SWH343" s="29"/>
      <c r="SWI343" s="29"/>
      <c r="SWJ343" s="29"/>
      <c r="SWK343" s="29"/>
      <c r="SWL343" s="29"/>
      <c r="SWM343" s="29"/>
      <c r="SWN343" s="29"/>
      <c r="SWO343" s="29"/>
      <c r="SWP343" s="29"/>
      <c r="SWQ343" s="29"/>
      <c r="SWR343" s="29"/>
      <c r="SWS343" s="29"/>
      <c r="SWT343" s="29"/>
      <c r="SWU343" s="29"/>
      <c r="SWV343" s="29"/>
      <c r="SWW343" s="29"/>
      <c r="SWX343" s="29"/>
      <c r="SWY343" s="29"/>
      <c r="SWZ343" s="29"/>
      <c r="SXA343" s="29"/>
      <c r="SXB343" s="29"/>
      <c r="SXC343" s="29"/>
      <c r="SXD343" s="29"/>
      <c r="SXE343" s="29"/>
      <c r="SXF343" s="29"/>
      <c r="SXG343" s="29"/>
      <c r="SXH343" s="29"/>
      <c r="SXI343" s="29"/>
      <c r="SXJ343" s="29"/>
      <c r="SXK343" s="29"/>
      <c r="SXL343" s="29"/>
      <c r="SXM343" s="29"/>
      <c r="SXN343" s="29"/>
      <c r="SXO343" s="29"/>
      <c r="SXP343" s="29"/>
      <c r="SXQ343" s="29"/>
      <c r="SXR343" s="29"/>
      <c r="SXS343" s="29"/>
      <c r="SXT343" s="29"/>
      <c r="SXU343" s="29"/>
      <c r="SXV343" s="29"/>
      <c r="SXW343" s="29"/>
      <c r="SXX343" s="29"/>
      <c r="SXY343" s="29"/>
      <c r="SXZ343" s="29"/>
      <c r="SYA343" s="29"/>
      <c r="SYB343" s="29"/>
      <c r="SYC343" s="29"/>
      <c r="SYD343" s="29"/>
      <c r="SYE343" s="29"/>
      <c r="SYF343" s="29"/>
      <c r="SYG343" s="29"/>
      <c r="SYH343" s="29"/>
      <c r="SYI343" s="29"/>
      <c r="SYJ343" s="29"/>
      <c r="SYK343" s="29"/>
      <c r="SYL343" s="29"/>
      <c r="SYM343" s="29"/>
      <c r="SYN343" s="29"/>
      <c r="SYO343" s="29"/>
      <c r="SYP343" s="29"/>
      <c r="SYQ343" s="29"/>
      <c r="SYR343" s="29"/>
      <c r="SYS343" s="29"/>
      <c r="SYT343" s="29"/>
      <c r="SYU343" s="29"/>
      <c r="SYV343" s="29"/>
      <c r="SYW343" s="29"/>
      <c r="SYX343" s="29"/>
      <c r="SYY343" s="29"/>
      <c r="SYZ343" s="29"/>
      <c r="SZA343" s="29"/>
      <c r="SZB343" s="29"/>
      <c r="SZC343" s="29"/>
      <c r="SZD343" s="29"/>
      <c r="SZE343" s="29"/>
      <c r="SZF343" s="29"/>
      <c r="SZG343" s="29"/>
      <c r="SZH343" s="29"/>
      <c r="SZI343" s="29"/>
      <c r="SZJ343" s="29"/>
      <c r="SZK343" s="29"/>
      <c r="SZL343" s="29"/>
      <c r="SZM343" s="29"/>
      <c r="SZN343" s="29"/>
      <c r="SZO343" s="29"/>
      <c r="SZP343" s="29"/>
      <c r="SZQ343" s="29"/>
      <c r="SZR343" s="29"/>
      <c r="SZS343" s="29"/>
      <c r="SZT343" s="29"/>
      <c r="SZU343" s="29"/>
      <c r="SZV343" s="29"/>
      <c r="SZW343" s="29"/>
      <c r="SZX343" s="29"/>
      <c r="SZY343" s="29"/>
      <c r="SZZ343" s="29"/>
      <c r="TAA343" s="29"/>
      <c r="TAB343" s="29"/>
      <c r="TAC343" s="29"/>
      <c r="TAD343" s="29"/>
      <c r="TAE343" s="29"/>
      <c r="TAF343" s="29"/>
      <c r="TAG343" s="29"/>
      <c r="TAH343" s="29"/>
      <c r="TAI343" s="29"/>
      <c r="TAJ343" s="29"/>
      <c r="TAK343" s="29"/>
      <c r="TAL343" s="29"/>
      <c r="TAM343" s="29"/>
      <c r="TAN343" s="29"/>
      <c r="TAO343" s="29"/>
      <c r="TAP343" s="29"/>
      <c r="TAQ343" s="29"/>
      <c r="TAR343" s="29"/>
      <c r="TAS343" s="29"/>
      <c r="TAT343" s="29"/>
      <c r="TAU343" s="29"/>
      <c r="TAV343" s="29"/>
      <c r="TAW343" s="29"/>
      <c r="TAX343" s="29"/>
      <c r="TAY343" s="29"/>
      <c r="TAZ343" s="29"/>
      <c r="TBA343" s="29"/>
      <c r="TBB343" s="29"/>
      <c r="TBC343" s="29"/>
      <c r="TBD343" s="29"/>
      <c r="TBE343" s="29"/>
      <c r="TBF343" s="29"/>
      <c r="TBG343" s="29"/>
      <c r="TBH343" s="29"/>
      <c r="TBI343" s="29"/>
      <c r="TBJ343" s="29"/>
      <c r="TBK343" s="29"/>
      <c r="TBL343" s="29"/>
      <c r="TBM343" s="29"/>
      <c r="TBN343" s="29"/>
      <c r="TBO343" s="29"/>
      <c r="TBP343" s="29"/>
      <c r="TBQ343" s="29"/>
      <c r="TBR343" s="29"/>
      <c r="TBS343" s="29"/>
      <c r="TBT343" s="29"/>
      <c r="TBU343" s="29"/>
      <c r="TBV343" s="29"/>
      <c r="TBW343" s="29"/>
      <c r="TBX343" s="29"/>
      <c r="TBY343" s="29"/>
      <c r="TBZ343" s="29"/>
      <c r="TCA343" s="29"/>
      <c r="TCB343" s="29"/>
      <c r="TCC343" s="29"/>
      <c r="TCD343" s="29"/>
      <c r="TCE343" s="29"/>
      <c r="TCF343" s="29"/>
      <c r="TCG343" s="29"/>
      <c r="TCH343" s="29"/>
      <c r="TCI343" s="29"/>
      <c r="TCJ343" s="29"/>
      <c r="TCK343" s="29"/>
      <c r="TCL343" s="29"/>
      <c r="TCM343" s="29"/>
      <c r="TCN343" s="29"/>
      <c r="TCO343" s="29"/>
      <c r="TCP343" s="29"/>
      <c r="TCQ343" s="29"/>
      <c r="TCR343" s="29"/>
      <c r="TCS343" s="29"/>
      <c r="TCT343" s="29"/>
      <c r="TCU343" s="29"/>
      <c r="TCV343" s="29"/>
      <c r="TCW343" s="29"/>
      <c r="TCX343" s="29"/>
      <c r="TCY343" s="29"/>
      <c r="TCZ343" s="29"/>
      <c r="TDA343" s="29"/>
      <c r="TDB343" s="29"/>
      <c r="TDC343" s="29"/>
      <c r="TDD343" s="29"/>
      <c r="TDE343" s="29"/>
      <c r="TDF343" s="29"/>
      <c r="TDG343" s="29"/>
      <c r="TDH343" s="29"/>
      <c r="TDI343" s="29"/>
      <c r="TDJ343" s="29"/>
      <c r="TDK343" s="29"/>
      <c r="TDL343" s="29"/>
      <c r="TDM343" s="29"/>
      <c r="TDN343" s="29"/>
      <c r="TDO343" s="29"/>
      <c r="TDP343" s="29"/>
      <c r="TDQ343" s="29"/>
      <c r="TDR343" s="29"/>
      <c r="TDS343" s="29"/>
      <c r="TDT343" s="29"/>
      <c r="TDU343" s="29"/>
      <c r="TDV343" s="29"/>
      <c r="TDW343" s="29"/>
      <c r="TDX343" s="29"/>
      <c r="TDY343" s="29"/>
      <c r="TDZ343" s="29"/>
      <c r="TEA343" s="29"/>
      <c r="TEB343" s="29"/>
      <c r="TEC343" s="29"/>
      <c r="TED343" s="29"/>
      <c r="TEE343" s="29"/>
      <c r="TEF343" s="29"/>
      <c r="TEG343" s="29"/>
      <c r="TEH343" s="29"/>
      <c r="TEI343" s="29"/>
      <c r="TEJ343" s="29"/>
      <c r="TEK343" s="29"/>
      <c r="TEL343" s="29"/>
      <c r="TEM343" s="29"/>
      <c r="TEN343" s="29"/>
      <c r="TEO343" s="29"/>
      <c r="TEP343" s="29"/>
      <c r="TEQ343" s="29"/>
      <c r="TER343" s="29"/>
      <c r="TES343" s="29"/>
      <c r="TET343" s="29"/>
      <c r="TEU343" s="29"/>
      <c r="TEV343" s="29"/>
      <c r="TEW343" s="29"/>
      <c r="TEX343" s="29"/>
      <c r="TEY343" s="29"/>
      <c r="TEZ343" s="29"/>
      <c r="TFA343" s="29"/>
      <c r="TFB343" s="29"/>
      <c r="TFC343" s="29"/>
      <c r="TFD343" s="29"/>
      <c r="TFE343" s="29"/>
      <c r="TFF343" s="29"/>
      <c r="TFG343" s="29"/>
      <c r="TFH343" s="29"/>
      <c r="TFI343" s="29"/>
      <c r="TFJ343" s="29"/>
      <c r="TFK343" s="29"/>
      <c r="TFL343" s="29"/>
      <c r="TFM343" s="29"/>
      <c r="TFN343" s="29"/>
      <c r="TFO343" s="29"/>
      <c r="TFP343" s="29"/>
      <c r="TFQ343" s="29"/>
      <c r="TFR343" s="29"/>
      <c r="TFS343" s="29"/>
      <c r="TFT343" s="29"/>
      <c r="TFU343" s="29"/>
      <c r="TFV343" s="29"/>
      <c r="TFW343" s="29"/>
      <c r="TFX343" s="29"/>
      <c r="TFY343" s="29"/>
      <c r="TFZ343" s="29"/>
      <c r="TGA343" s="29"/>
      <c r="TGB343" s="29"/>
      <c r="TGC343" s="29"/>
      <c r="TGD343" s="29"/>
      <c r="TGE343" s="29"/>
      <c r="TGF343" s="29"/>
      <c r="TGG343" s="29"/>
      <c r="TGH343" s="29"/>
      <c r="TGI343" s="29"/>
      <c r="TGJ343" s="29"/>
      <c r="TGK343" s="29"/>
      <c r="TGL343" s="29"/>
      <c r="TGM343" s="29"/>
      <c r="TGN343" s="29"/>
      <c r="TGO343" s="29"/>
      <c r="TGP343" s="29"/>
      <c r="TGQ343" s="29"/>
      <c r="TGR343" s="29"/>
      <c r="TGS343" s="29"/>
      <c r="TGT343" s="29"/>
      <c r="TGU343" s="29"/>
      <c r="TGV343" s="29"/>
      <c r="TGW343" s="29"/>
      <c r="TGX343" s="29"/>
      <c r="TGY343" s="29"/>
      <c r="TGZ343" s="29"/>
      <c r="THA343" s="29"/>
      <c r="THB343" s="29"/>
      <c r="THC343" s="29"/>
      <c r="THD343" s="29"/>
      <c r="THE343" s="29"/>
      <c r="THF343" s="29"/>
      <c r="THG343" s="29"/>
      <c r="THH343" s="29"/>
      <c r="THI343" s="29"/>
      <c r="THJ343" s="29"/>
      <c r="THK343" s="29"/>
      <c r="THL343" s="29"/>
      <c r="THM343" s="29"/>
      <c r="THN343" s="29"/>
      <c r="THO343" s="29"/>
      <c r="THP343" s="29"/>
      <c r="THQ343" s="29"/>
      <c r="THR343" s="29"/>
      <c r="THS343" s="29"/>
      <c r="THT343" s="29"/>
      <c r="THU343" s="29"/>
      <c r="THV343" s="29"/>
      <c r="THW343" s="29"/>
      <c r="THX343" s="29"/>
      <c r="THY343" s="29"/>
      <c r="THZ343" s="29"/>
      <c r="TIA343" s="29"/>
      <c r="TIB343" s="29"/>
      <c r="TIC343" s="29"/>
      <c r="TID343" s="29"/>
      <c r="TIE343" s="29"/>
      <c r="TIF343" s="29"/>
      <c r="TIG343" s="29"/>
      <c r="TIH343" s="29"/>
      <c r="TII343" s="29"/>
      <c r="TIJ343" s="29"/>
      <c r="TIK343" s="29"/>
      <c r="TIL343" s="29"/>
      <c r="TIM343" s="29"/>
      <c r="TIN343" s="29"/>
      <c r="TIO343" s="29"/>
      <c r="TIP343" s="29"/>
      <c r="TIQ343" s="29"/>
      <c r="TIR343" s="29"/>
      <c r="TIS343" s="29"/>
      <c r="TIT343" s="29"/>
      <c r="TIU343" s="29"/>
      <c r="TIV343" s="29"/>
      <c r="TIW343" s="29"/>
      <c r="TIX343" s="29"/>
      <c r="TIY343" s="29"/>
      <c r="TIZ343" s="29"/>
      <c r="TJA343" s="29"/>
      <c r="TJB343" s="29"/>
      <c r="TJC343" s="29"/>
      <c r="TJD343" s="29"/>
      <c r="TJE343" s="29"/>
      <c r="TJF343" s="29"/>
      <c r="TJG343" s="29"/>
      <c r="TJH343" s="29"/>
      <c r="TJI343" s="29"/>
      <c r="TJJ343" s="29"/>
      <c r="TJK343" s="29"/>
      <c r="TJL343" s="29"/>
      <c r="TJM343" s="29"/>
      <c r="TJN343" s="29"/>
      <c r="TJO343" s="29"/>
      <c r="TJP343" s="29"/>
      <c r="TJQ343" s="29"/>
      <c r="TJR343" s="29"/>
      <c r="TJS343" s="29"/>
      <c r="TJT343" s="29"/>
      <c r="TJU343" s="29"/>
      <c r="TJV343" s="29"/>
      <c r="TJW343" s="29"/>
      <c r="TJX343" s="29"/>
      <c r="TJY343" s="29"/>
      <c r="TJZ343" s="29"/>
      <c r="TKA343" s="29"/>
      <c r="TKB343" s="29"/>
      <c r="TKC343" s="29"/>
      <c r="TKD343" s="29"/>
      <c r="TKE343" s="29"/>
      <c r="TKF343" s="29"/>
      <c r="TKG343" s="29"/>
      <c r="TKH343" s="29"/>
      <c r="TKI343" s="29"/>
      <c r="TKJ343" s="29"/>
      <c r="TKK343" s="29"/>
      <c r="TKL343" s="29"/>
      <c r="TKM343" s="29"/>
      <c r="TKN343" s="29"/>
      <c r="TKO343" s="29"/>
      <c r="TKP343" s="29"/>
      <c r="TKQ343" s="29"/>
      <c r="TKR343" s="29"/>
      <c r="TKS343" s="29"/>
      <c r="TKT343" s="29"/>
      <c r="TKU343" s="29"/>
      <c r="TKV343" s="29"/>
      <c r="TKW343" s="29"/>
      <c r="TKX343" s="29"/>
      <c r="TKY343" s="29"/>
      <c r="TKZ343" s="29"/>
      <c r="TLA343" s="29"/>
      <c r="TLB343" s="29"/>
      <c r="TLC343" s="29"/>
      <c r="TLD343" s="29"/>
      <c r="TLE343" s="29"/>
      <c r="TLF343" s="29"/>
      <c r="TLG343" s="29"/>
      <c r="TLH343" s="29"/>
      <c r="TLI343" s="29"/>
      <c r="TLJ343" s="29"/>
      <c r="TLK343" s="29"/>
      <c r="TLL343" s="29"/>
      <c r="TLM343" s="29"/>
      <c r="TLN343" s="29"/>
      <c r="TLO343" s="29"/>
      <c r="TLP343" s="29"/>
      <c r="TLQ343" s="29"/>
      <c r="TLR343" s="29"/>
      <c r="TLS343" s="29"/>
      <c r="TLT343" s="29"/>
      <c r="TLU343" s="29"/>
      <c r="TLV343" s="29"/>
      <c r="TLW343" s="29"/>
      <c r="TLX343" s="29"/>
      <c r="TLY343" s="29"/>
      <c r="TLZ343" s="29"/>
      <c r="TMA343" s="29"/>
      <c r="TMB343" s="29"/>
      <c r="TMC343" s="29"/>
      <c r="TMD343" s="29"/>
      <c r="TME343" s="29"/>
      <c r="TMF343" s="29"/>
      <c r="TMG343" s="29"/>
      <c r="TMH343" s="29"/>
      <c r="TMI343" s="29"/>
      <c r="TMJ343" s="29"/>
      <c r="TMK343" s="29"/>
      <c r="TML343" s="29"/>
      <c r="TMM343" s="29"/>
      <c r="TMN343" s="29"/>
      <c r="TMO343" s="29"/>
      <c r="TMP343" s="29"/>
      <c r="TMQ343" s="29"/>
      <c r="TMR343" s="29"/>
      <c r="TMS343" s="29"/>
      <c r="TMT343" s="29"/>
      <c r="TMU343" s="29"/>
      <c r="TMV343" s="29"/>
      <c r="TMW343" s="29"/>
      <c r="TMX343" s="29"/>
      <c r="TMY343" s="29"/>
      <c r="TMZ343" s="29"/>
      <c r="TNA343" s="29"/>
      <c r="TNB343" s="29"/>
      <c r="TNC343" s="29"/>
      <c r="TND343" s="29"/>
      <c r="TNE343" s="29"/>
      <c r="TNF343" s="29"/>
      <c r="TNG343" s="29"/>
      <c r="TNH343" s="29"/>
      <c r="TNI343" s="29"/>
      <c r="TNJ343" s="29"/>
      <c r="TNK343" s="29"/>
      <c r="TNL343" s="29"/>
      <c r="TNM343" s="29"/>
      <c r="TNN343" s="29"/>
      <c r="TNO343" s="29"/>
      <c r="TNP343" s="29"/>
      <c r="TNQ343" s="29"/>
      <c r="TNR343" s="29"/>
      <c r="TNS343" s="29"/>
      <c r="TNT343" s="29"/>
      <c r="TNU343" s="29"/>
      <c r="TNV343" s="29"/>
      <c r="TNW343" s="29"/>
      <c r="TNX343" s="29"/>
      <c r="TNY343" s="29"/>
      <c r="TNZ343" s="29"/>
      <c r="TOA343" s="29"/>
      <c r="TOB343" s="29"/>
      <c r="TOC343" s="29"/>
      <c r="TOD343" s="29"/>
      <c r="TOE343" s="29"/>
      <c r="TOF343" s="29"/>
      <c r="TOG343" s="29"/>
      <c r="TOH343" s="29"/>
      <c r="TOI343" s="29"/>
      <c r="TOJ343" s="29"/>
      <c r="TOK343" s="29"/>
      <c r="TOL343" s="29"/>
      <c r="TOM343" s="29"/>
      <c r="TON343" s="29"/>
      <c r="TOO343" s="29"/>
      <c r="TOP343" s="29"/>
      <c r="TOQ343" s="29"/>
      <c r="TOR343" s="29"/>
      <c r="TOS343" s="29"/>
      <c r="TOT343" s="29"/>
      <c r="TOU343" s="29"/>
      <c r="TOV343" s="29"/>
      <c r="TOW343" s="29"/>
      <c r="TOX343" s="29"/>
      <c r="TOY343" s="29"/>
      <c r="TOZ343" s="29"/>
      <c r="TPA343" s="29"/>
      <c r="TPB343" s="29"/>
      <c r="TPC343" s="29"/>
      <c r="TPD343" s="29"/>
      <c r="TPE343" s="29"/>
      <c r="TPF343" s="29"/>
      <c r="TPG343" s="29"/>
      <c r="TPH343" s="29"/>
      <c r="TPI343" s="29"/>
      <c r="TPJ343" s="29"/>
      <c r="TPK343" s="29"/>
      <c r="TPL343" s="29"/>
      <c r="TPM343" s="29"/>
      <c r="TPN343" s="29"/>
      <c r="TPO343" s="29"/>
      <c r="TPP343" s="29"/>
      <c r="TPQ343" s="29"/>
      <c r="TPR343" s="29"/>
      <c r="TPS343" s="29"/>
      <c r="TPT343" s="29"/>
      <c r="TPU343" s="29"/>
      <c r="TPV343" s="29"/>
      <c r="TPW343" s="29"/>
      <c r="TPX343" s="29"/>
      <c r="TPY343" s="29"/>
      <c r="TPZ343" s="29"/>
      <c r="TQA343" s="29"/>
      <c r="TQB343" s="29"/>
      <c r="TQC343" s="29"/>
      <c r="TQD343" s="29"/>
      <c r="TQE343" s="29"/>
      <c r="TQF343" s="29"/>
      <c r="TQG343" s="29"/>
      <c r="TQH343" s="29"/>
      <c r="TQI343" s="29"/>
      <c r="TQJ343" s="29"/>
      <c r="TQK343" s="29"/>
      <c r="TQL343" s="29"/>
      <c r="TQM343" s="29"/>
      <c r="TQN343" s="29"/>
      <c r="TQO343" s="29"/>
      <c r="TQP343" s="29"/>
      <c r="TQQ343" s="29"/>
      <c r="TQR343" s="29"/>
      <c r="TQS343" s="29"/>
      <c r="TQT343" s="29"/>
      <c r="TQU343" s="29"/>
      <c r="TQV343" s="29"/>
      <c r="TQW343" s="29"/>
      <c r="TQX343" s="29"/>
      <c r="TQY343" s="29"/>
      <c r="TQZ343" s="29"/>
      <c r="TRA343" s="29"/>
      <c r="TRB343" s="29"/>
      <c r="TRC343" s="29"/>
      <c r="TRD343" s="29"/>
      <c r="TRE343" s="29"/>
      <c r="TRF343" s="29"/>
      <c r="TRG343" s="29"/>
      <c r="TRH343" s="29"/>
      <c r="TRI343" s="29"/>
      <c r="TRJ343" s="29"/>
      <c r="TRK343" s="29"/>
      <c r="TRL343" s="29"/>
      <c r="TRM343" s="29"/>
      <c r="TRN343" s="29"/>
      <c r="TRO343" s="29"/>
      <c r="TRP343" s="29"/>
      <c r="TRQ343" s="29"/>
      <c r="TRR343" s="29"/>
      <c r="TRS343" s="29"/>
      <c r="TRT343" s="29"/>
      <c r="TRU343" s="29"/>
      <c r="TRV343" s="29"/>
      <c r="TRW343" s="29"/>
      <c r="TRX343" s="29"/>
      <c r="TRY343" s="29"/>
      <c r="TRZ343" s="29"/>
      <c r="TSA343" s="29"/>
      <c r="TSB343" s="29"/>
      <c r="TSC343" s="29"/>
      <c r="TSD343" s="29"/>
      <c r="TSE343" s="29"/>
      <c r="TSF343" s="29"/>
      <c r="TSG343" s="29"/>
      <c r="TSH343" s="29"/>
      <c r="TSI343" s="29"/>
      <c r="TSJ343" s="29"/>
      <c r="TSK343" s="29"/>
      <c r="TSL343" s="29"/>
      <c r="TSM343" s="29"/>
      <c r="TSN343" s="29"/>
      <c r="TSO343" s="29"/>
      <c r="TSP343" s="29"/>
      <c r="TSQ343" s="29"/>
      <c r="TSR343" s="29"/>
      <c r="TSS343" s="29"/>
      <c r="TST343" s="29"/>
      <c r="TSU343" s="29"/>
      <c r="TSV343" s="29"/>
      <c r="TSW343" s="29"/>
      <c r="TSX343" s="29"/>
      <c r="TSY343" s="29"/>
      <c r="TSZ343" s="29"/>
      <c r="TTA343" s="29"/>
      <c r="TTB343" s="29"/>
      <c r="TTC343" s="29"/>
      <c r="TTD343" s="29"/>
      <c r="TTE343" s="29"/>
      <c r="TTF343" s="29"/>
      <c r="TTG343" s="29"/>
      <c r="TTH343" s="29"/>
      <c r="TTI343" s="29"/>
      <c r="TTJ343" s="29"/>
      <c r="TTK343" s="29"/>
      <c r="TTL343" s="29"/>
      <c r="TTM343" s="29"/>
      <c r="TTN343" s="29"/>
      <c r="TTO343" s="29"/>
      <c r="TTP343" s="29"/>
      <c r="TTQ343" s="29"/>
      <c r="TTR343" s="29"/>
      <c r="TTS343" s="29"/>
      <c r="TTT343" s="29"/>
      <c r="TTU343" s="29"/>
      <c r="TTV343" s="29"/>
      <c r="TTW343" s="29"/>
      <c r="TTX343" s="29"/>
      <c r="TTY343" s="29"/>
      <c r="TTZ343" s="29"/>
      <c r="TUA343" s="29"/>
      <c r="TUB343" s="29"/>
      <c r="TUC343" s="29"/>
      <c r="TUD343" s="29"/>
      <c r="TUE343" s="29"/>
      <c r="TUF343" s="29"/>
      <c r="TUG343" s="29"/>
      <c r="TUH343" s="29"/>
      <c r="TUI343" s="29"/>
      <c r="TUJ343" s="29"/>
      <c r="TUK343" s="29"/>
      <c r="TUL343" s="29"/>
      <c r="TUM343" s="29"/>
      <c r="TUN343" s="29"/>
      <c r="TUO343" s="29"/>
      <c r="TUP343" s="29"/>
      <c r="TUQ343" s="29"/>
      <c r="TUR343" s="29"/>
      <c r="TUS343" s="29"/>
      <c r="TUT343" s="29"/>
      <c r="TUU343" s="29"/>
      <c r="TUV343" s="29"/>
      <c r="TUW343" s="29"/>
      <c r="TUX343" s="29"/>
      <c r="TUY343" s="29"/>
      <c r="TUZ343" s="29"/>
      <c r="TVA343" s="29"/>
      <c r="TVB343" s="29"/>
      <c r="TVC343" s="29"/>
      <c r="TVD343" s="29"/>
      <c r="TVE343" s="29"/>
      <c r="TVF343" s="29"/>
      <c r="TVG343" s="29"/>
      <c r="TVH343" s="29"/>
      <c r="TVI343" s="29"/>
      <c r="TVJ343" s="29"/>
      <c r="TVK343" s="29"/>
      <c r="TVL343" s="29"/>
      <c r="TVM343" s="29"/>
      <c r="TVN343" s="29"/>
      <c r="TVO343" s="29"/>
      <c r="TVP343" s="29"/>
      <c r="TVQ343" s="29"/>
      <c r="TVR343" s="29"/>
      <c r="TVS343" s="29"/>
      <c r="TVT343" s="29"/>
      <c r="TVU343" s="29"/>
      <c r="TVV343" s="29"/>
      <c r="TVW343" s="29"/>
      <c r="TVX343" s="29"/>
      <c r="TVY343" s="29"/>
      <c r="TVZ343" s="29"/>
      <c r="TWA343" s="29"/>
      <c r="TWB343" s="29"/>
      <c r="TWC343" s="29"/>
      <c r="TWD343" s="29"/>
      <c r="TWE343" s="29"/>
      <c r="TWF343" s="29"/>
      <c r="TWG343" s="29"/>
      <c r="TWH343" s="29"/>
      <c r="TWI343" s="29"/>
      <c r="TWJ343" s="29"/>
      <c r="TWK343" s="29"/>
      <c r="TWL343" s="29"/>
      <c r="TWM343" s="29"/>
      <c r="TWN343" s="29"/>
      <c r="TWO343" s="29"/>
      <c r="TWP343" s="29"/>
      <c r="TWQ343" s="29"/>
      <c r="TWR343" s="29"/>
      <c r="TWS343" s="29"/>
      <c r="TWT343" s="29"/>
      <c r="TWU343" s="29"/>
      <c r="TWV343" s="29"/>
      <c r="TWW343" s="29"/>
      <c r="TWX343" s="29"/>
      <c r="TWY343" s="29"/>
      <c r="TWZ343" s="29"/>
      <c r="TXA343" s="29"/>
      <c r="TXB343" s="29"/>
      <c r="TXC343" s="29"/>
      <c r="TXD343" s="29"/>
      <c r="TXE343" s="29"/>
      <c r="TXF343" s="29"/>
      <c r="TXG343" s="29"/>
      <c r="TXH343" s="29"/>
      <c r="TXI343" s="29"/>
      <c r="TXJ343" s="29"/>
      <c r="TXK343" s="29"/>
      <c r="TXL343" s="29"/>
      <c r="TXM343" s="29"/>
      <c r="TXN343" s="29"/>
      <c r="TXO343" s="29"/>
      <c r="TXP343" s="29"/>
      <c r="TXQ343" s="29"/>
      <c r="TXR343" s="29"/>
      <c r="TXS343" s="29"/>
      <c r="TXT343" s="29"/>
      <c r="TXU343" s="29"/>
      <c r="TXV343" s="29"/>
      <c r="TXW343" s="29"/>
      <c r="TXX343" s="29"/>
      <c r="TXY343" s="29"/>
      <c r="TXZ343" s="29"/>
      <c r="TYA343" s="29"/>
      <c r="TYB343" s="29"/>
      <c r="TYC343" s="29"/>
      <c r="TYD343" s="29"/>
      <c r="TYE343" s="29"/>
      <c r="TYF343" s="29"/>
      <c r="TYG343" s="29"/>
      <c r="TYH343" s="29"/>
      <c r="TYI343" s="29"/>
      <c r="TYJ343" s="29"/>
      <c r="TYK343" s="29"/>
      <c r="TYL343" s="29"/>
      <c r="TYM343" s="29"/>
      <c r="TYN343" s="29"/>
      <c r="TYO343" s="29"/>
      <c r="TYP343" s="29"/>
      <c r="TYQ343" s="29"/>
      <c r="TYR343" s="29"/>
      <c r="TYS343" s="29"/>
      <c r="TYT343" s="29"/>
      <c r="TYU343" s="29"/>
      <c r="TYV343" s="29"/>
      <c r="TYW343" s="29"/>
      <c r="TYX343" s="29"/>
      <c r="TYY343" s="29"/>
      <c r="TYZ343" s="29"/>
      <c r="TZA343" s="29"/>
      <c r="TZB343" s="29"/>
      <c r="TZC343" s="29"/>
      <c r="TZD343" s="29"/>
      <c r="TZE343" s="29"/>
      <c r="TZF343" s="29"/>
      <c r="TZG343" s="29"/>
      <c r="TZH343" s="29"/>
      <c r="TZI343" s="29"/>
      <c r="TZJ343" s="29"/>
      <c r="TZK343" s="29"/>
      <c r="TZL343" s="29"/>
      <c r="TZM343" s="29"/>
      <c r="TZN343" s="29"/>
      <c r="TZO343" s="29"/>
      <c r="TZP343" s="29"/>
      <c r="TZQ343" s="29"/>
      <c r="TZR343" s="29"/>
      <c r="TZS343" s="29"/>
      <c r="TZT343" s="29"/>
      <c r="TZU343" s="29"/>
      <c r="TZV343" s="29"/>
      <c r="TZW343" s="29"/>
      <c r="TZX343" s="29"/>
      <c r="TZY343" s="29"/>
      <c r="TZZ343" s="29"/>
      <c r="UAA343" s="29"/>
      <c r="UAB343" s="29"/>
      <c r="UAC343" s="29"/>
      <c r="UAD343" s="29"/>
      <c r="UAE343" s="29"/>
      <c r="UAF343" s="29"/>
      <c r="UAG343" s="29"/>
      <c r="UAH343" s="29"/>
      <c r="UAI343" s="29"/>
      <c r="UAJ343" s="29"/>
      <c r="UAK343" s="29"/>
      <c r="UAL343" s="29"/>
      <c r="UAM343" s="29"/>
      <c r="UAN343" s="29"/>
      <c r="UAO343" s="29"/>
      <c r="UAP343" s="29"/>
      <c r="UAQ343" s="29"/>
      <c r="UAR343" s="29"/>
      <c r="UAS343" s="29"/>
      <c r="UAT343" s="29"/>
      <c r="UAU343" s="29"/>
      <c r="UAV343" s="29"/>
      <c r="UAW343" s="29"/>
      <c r="UAX343" s="29"/>
      <c r="UAY343" s="29"/>
      <c r="UAZ343" s="29"/>
      <c r="UBA343" s="29"/>
      <c r="UBB343" s="29"/>
      <c r="UBC343" s="29"/>
      <c r="UBD343" s="29"/>
      <c r="UBE343" s="29"/>
      <c r="UBF343" s="29"/>
      <c r="UBG343" s="29"/>
      <c r="UBH343" s="29"/>
      <c r="UBI343" s="29"/>
      <c r="UBJ343" s="29"/>
      <c r="UBK343" s="29"/>
      <c r="UBL343" s="29"/>
      <c r="UBM343" s="29"/>
      <c r="UBN343" s="29"/>
      <c r="UBO343" s="29"/>
      <c r="UBP343" s="29"/>
      <c r="UBQ343" s="29"/>
      <c r="UBR343" s="29"/>
      <c r="UBS343" s="29"/>
      <c r="UBT343" s="29"/>
      <c r="UBU343" s="29"/>
      <c r="UBV343" s="29"/>
      <c r="UBW343" s="29"/>
      <c r="UBX343" s="29"/>
      <c r="UBY343" s="29"/>
      <c r="UBZ343" s="29"/>
      <c r="UCA343" s="29"/>
      <c r="UCB343" s="29"/>
      <c r="UCC343" s="29"/>
      <c r="UCD343" s="29"/>
      <c r="UCE343" s="29"/>
      <c r="UCF343" s="29"/>
      <c r="UCG343" s="29"/>
      <c r="UCH343" s="29"/>
      <c r="UCI343" s="29"/>
      <c r="UCJ343" s="29"/>
      <c r="UCK343" s="29"/>
      <c r="UCL343" s="29"/>
      <c r="UCM343" s="29"/>
      <c r="UCN343" s="29"/>
      <c r="UCO343" s="29"/>
      <c r="UCP343" s="29"/>
      <c r="UCQ343" s="29"/>
      <c r="UCR343" s="29"/>
      <c r="UCS343" s="29"/>
      <c r="UCT343" s="29"/>
      <c r="UCU343" s="29"/>
      <c r="UCV343" s="29"/>
      <c r="UCW343" s="29"/>
      <c r="UCX343" s="29"/>
      <c r="UCY343" s="29"/>
      <c r="UCZ343" s="29"/>
      <c r="UDA343" s="29"/>
      <c r="UDB343" s="29"/>
      <c r="UDC343" s="29"/>
      <c r="UDD343" s="29"/>
      <c r="UDE343" s="29"/>
      <c r="UDF343" s="29"/>
      <c r="UDG343" s="29"/>
      <c r="UDH343" s="29"/>
      <c r="UDI343" s="29"/>
      <c r="UDJ343" s="29"/>
      <c r="UDK343" s="29"/>
      <c r="UDL343" s="29"/>
      <c r="UDM343" s="29"/>
      <c r="UDN343" s="29"/>
      <c r="UDO343" s="29"/>
      <c r="UDP343" s="29"/>
      <c r="UDQ343" s="29"/>
      <c r="UDR343" s="29"/>
      <c r="UDS343" s="29"/>
      <c r="UDT343" s="29"/>
      <c r="UDU343" s="29"/>
      <c r="UDV343" s="29"/>
      <c r="UDW343" s="29"/>
      <c r="UDX343" s="29"/>
      <c r="UDY343" s="29"/>
      <c r="UDZ343" s="29"/>
      <c r="UEA343" s="29"/>
      <c r="UEB343" s="29"/>
      <c r="UEC343" s="29"/>
      <c r="UED343" s="29"/>
      <c r="UEE343" s="29"/>
      <c r="UEF343" s="29"/>
      <c r="UEG343" s="29"/>
      <c r="UEH343" s="29"/>
      <c r="UEI343" s="29"/>
      <c r="UEJ343" s="29"/>
      <c r="UEK343" s="29"/>
      <c r="UEL343" s="29"/>
      <c r="UEM343" s="29"/>
      <c r="UEN343" s="29"/>
      <c r="UEO343" s="29"/>
      <c r="UEP343" s="29"/>
      <c r="UEQ343" s="29"/>
      <c r="UER343" s="29"/>
      <c r="UES343" s="29"/>
      <c r="UET343" s="29"/>
      <c r="UEU343" s="29"/>
      <c r="UEV343" s="29"/>
      <c r="UEW343" s="29"/>
      <c r="UEX343" s="29"/>
      <c r="UEY343" s="29"/>
      <c r="UEZ343" s="29"/>
      <c r="UFA343" s="29"/>
      <c r="UFB343" s="29"/>
      <c r="UFC343" s="29"/>
      <c r="UFD343" s="29"/>
      <c r="UFE343" s="29"/>
      <c r="UFF343" s="29"/>
      <c r="UFG343" s="29"/>
      <c r="UFH343" s="29"/>
      <c r="UFI343" s="29"/>
      <c r="UFJ343" s="29"/>
      <c r="UFK343" s="29"/>
      <c r="UFL343" s="29"/>
      <c r="UFM343" s="29"/>
      <c r="UFN343" s="29"/>
      <c r="UFO343" s="29"/>
      <c r="UFP343" s="29"/>
      <c r="UFQ343" s="29"/>
      <c r="UFR343" s="29"/>
      <c r="UFS343" s="29"/>
      <c r="UFT343" s="29"/>
      <c r="UFU343" s="29"/>
      <c r="UFV343" s="29"/>
      <c r="UFW343" s="29"/>
      <c r="UFX343" s="29"/>
      <c r="UFY343" s="29"/>
      <c r="UFZ343" s="29"/>
      <c r="UGA343" s="29"/>
      <c r="UGB343" s="29"/>
      <c r="UGC343" s="29"/>
      <c r="UGD343" s="29"/>
      <c r="UGE343" s="29"/>
      <c r="UGF343" s="29"/>
      <c r="UGG343" s="29"/>
      <c r="UGH343" s="29"/>
      <c r="UGI343" s="29"/>
      <c r="UGJ343" s="29"/>
      <c r="UGK343" s="29"/>
      <c r="UGL343" s="29"/>
      <c r="UGM343" s="29"/>
      <c r="UGN343" s="29"/>
      <c r="UGO343" s="29"/>
      <c r="UGP343" s="29"/>
      <c r="UGQ343" s="29"/>
      <c r="UGR343" s="29"/>
      <c r="UGS343" s="29"/>
      <c r="UGT343" s="29"/>
      <c r="UGU343" s="29"/>
      <c r="UGV343" s="29"/>
      <c r="UGW343" s="29"/>
      <c r="UGX343" s="29"/>
      <c r="UGY343" s="29"/>
      <c r="UGZ343" s="29"/>
      <c r="UHA343" s="29"/>
      <c r="UHB343" s="29"/>
      <c r="UHC343" s="29"/>
      <c r="UHD343" s="29"/>
      <c r="UHE343" s="29"/>
      <c r="UHF343" s="29"/>
      <c r="UHG343" s="29"/>
      <c r="UHH343" s="29"/>
      <c r="UHI343" s="29"/>
      <c r="UHJ343" s="29"/>
      <c r="UHK343" s="29"/>
      <c r="UHL343" s="29"/>
      <c r="UHM343" s="29"/>
      <c r="UHN343" s="29"/>
      <c r="UHO343" s="29"/>
      <c r="UHP343" s="29"/>
      <c r="UHQ343" s="29"/>
      <c r="UHR343" s="29"/>
      <c r="UHS343" s="29"/>
      <c r="UHT343" s="29"/>
      <c r="UHU343" s="29"/>
      <c r="UHV343" s="29"/>
      <c r="UHW343" s="29"/>
      <c r="UHX343" s="29"/>
      <c r="UHY343" s="29"/>
      <c r="UHZ343" s="29"/>
      <c r="UIA343" s="29"/>
      <c r="UIB343" s="29"/>
      <c r="UIC343" s="29"/>
      <c r="UID343" s="29"/>
      <c r="UIE343" s="29"/>
      <c r="UIF343" s="29"/>
      <c r="UIG343" s="29"/>
      <c r="UIH343" s="29"/>
      <c r="UII343" s="29"/>
      <c r="UIJ343" s="29"/>
      <c r="UIK343" s="29"/>
      <c r="UIL343" s="29"/>
      <c r="UIM343" s="29"/>
      <c r="UIN343" s="29"/>
      <c r="UIO343" s="29"/>
      <c r="UIP343" s="29"/>
      <c r="UIQ343" s="29"/>
      <c r="UIR343" s="29"/>
      <c r="UIS343" s="29"/>
      <c r="UIT343" s="29"/>
      <c r="UIU343" s="29"/>
      <c r="UIV343" s="29"/>
      <c r="UIW343" s="29"/>
      <c r="UIX343" s="29"/>
      <c r="UIY343" s="29"/>
      <c r="UIZ343" s="29"/>
      <c r="UJA343" s="29"/>
      <c r="UJB343" s="29"/>
      <c r="UJC343" s="29"/>
      <c r="UJD343" s="29"/>
      <c r="UJE343" s="29"/>
      <c r="UJF343" s="29"/>
      <c r="UJG343" s="29"/>
      <c r="UJH343" s="29"/>
      <c r="UJI343" s="29"/>
      <c r="UJJ343" s="29"/>
      <c r="UJK343" s="29"/>
      <c r="UJL343" s="29"/>
      <c r="UJM343" s="29"/>
      <c r="UJN343" s="29"/>
      <c r="UJO343" s="29"/>
      <c r="UJP343" s="29"/>
      <c r="UJQ343" s="29"/>
      <c r="UJR343" s="29"/>
      <c r="UJS343" s="29"/>
      <c r="UJT343" s="29"/>
      <c r="UJU343" s="29"/>
      <c r="UJV343" s="29"/>
      <c r="UJW343" s="29"/>
      <c r="UJX343" s="29"/>
      <c r="UJY343" s="29"/>
      <c r="UJZ343" s="29"/>
      <c r="UKA343" s="29"/>
      <c r="UKB343" s="29"/>
      <c r="UKC343" s="29"/>
      <c r="UKD343" s="29"/>
      <c r="UKE343" s="29"/>
      <c r="UKF343" s="29"/>
      <c r="UKG343" s="29"/>
      <c r="UKH343" s="29"/>
      <c r="UKI343" s="29"/>
      <c r="UKJ343" s="29"/>
      <c r="UKK343" s="29"/>
      <c r="UKL343" s="29"/>
      <c r="UKM343" s="29"/>
      <c r="UKN343" s="29"/>
      <c r="UKO343" s="29"/>
      <c r="UKP343" s="29"/>
      <c r="UKQ343" s="29"/>
      <c r="UKR343" s="29"/>
      <c r="UKS343" s="29"/>
      <c r="UKT343" s="29"/>
      <c r="UKU343" s="29"/>
      <c r="UKV343" s="29"/>
      <c r="UKW343" s="29"/>
      <c r="UKX343" s="29"/>
      <c r="UKY343" s="29"/>
      <c r="UKZ343" s="29"/>
      <c r="ULA343" s="29"/>
      <c r="ULB343" s="29"/>
      <c r="ULC343" s="29"/>
      <c r="ULD343" s="29"/>
      <c r="ULE343" s="29"/>
      <c r="ULF343" s="29"/>
      <c r="ULG343" s="29"/>
      <c r="ULH343" s="29"/>
      <c r="ULI343" s="29"/>
      <c r="ULJ343" s="29"/>
      <c r="ULK343" s="29"/>
      <c r="ULL343" s="29"/>
      <c r="ULM343" s="29"/>
      <c r="ULN343" s="29"/>
      <c r="ULO343" s="29"/>
      <c r="ULP343" s="29"/>
      <c r="ULQ343" s="29"/>
      <c r="ULR343" s="29"/>
      <c r="ULS343" s="29"/>
      <c r="ULT343" s="29"/>
      <c r="ULU343" s="29"/>
      <c r="ULV343" s="29"/>
      <c r="ULW343" s="29"/>
      <c r="ULX343" s="29"/>
      <c r="ULY343" s="29"/>
      <c r="ULZ343" s="29"/>
      <c r="UMA343" s="29"/>
      <c r="UMB343" s="29"/>
      <c r="UMC343" s="29"/>
      <c r="UMD343" s="29"/>
      <c r="UME343" s="29"/>
      <c r="UMF343" s="29"/>
      <c r="UMG343" s="29"/>
      <c r="UMH343" s="29"/>
      <c r="UMI343" s="29"/>
      <c r="UMJ343" s="29"/>
      <c r="UMK343" s="29"/>
      <c r="UML343" s="29"/>
      <c r="UMM343" s="29"/>
      <c r="UMN343" s="29"/>
      <c r="UMO343" s="29"/>
      <c r="UMP343" s="29"/>
      <c r="UMQ343" s="29"/>
      <c r="UMR343" s="29"/>
      <c r="UMS343" s="29"/>
      <c r="UMT343" s="29"/>
      <c r="UMU343" s="29"/>
      <c r="UMV343" s="29"/>
      <c r="UMW343" s="29"/>
      <c r="UMX343" s="29"/>
      <c r="UMY343" s="29"/>
      <c r="UMZ343" s="29"/>
      <c r="UNA343" s="29"/>
      <c r="UNB343" s="29"/>
      <c r="UNC343" s="29"/>
      <c r="UND343" s="29"/>
      <c r="UNE343" s="29"/>
      <c r="UNF343" s="29"/>
      <c r="UNG343" s="29"/>
      <c r="UNH343" s="29"/>
      <c r="UNI343" s="29"/>
      <c r="UNJ343" s="29"/>
      <c r="UNK343" s="29"/>
      <c r="UNL343" s="29"/>
      <c r="UNM343" s="29"/>
      <c r="UNN343" s="29"/>
      <c r="UNO343" s="29"/>
      <c r="UNP343" s="29"/>
      <c r="UNQ343" s="29"/>
      <c r="UNR343" s="29"/>
      <c r="UNS343" s="29"/>
      <c r="UNT343" s="29"/>
      <c r="UNU343" s="29"/>
      <c r="UNV343" s="29"/>
      <c r="UNW343" s="29"/>
      <c r="UNX343" s="29"/>
      <c r="UNY343" s="29"/>
      <c r="UNZ343" s="29"/>
      <c r="UOA343" s="29"/>
      <c r="UOB343" s="29"/>
      <c r="UOC343" s="29"/>
      <c r="UOD343" s="29"/>
      <c r="UOE343" s="29"/>
      <c r="UOF343" s="29"/>
      <c r="UOG343" s="29"/>
      <c r="UOH343" s="29"/>
      <c r="UOI343" s="29"/>
      <c r="UOJ343" s="29"/>
      <c r="UOK343" s="29"/>
      <c r="UOL343" s="29"/>
      <c r="UOM343" s="29"/>
      <c r="UON343" s="29"/>
      <c r="UOO343" s="29"/>
      <c r="UOP343" s="29"/>
      <c r="UOQ343" s="29"/>
      <c r="UOR343" s="29"/>
      <c r="UOS343" s="29"/>
      <c r="UOT343" s="29"/>
      <c r="UOU343" s="29"/>
      <c r="UOV343" s="29"/>
      <c r="UOW343" s="29"/>
      <c r="UOX343" s="29"/>
      <c r="UOY343" s="29"/>
      <c r="UOZ343" s="29"/>
      <c r="UPA343" s="29"/>
      <c r="UPB343" s="29"/>
      <c r="UPC343" s="29"/>
      <c r="UPD343" s="29"/>
      <c r="UPE343" s="29"/>
      <c r="UPF343" s="29"/>
      <c r="UPG343" s="29"/>
      <c r="UPH343" s="29"/>
      <c r="UPI343" s="29"/>
      <c r="UPJ343" s="29"/>
      <c r="UPK343" s="29"/>
      <c r="UPL343" s="29"/>
      <c r="UPM343" s="29"/>
      <c r="UPN343" s="29"/>
      <c r="UPO343" s="29"/>
      <c r="UPP343" s="29"/>
      <c r="UPQ343" s="29"/>
      <c r="UPR343" s="29"/>
      <c r="UPS343" s="29"/>
      <c r="UPT343" s="29"/>
      <c r="UPU343" s="29"/>
      <c r="UPV343" s="29"/>
      <c r="UPW343" s="29"/>
      <c r="UPX343" s="29"/>
      <c r="UPY343" s="29"/>
      <c r="UPZ343" s="29"/>
      <c r="UQA343" s="29"/>
      <c r="UQB343" s="29"/>
      <c r="UQC343" s="29"/>
      <c r="UQD343" s="29"/>
      <c r="UQE343" s="29"/>
      <c r="UQF343" s="29"/>
      <c r="UQG343" s="29"/>
      <c r="UQH343" s="29"/>
      <c r="UQI343" s="29"/>
      <c r="UQJ343" s="29"/>
      <c r="UQK343" s="29"/>
      <c r="UQL343" s="29"/>
      <c r="UQM343" s="29"/>
      <c r="UQN343" s="29"/>
      <c r="UQO343" s="29"/>
      <c r="UQP343" s="29"/>
      <c r="UQQ343" s="29"/>
      <c r="UQR343" s="29"/>
      <c r="UQS343" s="29"/>
      <c r="UQT343" s="29"/>
      <c r="UQU343" s="29"/>
      <c r="UQV343" s="29"/>
      <c r="UQW343" s="29"/>
      <c r="UQX343" s="29"/>
      <c r="UQY343" s="29"/>
      <c r="UQZ343" s="29"/>
      <c r="URA343" s="29"/>
      <c r="URB343" s="29"/>
      <c r="URC343" s="29"/>
      <c r="URD343" s="29"/>
      <c r="URE343" s="29"/>
      <c r="URF343" s="29"/>
      <c r="URG343" s="29"/>
      <c r="URH343" s="29"/>
      <c r="URI343" s="29"/>
      <c r="URJ343" s="29"/>
      <c r="URK343" s="29"/>
      <c r="URL343" s="29"/>
      <c r="URM343" s="29"/>
      <c r="URN343" s="29"/>
      <c r="URO343" s="29"/>
      <c r="URP343" s="29"/>
      <c r="URQ343" s="29"/>
      <c r="URR343" s="29"/>
      <c r="URS343" s="29"/>
      <c r="URT343" s="29"/>
      <c r="URU343" s="29"/>
      <c r="URV343" s="29"/>
      <c r="URW343" s="29"/>
      <c r="URX343" s="29"/>
      <c r="URY343" s="29"/>
      <c r="URZ343" s="29"/>
      <c r="USA343" s="29"/>
      <c r="USB343" s="29"/>
      <c r="USC343" s="29"/>
      <c r="USD343" s="29"/>
      <c r="USE343" s="29"/>
      <c r="USF343" s="29"/>
      <c r="USG343" s="29"/>
      <c r="USH343" s="29"/>
      <c r="USI343" s="29"/>
      <c r="USJ343" s="29"/>
      <c r="USK343" s="29"/>
      <c r="USL343" s="29"/>
      <c r="USM343" s="29"/>
      <c r="USN343" s="29"/>
      <c r="USO343" s="29"/>
      <c r="USP343" s="29"/>
      <c r="USQ343" s="29"/>
      <c r="USR343" s="29"/>
      <c r="USS343" s="29"/>
      <c r="UST343" s="29"/>
      <c r="USU343" s="29"/>
      <c r="USV343" s="29"/>
      <c r="USW343" s="29"/>
      <c r="USX343" s="29"/>
      <c r="USY343" s="29"/>
      <c r="USZ343" s="29"/>
      <c r="UTA343" s="29"/>
      <c r="UTB343" s="29"/>
      <c r="UTC343" s="29"/>
      <c r="UTD343" s="29"/>
      <c r="UTE343" s="29"/>
      <c r="UTF343" s="29"/>
      <c r="UTG343" s="29"/>
      <c r="UTH343" s="29"/>
      <c r="UTI343" s="29"/>
      <c r="UTJ343" s="29"/>
      <c r="UTK343" s="29"/>
      <c r="UTL343" s="29"/>
      <c r="UTM343" s="29"/>
      <c r="UTN343" s="29"/>
      <c r="UTO343" s="29"/>
      <c r="UTP343" s="29"/>
      <c r="UTQ343" s="29"/>
      <c r="UTR343" s="29"/>
      <c r="UTS343" s="29"/>
      <c r="UTT343" s="29"/>
      <c r="UTU343" s="29"/>
      <c r="UTV343" s="29"/>
      <c r="UTW343" s="29"/>
      <c r="UTX343" s="29"/>
      <c r="UTY343" s="29"/>
      <c r="UTZ343" s="29"/>
      <c r="UUA343" s="29"/>
      <c r="UUB343" s="29"/>
      <c r="UUC343" s="29"/>
      <c r="UUD343" s="29"/>
      <c r="UUE343" s="29"/>
      <c r="UUF343" s="29"/>
      <c r="UUG343" s="29"/>
      <c r="UUH343" s="29"/>
      <c r="UUI343" s="29"/>
      <c r="UUJ343" s="29"/>
      <c r="UUK343" s="29"/>
      <c r="UUL343" s="29"/>
      <c r="UUM343" s="29"/>
      <c r="UUN343" s="29"/>
      <c r="UUO343" s="29"/>
      <c r="UUP343" s="29"/>
      <c r="UUQ343" s="29"/>
      <c r="UUR343" s="29"/>
      <c r="UUS343" s="29"/>
      <c r="UUT343" s="29"/>
      <c r="UUU343" s="29"/>
      <c r="UUV343" s="29"/>
      <c r="UUW343" s="29"/>
      <c r="UUX343" s="29"/>
      <c r="UUY343" s="29"/>
      <c r="UUZ343" s="29"/>
      <c r="UVA343" s="29"/>
      <c r="UVB343" s="29"/>
      <c r="UVC343" s="29"/>
      <c r="UVD343" s="29"/>
      <c r="UVE343" s="29"/>
      <c r="UVF343" s="29"/>
      <c r="UVG343" s="29"/>
      <c r="UVH343" s="29"/>
      <c r="UVI343" s="29"/>
      <c r="UVJ343" s="29"/>
      <c r="UVK343" s="29"/>
      <c r="UVL343" s="29"/>
      <c r="UVM343" s="29"/>
      <c r="UVN343" s="29"/>
      <c r="UVO343" s="29"/>
      <c r="UVP343" s="29"/>
      <c r="UVQ343" s="29"/>
      <c r="UVR343" s="29"/>
      <c r="UVS343" s="29"/>
      <c r="UVT343" s="29"/>
      <c r="UVU343" s="29"/>
      <c r="UVV343" s="29"/>
      <c r="UVW343" s="29"/>
      <c r="UVX343" s="29"/>
      <c r="UVY343" s="29"/>
      <c r="UVZ343" s="29"/>
      <c r="UWA343" s="29"/>
      <c r="UWB343" s="29"/>
      <c r="UWC343" s="29"/>
      <c r="UWD343" s="29"/>
      <c r="UWE343" s="29"/>
      <c r="UWF343" s="29"/>
      <c r="UWG343" s="29"/>
      <c r="UWH343" s="29"/>
      <c r="UWI343" s="29"/>
      <c r="UWJ343" s="29"/>
      <c r="UWK343" s="29"/>
      <c r="UWL343" s="29"/>
      <c r="UWM343" s="29"/>
      <c r="UWN343" s="29"/>
      <c r="UWO343" s="29"/>
      <c r="UWP343" s="29"/>
      <c r="UWQ343" s="29"/>
      <c r="UWR343" s="29"/>
      <c r="UWS343" s="29"/>
      <c r="UWT343" s="29"/>
      <c r="UWU343" s="29"/>
      <c r="UWV343" s="29"/>
      <c r="UWW343" s="29"/>
      <c r="UWX343" s="29"/>
      <c r="UWY343" s="29"/>
      <c r="UWZ343" s="29"/>
      <c r="UXA343" s="29"/>
      <c r="UXB343" s="29"/>
      <c r="UXC343" s="29"/>
      <c r="UXD343" s="29"/>
      <c r="UXE343" s="29"/>
      <c r="UXF343" s="29"/>
      <c r="UXG343" s="29"/>
      <c r="UXH343" s="29"/>
      <c r="UXI343" s="29"/>
      <c r="UXJ343" s="29"/>
      <c r="UXK343" s="29"/>
      <c r="UXL343" s="29"/>
      <c r="UXM343" s="29"/>
      <c r="UXN343" s="29"/>
      <c r="UXO343" s="29"/>
      <c r="UXP343" s="29"/>
      <c r="UXQ343" s="29"/>
      <c r="UXR343" s="29"/>
      <c r="UXS343" s="29"/>
      <c r="UXT343" s="29"/>
      <c r="UXU343" s="29"/>
      <c r="UXV343" s="29"/>
      <c r="UXW343" s="29"/>
      <c r="UXX343" s="29"/>
      <c r="UXY343" s="29"/>
      <c r="UXZ343" s="29"/>
      <c r="UYA343" s="29"/>
      <c r="UYB343" s="29"/>
      <c r="UYC343" s="29"/>
      <c r="UYD343" s="29"/>
      <c r="UYE343" s="29"/>
      <c r="UYF343" s="29"/>
      <c r="UYG343" s="29"/>
      <c r="UYH343" s="29"/>
      <c r="UYI343" s="29"/>
      <c r="UYJ343" s="29"/>
      <c r="UYK343" s="29"/>
      <c r="UYL343" s="29"/>
      <c r="UYM343" s="29"/>
      <c r="UYN343" s="29"/>
      <c r="UYO343" s="29"/>
      <c r="UYP343" s="29"/>
      <c r="UYQ343" s="29"/>
      <c r="UYR343" s="29"/>
      <c r="UYS343" s="29"/>
      <c r="UYT343" s="29"/>
      <c r="UYU343" s="29"/>
      <c r="UYV343" s="29"/>
      <c r="UYW343" s="29"/>
      <c r="UYX343" s="29"/>
      <c r="UYY343" s="29"/>
      <c r="UYZ343" s="29"/>
      <c r="UZA343" s="29"/>
      <c r="UZB343" s="29"/>
      <c r="UZC343" s="29"/>
      <c r="UZD343" s="29"/>
      <c r="UZE343" s="29"/>
      <c r="UZF343" s="29"/>
      <c r="UZG343" s="29"/>
      <c r="UZH343" s="29"/>
      <c r="UZI343" s="29"/>
      <c r="UZJ343" s="29"/>
      <c r="UZK343" s="29"/>
      <c r="UZL343" s="29"/>
      <c r="UZM343" s="29"/>
      <c r="UZN343" s="29"/>
      <c r="UZO343" s="29"/>
      <c r="UZP343" s="29"/>
      <c r="UZQ343" s="29"/>
      <c r="UZR343" s="29"/>
      <c r="UZS343" s="29"/>
      <c r="UZT343" s="29"/>
      <c r="UZU343" s="29"/>
      <c r="UZV343" s="29"/>
      <c r="UZW343" s="29"/>
      <c r="UZX343" s="29"/>
      <c r="UZY343" s="29"/>
      <c r="UZZ343" s="29"/>
      <c r="VAA343" s="29"/>
      <c r="VAB343" s="29"/>
      <c r="VAC343" s="29"/>
      <c r="VAD343" s="29"/>
      <c r="VAE343" s="29"/>
      <c r="VAF343" s="29"/>
      <c r="VAG343" s="29"/>
      <c r="VAH343" s="29"/>
      <c r="VAI343" s="29"/>
      <c r="VAJ343" s="29"/>
      <c r="VAK343" s="29"/>
      <c r="VAL343" s="29"/>
      <c r="VAM343" s="29"/>
      <c r="VAN343" s="29"/>
      <c r="VAO343" s="29"/>
      <c r="VAP343" s="29"/>
      <c r="VAQ343" s="29"/>
      <c r="VAR343" s="29"/>
      <c r="VAS343" s="29"/>
      <c r="VAT343" s="29"/>
      <c r="VAU343" s="29"/>
      <c r="VAV343" s="29"/>
      <c r="VAW343" s="29"/>
      <c r="VAX343" s="29"/>
      <c r="VAY343" s="29"/>
      <c r="VAZ343" s="29"/>
      <c r="VBA343" s="29"/>
      <c r="VBB343" s="29"/>
      <c r="VBC343" s="29"/>
      <c r="VBD343" s="29"/>
      <c r="VBE343" s="29"/>
      <c r="VBF343" s="29"/>
      <c r="VBG343" s="29"/>
      <c r="VBH343" s="29"/>
      <c r="VBI343" s="29"/>
      <c r="VBJ343" s="29"/>
      <c r="VBK343" s="29"/>
      <c r="VBL343" s="29"/>
      <c r="VBM343" s="29"/>
      <c r="VBN343" s="29"/>
      <c r="VBO343" s="29"/>
      <c r="VBP343" s="29"/>
      <c r="VBQ343" s="29"/>
      <c r="VBR343" s="29"/>
      <c r="VBS343" s="29"/>
      <c r="VBT343" s="29"/>
      <c r="VBU343" s="29"/>
      <c r="VBV343" s="29"/>
      <c r="VBW343" s="29"/>
      <c r="VBX343" s="29"/>
      <c r="VBY343" s="29"/>
      <c r="VBZ343" s="29"/>
      <c r="VCA343" s="29"/>
      <c r="VCB343" s="29"/>
      <c r="VCC343" s="29"/>
      <c r="VCD343" s="29"/>
      <c r="VCE343" s="29"/>
      <c r="VCF343" s="29"/>
      <c r="VCG343" s="29"/>
      <c r="VCH343" s="29"/>
      <c r="VCI343" s="29"/>
      <c r="VCJ343" s="29"/>
      <c r="VCK343" s="29"/>
      <c r="VCL343" s="29"/>
      <c r="VCM343" s="29"/>
      <c r="VCN343" s="29"/>
      <c r="VCO343" s="29"/>
      <c r="VCP343" s="29"/>
      <c r="VCQ343" s="29"/>
      <c r="VCR343" s="29"/>
      <c r="VCS343" s="29"/>
      <c r="VCT343" s="29"/>
      <c r="VCU343" s="29"/>
      <c r="VCV343" s="29"/>
      <c r="VCW343" s="29"/>
      <c r="VCX343" s="29"/>
      <c r="VCY343" s="29"/>
      <c r="VCZ343" s="29"/>
      <c r="VDA343" s="29"/>
      <c r="VDB343" s="29"/>
      <c r="VDC343" s="29"/>
      <c r="VDD343" s="29"/>
      <c r="VDE343" s="29"/>
      <c r="VDF343" s="29"/>
      <c r="VDG343" s="29"/>
      <c r="VDH343" s="29"/>
      <c r="VDI343" s="29"/>
      <c r="VDJ343" s="29"/>
      <c r="VDK343" s="29"/>
      <c r="VDL343" s="29"/>
      <c r="VDM343" s="29"/>
      <c r="VDN343" s="29"/>
      <c r="VDO343" s="29"/>
      <c r="VDP343" s="29"/>
      <c r="VDQ343" s="29"/>
      <c r="VDR343" s="29"/>
      <c r="VDS343" s="29"/>
      <c r="VDT343" s="29"/>
      <c r="VDU343" s="29"/>
      <c r="VDV343" s="29"/>
      <c r="VDW343" s="29"/>
      <c r="VDX343" s="29"/>
      <c r="VDY343" s="29"/>
      <c r="VDZ343" s="29"/>
      <c r="VEA343" s="29"/>
      <c r="VEB343" s="29"/>
      <c r="VEC343" s="29"/>
      <c r="VED343" s="29"/>
      <c r="VEE343" s="29"/>
      <c r="VEF343" s="29"/>
      <c r="VEG343" s="29"/>
      <c r="VEH343" s="29"/>
      <c r="VEI343" s="29"/>
      <c r="VEJ343" s="29"/>
      <c r="VEK343" s="29"/>
      <c r="VEL343" s="29"/>
      <c r="VEM343" s="29"/>
      <c r="VEN343" s="29"/>
      <c r="VEO343" s="29"/>
      <c r="VEP343" s="29"/>
      <c r="VEQ343" s="29"/>
      <c r="VER343" s="29"/>
      <c r="VES343" s="29"/>
      <c r="VET343" s="29"/>
      <c r="VEU343" s="29"/>
      <c r="VEV343" s="29"/>
      <c r="VEW343" s="29"/>
      <c r="VEX343" s="29"/>
      <c r="VEY343" s="29"/>
      <c r="VEZ343" s="29"/>
      <c r="VFA343" s="29"/>
      <c r="VFB343" s="29"/>
      <c r="VFC343" s="29"/>
      <c r="VFD343" s="29"/>
      <c r="VFE343" s="29"/>
      <c r="VFF343" s="29"/>
      <c r="VFG343" s="29"/>
      <c r="VFH343" s="29"/>
      <c r="VFI343" s="29"/>
      <c r="VFJ343" s="29"/>
      <c r="VFK343" s="29"/>
      <c r="VFL343" s="29"/>
      <c r="VFM343" s="29"/>
      <c r="VFN343" s="29"/>
      <c r="VFO343" s="29"/>
      <c r="VFP343" s="29"/>
      <c r="VFQ343" s="29"/>
      <c r="VFR343" s="29"/>
      <c r="VFS343" s="29"/>
      <c r="VFT343" s="29"/>
      <c r="VFU343" s="29"/>
      <c r="VFV343" s="29"/>
      <c r="VFW343" s="29"/>
      <c r="VFX343" s="29"/>
      <c r="VFY343" s="29"/>
      <c r="VFZ343" s="29"/>
      <c r="VGA343" s="29"/>
      <c r="VGB343" s="29"/>
      <c r="VGC343" s="29"/>
      <c r="VGD343" s="29"/>
      <c r="VGE343" s="29"/>
      <c r="VGF343" s="29"/>
      <c r="VGG343" s="29"/>
      <c r="VGH343" s="29"/>
      <c r="VGI343" s="29"/>
      <c r="VGJ343" s="29"/>
      <c r="VGK343" s="29"/>
      <c r="VGL343" s="29"/>
      <c r="VGM343" s="29"/>
      <c r="VGN343" s="29"/>
      <c r="VGO343" s="29"/>
      <c r="VGP343" s="29"/>
      <c r="VGQ343" s="29"/>
      <c r="VGR343" s="29"/>
      <c r="VGS343" s="29"/>
      <c r="VGT343" s="29"/>
      <c r="VGU343" s="29"/>
      <c r="VGV343" s="29"/>
      <c r="VGW343" s="29"/>
      <c r="VGX343" s="29"/>
      <c r="VGY343" s="29"/>
      <c r="VGZ343" s="29"/>
      <c r="VHA343" s="29"/>
      <c r="VHB343" s="29"/>
      <c r="VHC343" s="29"/>
      <c r="VHD343" s="29"/>
      <c r="VHE343" s="29"/>
      <c r="VHF343" s="29"/>
      <c r="VHG343" s="29"/>
      <c r="VHH343" s="29"/>
      <c r="VHI343" s="29"/>
      <c r="VHJ343" s="29"/>
      <c r="VHK343" s="29"/>
      <c r="VHL343" s="29"/>
      <c r="VHM343" s="29"/>
      <c r="VHN343" s="29"/>
      <c r="VHO343" s="29"/>
      <c r="VHP343" s="29"/>
      <c r="VHQ343" s="29"/>
      <c r="VHR343" s="29"/>
      <c r="VHS343" s="29"/>
      <c r="VHT343" s="29"/>
      <c r="VHU343" s="29"/>
      <c r="VHV343" s="29"/>
      <c r="VHW343" s="29"/>
      <c r="VHX343" s="29"/>
      <c r="VHY343" s="29"/>
      <c r="VHZ343" s="29"/>
      <c r="VIA343" s="29"/>
      <c r="VIB343" s="29"/>
      <c r="VIC343" s="29"/>
      <c r="VID343" s="29"/>
      <c r="VIE343" s="29"/>
      <c r="VIF343" s="29"/>
      <c r="VIG343" s="29"/>
      <c r="VIH343" s="29"/>
      <c r="VII343" s="29"/>
      <c r="VIJ343" s="29"/>
      <c r="VIK343" s="29"/>
      <c r="VIL343" s="29"/>
      <c r="VIM343" s="29"/>
      <c r="VIN343" s="29"/>
      <c r="VIO343" s="29"/>
      <c r="VIP343" s="29"/>
      <c r="VIQ343" s="29"/>
      <c r="VIR343" s="29"/>
      <c r="VIS343" s="29"/>
      <c r="VIT343" s="29"/>
      <c r="VIU343" s="29"/>
      <c r="VIV343" s="29"/>
      <c r="VIW343" s="29"/>
      <c r="VIX343" s="29"/>
      <c r="VIY343" s="29"/>
      <c r="VIZ343" s="29"/>
      <c r="VJA343" s="29"/>
      <c r="VJB343" s="29"/>
      <c r="VJC343" s="29"/>
      <c r="VJD343" s="29"/>
      <c r="VJE343" s="29"/>
      <c r="VJF343" s="29"/>
      <c r="VJG343" s="29"/>
      <c r="VJH343" s="29"/>
      <c r="VJI343" s="29"/>
      <c r="VJJ343" s="29"/>
      <c r="VJK343" s="29"/>
      <c r="VJL343" s="29"/>
      <c r="VJM343" s="29"/>
      <c r="VJN343" s="29"/>
      <c r="VJO343" s="29"/>
      <c r="VJP343" s="29"/>
      <c r="VJQ343" s="29"/>
      <c r="VJR343" s="29"/>
      <c r="VJS343" s="29"/>
      <c r="VJT343" s="29"/>
      <c r="VJU343" s="29"/>
      <c r="VJV343" s="29"/>
      <c r="VJW343" s="29"/>
      <c r="VJX343" s="29"/>
      <c r="VJY343" s="29"/>
      <c r="VJZ343" s="29"/>
      <c r="VKA343" s="29"/>
      <c r="VKB343" s="29"/>
      <c r="VKC343" s="29"/>
      <c r="VKD343" s="29"/>
      <c r="VKE343" s="29"/>
      <c r="VKF343" s="29"/>
      <c r="VKG343" s="29"/>
      <c r="VKH343" s="29"/>
      <c r="VKI343" s="29"/>
      <c r="VKJ343" s="29"/>
      <c r="VKK343" s="29"/>
      <c r="VKL343" s="29"/>
      <c r="VKM343" s="29"/>
      <c r="VKN343" s="29"/>
      <c r="VKO343" s="29"/>
      <c r="VKP343" s="29"/>
      <c r="VKQ343" s="29"/>
      <c r="VKR343" s="29"/>
      <c r="VKS343" s="29"/>
      <c r="VKT343" s="29"/>
      <c r="VKU343" s="29"/>
      <c r="VKV343" s="29"/>
      <c r="VKW343" s="29"/>
      <c r="VKX343" s="29"/>
      <c r="VKY343" s="29"/>
      <c r="VKZ343" s="29"/>
      <c r="VLA343" s="29"/>
      <c r="VLB343" s="29"/>
      <c r="VLC343" s="29"/>
      <c r="VLD343" s="29"/>
      <c r="VLE343" s="29"/>
      <c r="VLF343" s="29"/>
      <c r="VLG343" s="29"/>
      <c r="VLH343" s="29"/>
      <c r="VLI343" s="29"/>
      <c r="VLJ343" s="29"/>
      <c r="VLK343" s="29"/>
      <c r="VLL343" s="29"/>
      <c r="VLM343" s="29"/>
      <c r="VLN343" s="29"/>
      <c r="VLO343" s="29"/>
      <c r="VLP343" s="29"/>
      <c r="VLQ343" s="29"/>
      <c r="VLR343" s="29"/>
      <c r="VLS343" s="29"/>
      <c r="VLT343" s="29"/>
      <c r="VLU343" s="29"/>
      <c r="VLV343" s="29"/>
      <c r="VLW343" s="29"/>
      <c r="VLX343" s="29"/>
      <c r="VLY343" s="29"/>
      <c r="VLZ343" s="29"/>
      <c r="VMA343" s="29"/>
      <c r="VMB343" s="29"/>
      <c r="VMC343" s="29"/>
      <c r="VMD343" s="29"/>
      <c r="VME343" s="29"/>
      <c r="VMF343" s="29"/>
      <c r="VMG343" s="29"/>
      <c r="VMH343" s="29"/>
      <c r="VMI343" s="29"/>
      <c r="VMJ343" s="29"/>
      <c r="VMK343" s="29"/>
      <c r="VML343" s="29"/>
      <c r="VMM343" s="29"/>
      <c r="VMN343" s="29"/>
      <c r="VMO343" s="29"/>
      <c r="VMP343" s="29"/>
      <c r="VMQ343" s="29"/>
      <c r="VMR343" s="29"/>
      <c r="VMS343" s="29"/>
      <c r="VMT343" s="29"/>
      <c r="VMU343" s="29"/>
      <c r="VMV343" s="29"/>
      <c r="VMW343" s="29"/>
      <c r="VMX343" s="29"/>
      <c r="VMY343" s="29"/>
      <c r="VMZ343" s="29"/>
      <c r="VNA343" s="29"/>
      <c r="VNB343" s="29"/>
      <c r="VNC343" s="29"/>
      <c r="VND343" s="29"/>
      <c r="VNE343" s="29"/>
      <c r="VNF343" s="29"/>
      <c r="VNG343" s="29"/>
      <c r="VNH343" s="29"/>
      <c r="VNI343" s="29"/>
      <c r="VNJ343" s="29"/>
      <c r="VNK343" s="29"/>
      <c r="VNL343" s="29"/>
      <c r="VNM343" s="29"/>
      <c r="VNN343" s="29"/>
      <c r="VNO343" s="29"/>
      <c r="VNP343" s="29"/>
      <c r="VNQ343" s="29"/>
      <c r="VNR343" s="29"/>
      <c r="VNS343" s="29"/>
      <c r="VNT343" s="29"/>
      <c r="VNU343" s="29"/>
      <c r="VNV343" s="29"/>
      <c r="VNW343" s="29"/>
      <c r="VNX343" s="29"/>
      <c r="VNY343" s="29"/>
      <c r="VNZ343" s="29"/>
      <c r="VOA343" s="29"/>
      <c r="VOB343" s="29"/>
      <c r="VOC343" s="29"/>
      <c r="VOD343" s="29"/>
      <c r="VOE343" s="29"/>
      <c r="VOF343" s="29"/>
      <c r="VOG343" s="29"/>
      <c r="VOH343" s="29"/>
      <c r="VOI343" s="29"/>
      <c r="VOJ343" s="29"/>
      <c r="VOK343" s="29"/>
      <c r="VOL343" s="29"/>
      <c r="VOM343" s="29"/>
      <c r="VON343" s="29"/>
      <c r="VOO343" s="29"/>
      <c r="VOP343" s="29"/>
      <c r="VOQ343" s="29"/>
      <c r="VOR343" s="29"/>
      <c r="VOS343" s="29"/>
      <c r="VOT343" s="29"/>
      <c r="VOU343" s="29"/>
      <c r="VOV343" s="29"/>
      <c r="VOW343" s="29"/>
      <c r="VOX343" s="29"/>
      <c r="VOY343" s="29"/>
      <c r="VOZ343" s="29"/>
      <c r="VPA343" s="29"/>
      <c r="VPB343" s="29"/>
      <c r="VPC343" s="29"/>
      <c r="VPD343" s="29"/>
      <c r="VPE343" s="29"/>
      <c r="VPF343" s="29"/>
      <c r="VPG343" s="29"/>
      <c r="VPH343" s="29"/>
      <c r="VPI343" s="29"/>
      <c r="VPJ343" s="29"/>
      <c r="VPK343" s="29"/>
      <c r="VPL343" s="29"/>
      <c r="VPM343" s="29"/>
      <c r="VPN343" s="29"/>
      <c r="VPO343" s="29"/>
      <c r="VPP343" s="29"/>
      <c r="VPQ343" s="29"/>
      <c r="VPR343" s="29"/>
      <c r="VPS343" s="29"/>
      <c r="VPT343" s="29"/>
      <c r="VPU343" s="29"/>
      <c r="VPV343" s="29"/>
      <c r="VPW343" s="29"/>
      <c r="VPX343" s="29"/>
      <c r="VPY343" s="29"/>
      <c r="VPZ343" s="29"/>
      <c r="VQA343" s="29"/>
      <c r="VQB343" s="29"/>
      <c r="VQC343" s="29"/>
      <c r="VQD343" s="29"/>
      <c r="VQE343" s="29"/>
      <c r="VQF343" s="29"/>
      <c r="VQG343" s="29"/>
      <c r="VQH343" s="29"/>
      <c r="VQI343" s="29"/>
      <c r="VQJ343" s="29"/>
      <c r="VQK343" s="29"/>
      <c r="VQL343" s="29"/>
      <c r="VQM343" s="29"/>
      <c r="VQN343" s="29"/>
      <c r="VQO343" s="29"/>
      <c r="VQP343" s="29"/>
      <c r="VQQ343" s="29"/>
      <c r="VQR343" s="29"/>
      <c r="VQS343" s="29"/>
      <c r="VQT343" s="29"/>
      <c r="VQU343" s="29"/>
      <c r="VQV343" s="29"/>
      <c r="VQW343" s="29"/>
      <c r="VQX343" s="29"/>
      <c r="VQY343" s="29"/>
      <c r="VQZ343" s="29"/>
      <c r="VRA343" s="29"/>
      <c r="VRB343" s="29"/>
      <c r="VRC343" s="29"/>
      <c r="VRD343" s="29"/>
      <c r="VRE343" s="29"/>
      <c r="VRF343" s="29"/>
      <c r="VRG343" s="29"/>
      <c r="VRH343" s="29"/>
      <c r="VRI343" s="29"/>
      <c r="VRJ343" s="29"/>
      <c r="VRK343" s="29"/>
      <c r="VRL343" s="29"/>
      <c r="VRM343" s="29"/>
      <c r="VRN343" s="29"/>
      <c r="VRO343" s="29"/>
      <c r="VRP343" s="29"/>
      <c r="VRQ343" s="29"/>
      <c r="VRR343" s="29"/>
      <c r="VRS343" s="29"/>
      <c r="VRT343" s="29"/>
      <c r="VRU343" s="29"/>
      <c r="VRV343" s="29"/>
      <c r="VRW343" s="29"/>
      <c r="VRX343" s="29"/>
      <c r="VRY343" s="29"/>
      <c r="VRZ343" s="29"/>
      <c r="VSA343" s="29"/>
      <c r="VSB343" s="29"/>
      <c r="VSC343" s="29"/>
      <c r="VSD343" s="29"/>
      <c r="VSE343" s="29"/>
      <c r="VSF343" s="29"/>
      <c r="VSG343" s="29"/>
      <c r="VSH343" s="29"/>
      <c r="VSI343" s="29"/>
      <c r="VSJ343" s="29"/>
      <c r="VSK343" s="29"/>
      <c r="VSL343" s="29"/>
      <c r="VSM343" s="29"/>
      <c r="VSN343" s="29"/>
      <c r="VSO343" s="29"/>
      <c r="VSP343" s="29"/>
      <c r="VSQ343" s="29"/>
      <c r="VSR343" s="29"/>
      <c r="VSS343" s="29"/>
      <c r="VST343" s="29"/>
      <c r="VSU343" s="29"/>
      <c r="VSV343" s="29"/>
      <c r="VSW343" s="29"/>
      <c r="VSX343" s="29"/>
      <c r="VSY343" s="29"/>
      <c r="VSZ343" s="29"/>
      <c r="VTA343" s="29"/>
      <c r="VTB343" s="29"/>
      <c r="VTC343" s="29"/>
      <c r="VTD343" s="29"/>
      <c r="VTE343" s="29"/>
      <c r="VTF343" s="29"/>
      <c r="VTG343" s="29"/>
      <c r="VTH343" s="29"/>
      <c r="VTI343" s="29"/>
      <c r="VTJ343" s="29"/>
      <c r="VTK343" s="29"/>
      <c r="VTL343" s="29"/>
      <c r="VTM343" s="29"/>
      <c r="VTN343" s="29"/>
      <c r="VTO343" s="29"/>
      <c r="VTP343" s="29"/>
      <c r="VTQ343" s="29"/>
      <c r="VTR343" s="29"/>
      <c r="VTS343" s="29"/>
      <c r="VTT343" s="29"/>
      <c r="VTU343" s="29"/>
      <c r="VTV343" s="29"/>
      <c r="VTW343" s="29"/>
      <c r="VTX343" s="29"/>
      <c r="VTY343" s="29"/>
      <c r="VTZ343" s="29"/>
      <c r="VUA343" s="29"/>
      <c r="VUB343" s="29"/>
      <c r="VUC343" s="29"/>
      <c r="VUD343" s="29"/>
      <c r="VUE343" s="29"/>
      <c r="VUF343" s="29"/>
      <c r="VUG343" s="29"/>
      <c r="VUH343" s="29"/>
      <c r="VUI343" s="29"/>
      <c r="VUJ343" s="29"/>
      <c r="VUK343" s="29"/>
      <c r="VUL343" s="29"/>
      <c r="VUM343" s="29"/>
      <c r="VUN343" s="29"/>
      <c r="VUO343" s="29"/>
      <c r="VUP343" s="29"/>
      <c r="VUQ343" s="29"/>
      <c r="VUR343" s="29"/>
      <c r="VUS343" s="29"/>
      <c r="VUT343" s="29"/>
      <c r="VUU343" s="29"/>
      <c r="VUV343" s="29"/>
      <c r="VUW343" s="29"/>
      <c r="VUX343" s="29"/>
      <c r="VUY343" s="29"/>
      <c r="VUZ343" s="29"/>
      <c r="VVA343" s="29"/>
      <c r="VVB343" s="29"/>
      <c r="VVC343" s="29"/>
      <c r="VVD343" s="29"/>
      <c r="VVE343" s="29"/>
      <c r="VVF343" s="29"/>
      <c r="VVG343" s="29"/>
      <c r="VVH343" s="29"/>
      <c r="VVI343" s="29"/>
      <c r="VVJ343" s="29"/>
      <c r="VVK343" s="29"/>
      <c r="VVL343" s="29"/>
      <c r="VVM343" s="29"/>
      <c r="VVN343" s="29"/>
      <c r="VVO343" s="29"/>
      <c r="VVP343" s="29"/>
      <c r="VVQ343" s="29"/>
      <c r="VVR343" s="29"/>
      <c r="VVS343" s="29"/>
      <c r="VVT343" s="29"/>
      <c r="VVU343" s="29"/>
      <c r="VVV343" s="29"/>
      <c r="VVW343" s="29"/>
      <c r="VVX343" s="29"/>
      <c r="VVY343" s="29"/>
      <c r="VVZ343" s="29"/>
      <c r="VWA343" s="29"/>
      <c r="VWB343" s="29"/>
      <c r="VWC343" s="29"/>
      <c r="VWD343" s="29"/>
      <c r="VWE343" s="29"/>
      <c r="VWF343" s="29"/>
      <c r="VWG343" s="29"/>
      <c r="VWH343" s="29"/>
      <c r="VWI343" s="29"/>
      <c r="VWJ343" s="29"/>
      <c r="VWK343" s="29"/>
      <c r="VWL343" s="29"/>
      <c r="VWM343" s="29"/>
      <c r="VWN343" s="29"/>
      <c r="VWO343" s="29"/>
      <c r="VWP343" s="29"/>
      <c r="VWQ343" s="29"/>
      <c r="VWR343" s="29"/>
      <c r="VWS343" s="29"/>
      <c r="VWT343" s="29"/>
      <c r="VWU343" s="29"/>
      <c r="VWV343" s="29"/>
      <c r="VWW343" s="29"/>
      <c r="VWX343" s="29"/>
      <c r="VWY343" s="29"/>
      <c r="VWZ343" s="29"/>
      <c r="VXA343" s="29"/>
      <c r="VXB343" s="29"/>
      <c r="VXC343" s="29"/>
      <c r="VXD343" s="29"/>
      <c r="VXE343" s="29"/>
      <c r="VXF343" s="29"/>
      <c r="VXG343" s="29"/>
      <c r="VXH343" s="29"/>
      <c r="VXI343" s="29"/>
      <c r="VXJ343" s="29"/>
      <c r="VXK343" s="29"/>
      <c r="VXL343" s="29"/>
      <c r="VXM343" s="29"/>
      <c r="VXN343" s="29"/>
      <c r="VXO343" s="29"/>
      <c r="VXP343" s="29"/>
      <c r="VXQ343" s="29"/>
      <c r="VXR343" s="29"/>
      <c r="VXS343" s="29"/>
      <c r="VXT343" s="29"/>
      <c r="VXU343" s="29"/>
      <c r="VXV343" s="29"/>
      <c r="VXW343" s="29"/>
      <c r="VXX343" s="29"/>
      <c r="VXY343" s="29"/>
      <c r="VXZ343" s="29"/>
      <c r="VYA343" s="29"/>
      <c r="VYB343" s="29"/>
      <c r="VYC343" s="29"/>
      <c r="VYD343" s="29"/>
      <c r="VYE343" s="29"/>
      <c r="VYF343" s="29"/>
      <c r="VYG343" s="29"/>
      <c r="VYH343" s="29"/>
      <c r="VYI343" s="29"/>
      <c r="VYJ343" s="29"/>
      <c r="VYK343" s="29"/>
      <c r="VYL343" s="29"/>
      <c r="VYM343" s="29"/>
      <c r="VYN343" s="29"/>
      <c r="VYO343" s="29"/>
      <c r="VYP343" s="29"/>
      <c r="VYQ343" s="29"/>
      <c r="VYR343" s="29"/>
      <c r="VYS343" s="29"/>
      <c r="VYT343" s="29"/>
      <c r="VYU343" s="29"/>
      <c r="VYV343" s="29"/>
      <c r="VYW343" s="29"/>
      <c r="VYX343" s="29"/>
      <c r="VYY343" s="29"/>
      <c r="VYZ343" s="29"/>
      <c r="VZA343" s="29"/>
      <c r="VZB343" s="29"/>
      <c r="VZC343" s="29"/>
      <c r="VZD343" s="29"/>
      <c r="VZE343" s="29"/>
      <c r="VZF343" s="29"/>
      <c r="VZG343" s="29"/>
      <c r="VZH343" s="29"/>
      <c r="VZI343" s="29"/>
      <c r="VZJ343" s="29"/>
      <c r="VZK343" s="29"/>
      <c r="VZL343" s="29"/>
      <c r="VZM343" s="29"/>
      <c r="VZN343" s="29"/>
      <c r="VZO343" s="29"/>
      <c r="VZP343" s="29"/>
      <c r="VZQ343" s="29"/>
      <c r="VZR343" s="29"/>
      <c r="VZS343" s="29"/>
      <c r="VZT343" s="29"/>
      <c r="VZU343" s="29"/>
      <c r="VZV343" s="29"/>
      <c r="VZW343" s="29"/>
      <c r="VZX343" s="29"/>
      <c r="VZY343" s="29"/>
      <c r="VZZ343" s="29"/>
      <c r="WAA343" s="29"/>
      <c r="WAB343" s="29"/>
      <c r="WAC343" s="29"/>
      <c r="WAD343" s="29"/>
      <c r="WAE343" s="29"/>
      <c r="WAF343" s="29"/>
      <c r="WAG343" s="29"/>
      <c r="WAH343" s="29"/>
      <c r="WAI343" s="29"/>
      <c r="WAJ343" s="29"/>
      <c r="WAK343" s="29"/>
      <c r="WAL343" s="29"/>
      <c r="WAM343" s="29"/>
      <c r="WAN343" s="29"/>
      <c r="WAO343" s="29"/>
      <c r="WAP343" s="29"/>
      <c r="WAQ343" s="29"/>
      <c r="WAR343" s="29"/>
      <c r="WAS343" s="29"/>
      <c r="WAT343" s="29"/>
      <c r="WAU343" s="29"/>
      <c r="WAV343" s="29"/>
      <c r="WAW343" s="29"/>
      <c r="WAX343" s="29"/>
      <c r="WAY343" s="29"/>
      <c r="WAZ343" s="29"/>
      <c r="WBA343" s="29"/>
      <c r="WBB343" s="29"/>
      <c r="WBC343" s="29"/>
      <c r="WBD343" s="29"/>
      <c r="WBE343" s="29"/>
      <c r="WBF343" s="29"/>
      <c r="WBG343" s="29"/>
      <c r="WBH343" s="29"/>
      <c r="WBI343" s="29"/>
      <c r="WBJ343" s="29"/>
      <c r="WBK343" s="29"/>
      <c r="WBL343" s="29"/>
      <c r="WBM343" s="29"/>
      <c r="WBN343" s="29"/>
      <c r="WBO343" s="29"/>
      <c r="WBP343" s="29"/>
      <c r="WBQ343" s="29"/>
      <c r="WBR343" s="29"/>
      <c r="WBS343" s="29"/>
      <c r="WBT343" s="29"/>
      <c r="WBU343" s="29"/>
      <c r="WBV343" s="29"/>
      <c r="WBW343" s="29"/>
      <c r="WBX343" s="29"/>
      <c r="WBY343" s="29"/>
      <c r="WBZ343" s="29"/>
      <c r="WCA343" s="29"/>
      <c r="WCB343" s="29"/>
      <c r="WCC343" s="29"/>
      <c r="WCD343" s="29"/>
      <c r="WCE343" s="29"/>
      <c r="WCF343" s="29"/>
      <c r="WCG343" s="29"/>
      <c r="WCH343" s="29"/>
      <c r="WCI343" s="29"/>
      <c r="WCJ343" s="29"/>
      <c r="WCK343" s="29"/>
      <c r="WCL343" s="29"/>
      <c r="WCM343" s="29"/>
      <c r="WCN343" s="29"/>
      <c r="WCO343" s="29"/>
      <c r="WCP343" s="29"/>
      <c r="WCQ343" s="29"/>
      <c r="WCR343" s="29"/>
      <c r="WCS343" s="29"/>
      <c r="WCT343" s="29"/>
      <c r="WCU343" s="29"/>
      <c r="WCV343" s="29"/>
      <c r="WCW343" s="29"/>
      <c r="WCX343" s="29"/>
      <c r="WCY343" s="29"/>
      <c r="WCZ343" s="29"/>
      <c r="WDA343" s="29"/>
      <c r="WDB343" s="29"/>
      <c r="WDC343" s="29"/>
      <c r="WDD343" s="29"/>
      <c r="WDE343" s="29"/>
      <c r="WDF343" s="29"/>
      <c r="WDG343" s="29"/>
      <c r="WDH343" s="29"/>
      <c r="WDI343" s="29"/>
      <c r="WDJ343" s="29"/>
      <c r="WDK343" s="29"/>
      <c r="WDL343" s="29"/>
      <c r="WDM343" s="29"/>
      <c r="WDN343" s="29"/>
      <c r="WDO343" s="29"/>
      <c r="WDP343" s="29"/>
      <c r="WDQ343" s="29"/>
      <c r="WDR343" s="29"/>
      <c r="WDS343" s="29"/>
      <c r="WDT343" s="29"/>
      <c r="WDU343" s="29"/>
      <c r="WDV343" s="29"/>
      <c r="WDW343" s="29"/>
      <c r="WDX343" s="29"/>
      <c r="WDY343" s="29"/>
      <c r="WDZ343" s="29"/>
      <c r="WEA343" s="29"/>
      <c r="WEB343" s="29"/>
      <c r="WEC343" s="29"/>
      <c r="WED343" s="29"/>
      <c r="WEE343" s="29"/>
      <c r="WEF343" s="29"/>
      <c r="WEG343" s="29"/>
      <c r="WEH343" s="29"/>
      <c r="WEI343" s="29"/>
      <c r="WEJ343" s="29"/>
      <c r="WEK343" s="29"/>
      <c r="WEL343" s="29"/>
      <c r="WEM343" s="29"/>
      <c r="WEN343" s="29"/>
      <c r="WEO343" s="29"/>
      <c r="WEP343" s="29"/>
      <c r="WEQ343" s="29"/>
      <c r="WER343" s="29"/>
      <c r="WES343" s="29"/>
      <c r="WET343" s="29"/>
      <c r="WEU343" s="29"/>
      <c r="WEV343" s="29"/>
      <c r="WEW343" s="29"/>
      <c r="WEX343" s="29"/>
      <c r="WEY343" s="29"/>
      <c r="WEZ343" s="29"/>
      <c r="WFA343" s="29"/>
      <c r="WFB343" s="29"/>
      <c r="WFC343" s="29"/>
      <c r="WFD343" s="29"/>
      <c r="WFE343" s="29"/>
      <c r="WFF343" s="29"/>
      <c r="WFG343" s="29"/>
      <c r="WFH343" s="29"/>
      <c r="WFI343" s="29"/>
      <c r="WFJ343" s="29"/>
      <c r="WFK343" s="29"/>
      <c r="WFL343" s="29"/>
      <c r="WFM343" s="29"/>
      <c r="WFN343" s="29"/>
      <c r="WFO343" s="29"/>
      <c r="WFP343" s="29"/>
      <c r="WFQ343" s="29"/>
      <c r="WFR343" s="29"/>
      <c r="WFS343" s="29"/>
      <c r="WFT343" s="29"/>
      <c r="WFU343" s="29"/>
      <c r="WFV343" s="29"/>
      <c r="WFW343" s="29"/>
      <c r="WFX343" s="29"/>
      <c r="WFY343" s="29"/>
      <c r="WFZ343" s="29"/>
      <c r="WGA343" s="29"/>
      <c r="WGB343" s="29"/>
      <c r="WGC343" s="29"/>
      <c r="WGD343" s="29"/>
      <c r="WGE343" s="29"/>
      <c r="WGF343" s="29"/>
      <c r="WGG343" s="29"/>
      <c r="WGH343" s="29"/>
      <c r="WGI343" s="29"/>
      <c r="WGJ343" s="29"/>
      <c r="WGK343" s="29"/>
      <c r="WGL343" s="29"/>
      <c r="WGM343" s="29"/>
      <c r="WGN343" s="29"/>
      <c r="WGO343" s="29"/>
      <c r="WGP343" s="29"/>
      <c r="WGQ343" s="29"/>
      <c r="WGR343" s="29"/>
      <c r="WGS343" s="29"/>
      <c r="WGT343" s="29"/>
      <c r="WGU343" s="29"/>
      <c r="WGV343" s="29"/>
      <c r="WGW343" s="29"/>
      <c r="WGX343" s="29"/>
      <c r="WGY343" s="29"/>
      <c r="WGZ343" s="29"/>
      <c r="WHA343" s="29"/>
      <c r="WHB343" s="29"/>
      <c r="WHC343" s="29"/>
      <c r="WHD343" s="29"/>
      <c r="WHE343" s="29"/>
      <c r="WHF343" s="29"/>
      <c r="WHG343" s="29"/>
      <c r="WHH343" s="29"/>
      <c r="WHI343" s="29"/>
      <c r="WHJ343" s="29"/>
      <c r="WHK343" s="29"/>
      <c r="WHL343" s="29"/>
      <c r="WHM343" s="29"/>
      <c r="WHN343" s="29"/>
      <c r="WHO343" s="29"/>
      <c r="WHP343" s="29"/>
      <c r="WHQ343" s="29"/>
      <c r="WHR343" s="29"/>
      <c r="WHS343" s="29"/>
      <c r="WHT343" s="29"/>
      <c r="WHU343" s="29"/>
      <c r="WHV343" s="29"/>
      <c r="WHW343" s="29"/>
      <c r="WHX343" s="29"/>
      <c r="WHY343" s="29"/>
      <c r="WHZ343" s="29"/>
      <c r="WIA343" s="29"/>
      <c r="WIB343" s="29"/>
      <c r="WIC343" s="29"/>
      <c r="WID343" s="29"/>
      <c r="WIE343" s="29"/>
      <c r="WIF343" s="29"/>
      <c r="WIG343" s="29"/>
      <c r="WIH343" s="29"/>
      <c r="WII343" s="29"/>
      <c r="WIJ343" s="29"/>
      <c r="WIK343" s="29"/>
      <c r="WIL343" s="29"/>
      <c r="WIM343" s="29"/>
      <c r="WIN343" s="29"/>
      <c r="WIO343" s="29"/>
      <c r="WIP343" s="29"/>
      <c r="WIQ343" s="29"/>
      <c r="WIR343" s="29"/>
      <c r="WIS343" s="29"/>
      <c r="WIT343" s="29"/>
      <c r="WIU343" s="29"/>
      <c r="WIV343" s="29"/>
      <c r="WIW343" s="29"/>
      <c r="WIX343" s="29"/>
      <c r="WIY343" s="29"/>
      <c r="WIZ343" s="29"/>
      <c r="WJA343" s="29"/>
      <c r="WJB343" s="29"/>
      <c r="WJC343" s="29"/>
      <c r="WJD343" s="29"/>
      <c r="WJE343" s="29"/>
      <c r="WJF343" s="29"/>
      <c r="WJG343" s="29"/>
      <c r="WJH343" s="29"/>
      <c r="WJI343" s="29"/>
      <c r="WJJ343" s="29"/>
      <c r="WJK343" s="29"/>
      <c r="WJL343" s="29"/>
      <c r="WJM343" s="29"/>
      <c r="WJN343" s="29"/>
      <c r="WJO343" s="29"/>
      <c r="WJP343" s="29"/>
      <c r="WJQ343" s="29"/>
      <c r="WJR343" s="29"/>
      <c r="WJS343" s="29"/>
      <c r="WJT343" s="29"/>
      <c r="WJU343" s="29"/>
      <c r="WJV343" s="29"/>
      <c r="WJW343" s="29"/>
      <c r="WJX343" s="29"/>
      <c r="WJY343" s="29"/>
      <c r="WJZ343" s="29"/>
      <c r="WKA343" s="29"/>
      <c r="WKB343" s="29"/>
      <c r="WKC343" s="29"/>
      <c r="WKD343" s="29"/>
      <c r="WKE343" s="29"/>
      <c r="WKF343" s="29"/>
      <c r="WKG343" s="29"/>
      <c r="WKH343" s="29"/>
      <c r="WKI343" s="29"/>
      <c r="WKJ343" s="29"/>
      <c r="WKK343" s="29"/>
      <c r="WKL343" s="29"/>
      <c r="WKM343" s="29"/>
      <c r="WKN343" s="29"/>
      <c r="WKO343" s="29"/>
      <c r="WKP343" s="29"/>
      <c r="WKQ343" s="29"/>
      <c r="WKR343" s="29"/>
      <c r="WKS343" s="29"/>
      <c r="WKT343" s="29"/>
      <c r="WKU343" s="29"/>
      <c r="WKV343" s="29"/>
      <c r="WKW343" s="29"/>
      <c r="WKX343" s="29"/>
      <c r="WKY343" s="29"/>
      <c r="WKZ343" s="29"/>
      <c r="WLA343" s="29"/>
      <c r="WLB343" s="29"/>
      <c r="WLC343" s="29"/>
      <c r="WLD343" s="29"/>
      <c r="WLE343" s="29"/>
      <c r="WLF343" s="29"/>
      <c r="WLG343" s="29"/>
      <c r="WLH343" s="29"/>
      <c r="WLI343" s="29"/>
      <c r="WLJ343" s="29"/>
      <c r="WLK343" s="29"/>
      <c r="WLL343" s="29"/>
      <c r="WLM343" s="29"/>
      <c r="WLN343" s="29"/>
      <c r="WLO343" s="29"/>
      <c r="WLP343" s="29"/>
      <c r="WLQ343" s="29"/>
      <c r="WLR343" s="29"/>
      <c r="WLS343" s="29"/>
      <c r="WLT343" s="29"/>
      <c r="WLU343" s="29"/>
      <c r="WLV343" s="29"/>
      <c r="WLW343" s="29"/>
      <c r="WLX343" s="29"/>
      <c r="WLY343" s="29"/>
      <c r="WLZ343" s="29"/>
      <c r="WMA343" s="29"/>
      <c r="WMB343" s="29"/>
      <c r="WMC343" s="29"/>
      <c r="WMD343" s="29"/>
      <c r="WME343" s="29"/>
      <c r="WMF343" s="29"/>
      <c r="WMG343" s="29"/>
      <c r="WMH343" s="29"/>
      <c r="WMI343" s="29"/>
      <c r="WMJ343" s="29"/>
      <c r="WMK343" s="29"/>
      <c r="WML343" s="29"/>
      <c r="WMM343" s="29"/>
      <c r="WMN343" s="29"/>
      <c r="WMO343" s="29"/>
      <c r="WMP343" s="29"/>
      <c r="WMQ343" s="29"/>
      <c r="WMR343" s="29"/>
      <c r="WMS343" s="29"/>
      <c r="WMT343" s="29"/>
      <c r="WMU343" s="29"/>
      <c r="WMV343" s="29"/>
      <c r="WMW343" s="29"/>
      <c r="WMX343" s="29"/>
      <c r="WMY343" s="29"/>
      <c r="WMZ343" s="29"/>
      <c r="WNA343" s="29"/>
      <c r="WNB343" s="29"/>
      <c r="WNC343" s="29"/>
      <c r="WND343" s="29"/>
      <c r="WNE343" s="29"/>
      <c r="WNF343" s="29"/>
      <c r="WNG343" s="29"/>
      <c r="WNH343" s="29"/>
      <c r="WNI343" s="29"/>
      <c r="WNJ343" s="29"/>
      <c r="WNK343" s="29"/>
      <c r="WNL343" s="29"/>
      <c r="WNM343" s="29"/>
      <c r="WNN343" s="29"/>
      <c r="WNO343" s="29"/>
      <c r="WNP343" s="29"/>
      <c r="WNQ343" s="29"/>
      <c r="WNR343" s="29"/>
      <c r="WNS343" s="29"/>
      <c r="WNT343" s="29"/>
      <c r="WNU343" s="29"/>
      <c r="WNV343" s="29"/>
      <c r="WNW343" s="29"/>
      <c r="WNX343" s="29"/>
      <c r="WNY343" s="29"/>
      <c r="WNZ343" s="29"/>
      <c r="WOA343" s="29"/>
      <c r="WOB343" s="29"/>
      <c r="WOC343" s="29"/>
      <c r="WOD343" s="29"/>
      <c r="WOE343" s="29"/>
      <c r="WOF343" s="29"/>
      <c r="WOG343" s="29"/>
      <c r="WOH343" s="29"/>
      <c r="WOI343" s="29"/>
      <c r="WOJ343" s="29"/>
      <c r="WOK343" s="29"/>
      <c r="WOL343" s="29"/>
      <c r="WOM343" s="29"/>
      <c r="WON343" s="29"/>
      <c r="WOO343" s="29"/>
      <c r="WOP343" s="29"/>
      <c r="WOQ343" s="29"/>
      <c r="WOR343" s="29"/>
      <c r="WOS343" s="29"/>
      <c r="WOT343" s="29"/>
      <c r="WOU343" s="29"/>
      <c r="WOV343" s="29"/>
      <c r="WOW343" s="29"/>
      <c r="WOX343" s="29"/>
      <c r="WOY343" s="29"/>
      <c r="WOZ343" s="29"/>
      <c r="WPA343" s="29"/>
      <c r="WPB343" s="29"/>
      <c r="WPC343" s="29"/>
      <c r="WPD343" s="29"/>
      <c r="WPE343" s="29"/>
      <c r="WPF343" s="29"/>
      <c r="WPG343" s="29"/>
      <c r="WPH343" s="29"/>
      <c r="WPI343" s="29"/>
      <c r="WPJ343" s="29"/>
      <c r="WPK343" s="29"/>
      <c r="WPL343" s="29"/>
      <c r="WPM343" s="29"/>
      <c r="WPN343" s="29"/>
      <c r="WPO343" s="29"/>
      <c r="WPP343" s="29"/>
      <c r="WPQ343" s="29"/>
      <c r="WPR343" s="29"/>
      <c r="WPS343" s="29"/>
      <c r="WPT343" s="29"/>
      <c r="WPU343" s="29"/>
      <c r="WPV343" s="29"/>
      <c r="WPW343" s="29"/>
      <c r="WPX343" s="29"/>
      <c r="WPY343" s="29"/>
      <c r="WPZ343" s="29"/>
      <c r="WQA343" s="29"/>
      <c r="WQB343" s="29"/>
      <c r="WQC343" s="29"/>
      <c r="WQD343" s="29"/>
      <c r="WQE343" s="29"/>
      <c r="WQF343" s="29"/>
      <c r="WQG343" s="29"/>
      <c r="WQH343" s="29"/>
      <c r="WQI343" s="29"/>
      <c r="WQJ343" s="29"/>
      <c r="WQK343" s="29"/>
      <c r="WQL343" s="29"/>
      <c r="WQM343" s="29"/>
      <c r="WQN343" s="29"/>
      <c r="WQO343" s="29"/>
      <c r="WQP343" s="29"/>
      <c r="WQQ343" s="29"/>
      <c r="WQR343" s="29"/>
      <c r="WQS343" s="29"/>
      <c r="WQT343" s="29"/>
      <c r="WQU343" s="29"/>
      <c r="WQV343" s="29"/>
      <c r="WQW343" s="29"/>
      <c r="WQX343" s="29"/>
      <c r="WQY343" s="29"/>
      <c r="WQZ343" s="29"/>
      <c r="WRA343" s="29"/>
      <c r="WRB343" s="29"/>
      <c r="WRC343" s="29"/>
      <c r="WRD343" s="29"/>
      <c r="WRE343" s="29"/>
      <c r="WRF343" s="29"/>
      <c r="WRG343" s="29"/>
      <c r="WRH343" s="29"/>
      <c r="WRI343" s="29"/>
      <c r="WRJ343" s="29"/>
      <c r="WRK343" s="29"/>
      <c r="WRL343" s="29"/>
      <c r="WRM343" s="29"/>
      <c r="WRN343" s="29"/>
      <c r="WRO343" s="29"/>
      <c r="WRP343" s="29"/>
      <c r="WRQ343" s="29"/>
      <c r="WRR343" s="29"/>
      <c r="WRS343" s="29"/>
      <c r="WRT343" s="29"/>
      <c r="WRU343" s="29"/>
      <c r="WRV343" s="29"/>
      <c r="WRW343" s="29"/>
      <c r="WRX343" s="29"/>
      <c r="WRY343" s="29"/>
      <c r="WRZ343" s="29"/>
      <c r="WSA343" s="29"/>
      <c r="WSB343" s="29"/>
      <c r="WSC343" s="29"/>
      <c r="WSD343" s="29"/>
      <c r="WSE343" s="29"/>
      <c r="WSF343" s="29"/>
      <c r="WSG343" s="29"/>
      <c r="WSH343" s="29"/>
      <c r="WSI343" s="29"/>
      <c r="WSJ343" s="29"/>
      <c r="WSK343" s="29"/>
      <c r="WSL343" s="29"/>
      <c r="WSM343" s="29"/>
      <c r="WSN343" s="29"/>
      <c r="WSO343" s="29"/>
      <c r="WSP343" s="29"/>
      <c r="WSQ343" s="29"/>
      <c r="WSR343" s="29"/>
      <c r="WSS343" s="29"/>
      <c r="WST343" s="29"/>
      <c r="WSU343" s="29"/>
      <c r="WSV343" s="29"/>
      <c r="WSW343" s="29"/>
      <c r="WSX343" s="29"/>
      <c r="WSY343" s="29"/>
      <c r="WSZ343" s="29"/>
      <c r="WTA343" s="29"/>
      <c r="WTB343" s="29"/>
      <c r="WTC343" s="29"/>
      <c r="WTD343" s="29"/>
      <c r="WTE343" s="29"/>
      <c r="WTF343" s="29"/>
      <c r="WTG343" s="29"/>
      <c r="WTH343" s="29"/>
      <c r="WTI343" s="29"/>
      <c r="WTJ343" s="29"/>
      <c r="WTK343" s="29"/>
      <c r="WTL343" s="29"/>
      <c r="WTM343" s="29"/>
      <c r="WTN343" s="29"/>
      <c r="WTO343" s="29"/>
      <c r="WTP343" s="29"/>
      <c r="WTQ343" s="29"/>
      <c r="WTR343" s="29"/>
      <c r="WTS343" s="29"/>
      <c r="WTT343" s="29"/>
      <c r="WTU343" s="29"/>
      <c r="WTV343" s="29"/>
      <c r="WTW343" s="29"/>
      <c r="WTX343" s="29"/>
      <c r="WTY343" s="29"/>
      <c r="WTZ343" s="29"/>
      <c r="WUA343" s="29"/>
      <c r="WUB343" s="29"/>
      <c r="WUC343" s="29"/>
      <c r="WUD343" s="29"/>
      <c r="WUE343" s="29"/>
      <c r="WUF343" s="29"/>
      <c r="WUG343" s="29"/>
      <c r="WUH343" s="29"/>
      <c r="WUI343" s="29"/>
      <c r="WUJ343" s="29"/>
      <c r="WUK343" s="29"/>
      <c r="WUL343" s="29"/>
      <c r="WUM343" s="29"/>
      <c r="WUN343" s="29"/>
      <c r="WUO343" s="29"/>
      <c r="WUP343" s="29"/>
      <c r="WUQ343" s="29"/>
      <c r="WUR343" s="29"/>
      <c r="WUS343" s="29"/>
      <c r="WUT343" s="29"/>
      <c r="WUU343" s="29"/>
      <c r="WUV343" s="29"/>
      <c r="WUW343" s="29"/>
      <c r="WUX343" s="29"/>
      <c r="WUY343" s="29"/>
      <c r="WUZ343" s="29"/>
      <c r="WVA343" s="29"/>
      <c r="WVB343" s="29"/>
      <c r="WVC343" s="29"/>
      <c r="WVD343" s="29"/>
      <c r="WVE343" s="29"/>
      <c r="WVF343" s="29"/>
      <c r="WVG343" s="29"/>
      <c r="WVH343" s="29"/>
      <c r="WVI343" s="29"/>
      <c r="WVJ343" s="29"/>
      <c r="WVK343" s="29"/>
      <c r="WVL343" s="29"/>
      <c r="WVM343" s="29"/>
      <c r="WVN343" s="29"/>
      <c r="WVO343" s="29"/>
      <c r="WVP343" s="29"/>
      <c r="WVQ343" s="29"/>
      <c r="WVR343" s="29"/>
      <c r="WVS343" s="29"/>
      <c r="WVT343" s="29"/>
      <c r="WVU343" s="29"/>
      <c r="WVV343" s="29"/>
      <c r="WVW343" s="29"/>
      <c r="WVX343" s="29"/>
      <c r="WVY343" s="29"/>
      <c r="WVZ343" s="29"/>
      <c r="WWA343" s="29"/>
      <c r="WWB343" s="29"/>
      <c r="WWC343" s="29"/>
      <c r="WWD343" s="29"/>
      <c r="WWE343" s="29"/>
      <c r="WWF343" s="29"/>
      <c r="WWG343" s="29"/>
      <c r="WWH343" s="29"/>
      <c r="WWI343" s="29"/>
      <c r="WWJ343" s="29"/>
      <c r="WWK343" s="29"/>
      <c r="WWL343" s="29"/>
      <c r="WWM343" s="29"/>
      <c r="WWN343" s="29"/>
      <c r="WWO343" s="29"/>
      <c r="WWP343" s="29"/>
      <c r="WWQ343" s="29"/>
      <c r="WWR343" s="29"/>
      <c r="WWS343" s="29"/>
      <c r="WWT343" s="29"/>
      <c r="WWU343" s="29"/>
      <c r="WWV343" s="29"/>
      <c r="WWW343" s="29"/>
      <c r="WWX343" s="29"/>
      <c r="WWY343" s="29"/>
      <c r="WWZ343" s="29"/>
      <c r="WXA343" s="29"/>
      <c r="WXB343" s="29"/>
      <c r="WXC343" s="29"/>
      <c r="WXD343" s="29"/>
      <c r="WXE343" s="29"/>
      <c r="WXF343" s="29"/>
      <c r="WXG343" s="29"/>
      <c r="WXH343" s="29"/>
      <c r="WXI343" s="29"/>
      <c r="WXJ343" s="29"/>
      <c r="WXK343" s="29"/>
      <c r="WXL343" s="29"/>
      <c r="WXM343" s="29"/>
      <c r="WXN343" s="29"/>
      <c r="WXO343" s="29"/>
      <c r="WXP343" s="29"/>
      <c r="WXQ343" s="29"/>
      <c r="WXR343" s="29"/>
      <c r="WXS343" s="29"/>
      <c r="WXT343" s="29"/>
      <c r="WXU343" s="29"/>
      <c r="WXV343" s="29"/>
      <c r="WXW343" s="29"/>
      <c r="WXX343" s="29"/>
      <c r="WXY343" s="29"/>
      <c r="WXZ343" s="29"/>
      <c r="WYA343" s="29"/>
      <c r="WYB343" s="29"/>
      <c r="WYC343" s="29"/>
      <c r="WYD343" s="29"/>
      <c r="WYE343" s="29"/>
      <c r="WYF343" s="29"/>
      <c r="WYG343" s="29"/>
      <c r="WYH343" s="29"/>
      <c r="WYI343" s="29"/>
      <c r="WYJ343" s="29"/>
      <c r="WYK343" s="29"/>
      <c r="WYL343" s="29"/>
      <c r="WYM343" s="29"/>
      <c r="WYN343" s="29"/>
      <c r="WYO343" s="29"/>
      <c r="WYP343" s="29"/>
      <c r="WYQ343" s="29"/>
      <c r="WYR343" s="29"/>
      <c r="WYS343" s="29"/>
      <c r="WYT343" s="29"/>
      <c r="WYU343" s="29"/>
      <c r="WYV343" s="29"/>
      <c r="WYW343" s="29"/>
      <c r="WYX343" s="29"/>
      <c r="WYY343" s="29"/>
      <c r="WYZ343" s="29"/>
      <c r="WZA343" s="29"/>
      <c r="WZB343" s="29"/>
      <c r="WZC343" s="29"/>
      <c r="WZD343" s="29"/>
      <c r="WZE343" s="29"/>
      <c r="WZF343" s="29"/>
      <c r="WZG343" s="29"/>
      <c r="WZH343" s="29"/>
      <c r="WZI343" s="29"/>
      <c r="WZJ343" s="29"/>
      <c r="WZK343" s="29"/>
      <c r="WZL343" s="29"/>
      <c r="WZM343" s="29"/>
      <c r="WZN343" s="29"/>
      <c r="WZO343" s="29"/>
      <c r="WZP343" s="29"/>
      <c r="WZQ343" s="29"/>
      <c r="WZR343" s="29"/>
      <c r="WZS343" s="29"/>
      <c r="WZT343" s="29"/>
      <c r="WZU343" s="29"/>
      <c r="WZV343" s="29"/>
      <c r="WZW343" s="29"/>
      <c r="WZX343" s="29"/>
      <c r="WZY343" s="29"/>
      <c r="WZZ343" s="29"/>
      <c r="XAA343" s="29"/>
      <c r="XAB343" s="29"/>
      <c r="XAC343" s="29"/>
      <c r="XAD343" s="29"/>
      <c r="XAE343" s="29"/>
      <c r="XAF343" s="29"/>
      <c r="XAG343" s="29"/>
      <c r="XAH343" s="29"/>
      <c r="XAI343" s="29"/>
      <c r="XAJ343" s="29"/>
      <c r="XAK343" s="29"/>
      <c r="XAL343" s="29"/>
      <c r="XAM343" s="29"/>
      <c r="XAN343" s="29"/>
      <c r="XAO343" s="29"/>
      <c r="XAP343" s="29"/>
      <c r="XAQ343" s="29"/>
      <c r="XAR343" s="29"/>
      <c r="XAS343" s="29"/>
      <c r="XAT343" s="29"/>
      <c r="XAU343" s="29"/>
      <c r="XAV343" s="29"/>
      <c r="XAW343" s="29"/>
      <c r="XAX343" s="29"/>
      <c r="XAY343" s="29"/>
      <c r="XAZ343" s="29"/>
      <c r="XBA343" s="29"/>
      <c r="XBB343" s="29"/>
      <c r="XBC343" s="29"/>
      <c r="XBD343" s="29"/>
      <c r="XBE343" s="29"/>
      <c r="XBF343" s="29"/>
      <c r="XBG343" s="29"/>
      <c r="XBH343" s="29"/>
      <c r="XBI343" s="29"/>
      <c r="XBJ343" s="29"/>
      <c r="XBK343" s="29"/>
      <c r="XBL343" s="29"/>
      <c r="XBM343" s="29"/>
      <c r="XBN343" s="29"/>
      <c r="XBO343" s="29"/>
      <c r="XBP343" s="29"/>
      <c r="XBQ343" s="29"/>
      <c r="XBR343" s="29"/>
      <c r="XBS343" s="29"/>
      <c r="XBT343" s="29"/>
      <c r="XBU343" s="29"/>
      <c r="XBV343" s="29"/>
      <c r="XBW343" s="29"/>
      <c r="XBX343" s="29"/>
      <c r="XBY343" s="29"/>
      <c r="XBZ343" s="29"/>
      <c r="XCA343" s="29"/>
      <c r="XCB343" s="29"/>
      <c r="XCC343" s="29"/>
      <c r="XCD343" s="29"/>
      <c r="XCE343" s="29"/>
      <c r="XCF343" s="29"/>
      <c r="XCG343" s="29"/>
      <c r="XCH343" s="29"/>
      <c r="XCI343" s="29"/>
      <c r="XCJ343" s="29"/>
      <c r="XCK343" s="29"/>
      <c r="XCL343" s="29"/>
      <c r="XCM343" s="29"/>
      <c r="XCN343" s="29"/>
      <c r="XCO343" s="29"/>
      <c r="XCP343" s="29"/>
      <c r="XCQ343" s="29"/>
      <c r="XCR343" s="29"/>
      <c r="XCS343" s="29"/>
      <c r="XCT343" s="29"/>
      <c r="XCU343" s="29"/>
      <c r="XCV343" s="29"/>
      <c r="XCW343" s="29"/>
      <c r="XCX343" s="29"/>
      <c r="XCY343" s="29"/>
      <c r="XCZ343" s="29"/>
      <c r="XDA343" s="29"/>
      <c r="XDB343" s="29"/>
      <c r="XDC343" s="29"/>
      <c r="XDD343" s="29"/>
      <c r="XDE343" s="29"/>
      <c r="XDF343" s="29"/>
      <c r="XDG343" s="29"/>
      <c r="XDH343" s="29"/>
      <c r="XDI343" s="29"/>
      <c r="XDJ343" s="29"/>
      <c r="XDK343" s="29"/>
      <c r="XDL343" s="29"/>
      <c r="XDM343" s="29"/>
      <c r="XDN343" s="29"/>
      <c r="XDO343" s="29"/>
      <c r="XDP343" s="29"/>
      <c r="XDQ343" s="29"/>
      <c r="XDR343" s="29"/>
      <c r="XDS343" s="29"/>
      <c r="XDT343" s="29"/>
      <c r="XDU343" s="29"/>
      <c r="XDV343" s="29"/>
      <c r="XDW343" s="29"/>
      <c r="XDX343" s="29"/>
      <c r="XDY343" s="29"/>
      <c r="XDZ343" s="29"/>
      <c r="XEA343" s="29"/>
      <c r="XEB343" s="29"/>
      <c r="XEC343" s="29"/>
      <c r="XED343" s="29"/>
      <c r="XEE343" s="29"/>
      <c r="XEF343" s="29"/>
      <c r="XEG343" s="29"/>
      <c r="XEH343" s="29"/>
      <c r="XEI343" s="29"/>
      <c r="XEJ343" s="29"/>
      <c r="XEK343" s="29"/>
      <c r="XEL343" s="29"/>
      <c r="XEM343" s="29"/>
      <c r="XEN343" s="29"/>
      <c r="XEO343" s="29"/>
      <c r="XEP343" s="29"/>
      <c r="XEQ343" s="29"/>
      <c r="XER343" s="29"/>
      <c r="XES343" s="29"/>
      <c r="XET343" s="29"/>
      <c r="XEU343" s="29"/>
      <c r="XEV343" s="29"/>
      <c r="XEW343" s="29"/>
      <c r="XEX343" s="29"/>
    </row>
    <row r="344" spans="1:16378" ht="3" customHeight="1">
      <c r="A344" s="446"/>
      <c r="B344" s="443"/>
      <c r="C344" s="443"/>
      <c r="D344" s="443"/>
      <c r="E344" s="443"/>
      <c r="F344" s="443"/>
      <c r="G344" s="443"/>
      <c r="H344" s="443"/>
      <c r="I344" s="443"/>
      <c r="J344" s="443"/>
      <c r="K344" s="447"/>
      <c r="L344" s="73"/>
      <c r="M344" s="29"/>
      <c r="N344" s="29"/>
      <c r="O344" s="29"/>
      <c r="P344" s="29"/>
      <c r="Q344" s="29"/>
      <c r="R344" s="29"/>
      <c r="S344" s="29"/>
      <c r="T344" s="29"/>
      <c r="U344" s="29"/>
      <c r="V344" s="29"/>
      <c r="W344" s="29"/>
      <c r="X344" s="29"/>
      <c r="Y344" s="29"/>
      <c r="Z344" s="29"/>
      <c r="AA344" s="29"/>
      <c r="AB344" s="29"/>
      <c r="AC344" s="29"/>
      <c r="AD344" s="29"/>
      <c r="AE344" s="29"/>
      <c r="AF344" s="29"/>
      <c r="AG344" s="29"/>
      <c r="AH344" s="29"/>
      <c r="AI344" s="29"/>
      <c r="AJ344" s="29"/>
      <c r="AK344" s="29"/>
      <c r="AL344" s="29"/>
      <c r="AM344" s="29"/>
      <c r="AN344" s="29"/>
      <c r="AO344" s="29"/>
      <c r="AP344" s="29"/>
      <c r="AQ344" s="29"/>
      <c r="AR344" s="29"/>
      <c r="AS344" s="29"/>
      <c r="AT344" s="29"/>
      <c r="AU344" s="29"/>
      <c r="AV344" s="29"/>
      <c r="AW344" s="29"/>
      <c r="AX344" s="29"/>
      <c r="AY344" s="29"/>
      <c r="AZ344" s="29"/>
      <c r="BA344" s="29"/>
      <c r="BB344" s="29"/>
      <c r="BC344" s="29"/>
      <c r="BD344" s="29"/>
      <c r="BE344" s="29"/>
      <c r="BF344" s="29"/>
      <c r="BG344" s="29"/>
      <c r="BH344" s="29"/>
      <c r="BI344" s="29"/>
      <c r="BJ344" s="29"/>
      <c r="BK344" s="29"/>
      <c r="BL344" s="29"/>
      <c r="BM344" s="29"/>
      <c r="BN344" s="29"/>
      <c r="BO344" s="29"/>
      <c r="BP344" s="29"/>
      <c r="BQ344" s="29"/>
      <c r="BR344" s="29"/>
      <c r="BS344" s="29"/>
      <c r="BT344" s="29"/>
      <c r="BU344" s="29"/>
      <c r="BV344" s="29"/>
      <c r="BW344" s="29"/>
      <c r="BX344" s="29"/>
      <c r="BY344" s="29"/>
      <c r="BZ344" s="29"/>
      <c r="CA344" s="29"/>
      <c r="CB344" s="29"/>
      <c r="CC344" s="29"/>
      <c r="CD344" s="29"/>
      <c r="CE344" s="29"/>
      <c r="CF344" s="29"/>
      <c r="CG344" s="29"/>
      <c r="CH344" s="29"/>
      <c r="CI344" s="29"/>
      <c r="CJ344" s="29"/>
      <c r="CK344" s="29"/>
      <c r="CL344" s="29"/>
      <c r="CM344" s="29"/>
      <c r="CN344" s="29"/>
      <c r="CO344" s="29"/>
      <c r="CP344" s="29"/>
      <c r="CQ344" s="29"/>
      <c r="CR344" s="29"/>
      <c r="CS344" s="29"/>
      <c r="CT344" s="29"/>
      <c r="CU344" s="29"/>
      <c r="CV344" s="29"/>
      <c r="CW344" s="29"/>
      <c r="CX344" s="29"/>
      <c r="CY344" s="29"/>
      <c r="CZ344" s="29"/>
      <c r="DA344" s="29"/>
      <c r="DB344" s="29"/>
      <c r="DC344" s="29"/>
      <c r="DD344" s="29"/>
      <c r="DE344" s="29"/>
      <c r="DF344" s="29"/>
      <c r="DG344" s="29"/>
      <c r="DH344" s="29"/>
      <c r="DI344" s="29"/>
      <c r="DJ344" s="29"/>
      <c r="DK344" s="29"/>
      <c r="DL344" s="29"/>
      <c r="DM344" s="29"/>
      <c r="DN344" s="29"/>
      <c r="DO344" s="29"/>
      <c r="DP344" s="29"/>
      <c r="DQ344" s="29"/>
      <c r="DR344" s="29"/>
      <c r="DS344" s="29"/>
      <c r="DT344" s="29"/>
      <c r="DU344" s="29"/>
      <c r="DV344" s="29"/>
      <c r="DW344" s="29"/>
      <c r="DX344" s="29"/>
      <c r="DY344" s="29"/>
      <c r="DZ344" s="29"/>
      <c r="EA344" s="29"/>
      <c r="EB344" s="29"/>
      <c r="EC344" s="29"/>
      <c r="ED344" s="29"/>
      <c r="EE344" s="29"/>
      <c r="EF344" s="29"/>
      <c r="EG344" s="29"/>
      <c r="EH344" s="29"/>
      <c r="EI344" s="29"/>
      <c r="EJ344" s="29"/>
      <c r="EK344" s="29"/>
      <c r="EL344" s="29"/>
      <c r="EM344" s="29"/>
      <c r="EN344" s="29"/>
      <c r="EO344" s="29"/>
      <c r="EP344" s="29"/>
      <c r="EQ344" s="29"/>
      <c r="ER344" s="29"/>
      <c r="ES344" s="29"/>
      <c r="ET344" s="29"/>
      <c r="EU344" s="29"/>
      <c r="EV344" s="29"/>
      <c r="EW344" s="29"/>
      <c r="EX344" s="29"/>
      <c r="EY344" s="29"/>
      <c r="EZ344" s="29"/>
      <c r="FA344" s="29"/>
      <c r="FB344" s="29"/>
      <c r="FC344" s="29"/>
      <c r="FD344" s="29"/>
      <c r="FE344" s="29"/>
      <c r="FF344" s="29"/>
      <c r="FG344" s="29"/>
      <c r="FH344" s="29"/>
      <c r="FI344" s="29"/>
      <c r="FJ344" s="29"/>
      <c r="FK344" s="29"/>
      <c r="FL344" s="29"/>
      <c r="FM344" s="29"/>
      <c r="FN344" s="29"/>
      <c r="FO344" s="29"/>
      <c r="FP344" s="29"/>
      <c r="FQ344" s="29"/>
      <c r="FR344" s="29"/>
      <c r="FS344" s="29"/>
      <c r="FT344" s="29"/>
      <c r="FU344" s="29"/>
      <c r="FV344" s="29"/>
      <c r="FW344" s="29"/>
      <c r="FX344" s="29"/>
      <c r="FY344" s="29"/>
      <c r="FZ344" s="29"/>
      <c r="GA344" s="29"/>
      <c r="GB344" s="29"/>
      <c r="GC344" s="29"/>
      <c r="GD344" s="29"/>
      <c r="GE344" s="29"/>
      <c r="GF344" s="29"/>
      <c r="GG344" s="29"/>
      <c r="GH344" s="29"/>
      <c r="GI344" s="29"/>
      <c r="GJ344" s="29"/>
      <c r="GK344" s="29"/>
      <c r="GL344" s="29"/>
      <c r="GM344" s="29"/>
      <c r="GN344" s="29"/>
      <c r="GO344" s="29"/>
      <c r="GP344" s="29"/>
      <c r="GQ344" s="29"/>
      <c r="GR344" s="29"/>
      <c r="GS344" s="29"/>
      <c r="GT344" s="29"/>
      <c r="GU344" s="29"/>
      <c r="GV344" s="29"/>
      <c r="GW344" s="29"/>
      <c r="GX344" s="29"/>
      <c r="GY344" s="29"/>
      <c r="GZ344" s="29"/>
      <c r="HA344" s="29"/>
      <c r="HB344" s="29"/>
      <c r="HC344" s="29"/>
      <c r="HD344" s="29"/>
      <c r="HE344" s="29"/>
      <c r="HF344" s="29"/>
      <c r="HG344" s="29"/>
      <c r="HH344" s="29"/>
      <c r="HI344" s="29"/>
      <c r="HJ344" s="29"/>
      <c r="HK344" s="29"/>
      <c r="HL344" s="29"/>
      <c r="HM344" s="29"/>
      <c r="HN344" s="29"/>
      <c r="HO344" s="29"/>
      <c r="HP344" s="29"/>
      <c r="HQ344" s="29"/>
      <c r="HR344" s="29"/>
      <c r="HS344" s="29"/>
      <c r="HT344" s="29"/>
      <c r="HU344" s="29"/>
      <c r="HV344" s="29"/>
      <c r="HW344" s="29"/>
      <c r="HX344" s="29"/>
      <c r="HY344" s="29"/>
      <c r="HZ344" s="29"/>
      <c r="IA344" s="29"/>
      <c r="IB344" s="29"/>
      <c r="IC344" s="29"/>
      <c r="ID344" s="29"/>
      <c r="IE344" s="29"/>
      <c r="IF344" s="29"/>
      <c r="IG344" s="29"/>
      <c r="IH344" s="29"/>
      <c r="II344" s="29"/>
      <c r="IJ344" s="29"/>
      <c r="IK344" s="29"/>
      <c r="IL344" s="29"/>
      <c r="IM344" s="29"/>
      <c r="IN344" s="29"/>
      <c r="IO344" s="29"/>
      <c r="IP344" s="29"/>
      <c r="IQ344" s="29"/>
      <c r="IR344" s="29"/>
      <c r="IS344" s="29"/>
      <c r="IT344" s="29"/>
      <c r="IU344" s="29"/>
      <c r="IV344" s="29"/>
      <c r="IW344" s="29"/>
      <c r="IX344" s="29"/>
      <c r="IY344" s="29"/>
      <c r="IZ344" s="29"/>
      <c r="JA344" s="29"/>
      <c r="JB344" s="29"/>
      <c r="JC344" s="29"/>
      <c r="JD344" s="29"/>
      <c r="JE344" s="29"/>
      <c r="JF344" s="29"/>
      <c r="JG344" s="29"/>
      <c r="JH344" s="29"/>
      <c r="JI344" s="29"/>
      <c r="JJ344" s="29"/>
      <c r="JK344" s="29"/>
      <c r="JL344" s="29"/>
      <c r="JM344" s="29"/>
      <c r="JN344" s="29"/>
      <c r="JO344" s="29"/>
      <c r="JP344" s="29"/>
      <c r="JQ344" s="29"/>
      <c r="JR344" s="29"/>
      <c r="JS344" s="29"/>
      <c r="JT344" s="29"/>
      <c r="JU344" s="29"/>
      <c r="JV344" s="29"/>
      <c r="JW344" s="29"/>
      <c r="JX344" s="29"/>
      <c r="JY344" s="29"/>
      <c r="JZ344" s="29"/>
      <c r="KA344" s="29"/>
      <c r="KB344" s="29"/>
      <c r="KC344" s="29"/>
      <c r="KD344" s="29"/>
      <c r="KE344" s="29"/>
      <c r="KF344" s="29"/>
      <c r="KG344" s="29"/>
      <c r="KH344" s="29"/>
      <c r="KI344" s="29"/>
      <c r="KJ344" s="29"/>
      <c r="KK344" s="29"/>
      <c r="KL344" s="29"/>
      <c r="KM344" s="29"/>
      <c r="KN344" s="29"/>
      <c r="KO344" s="29"/>
      <c r="KP344" s="29"/>
      <c r="KQ344" s="29"/>
      <c r="KR344" s="29"/>
      <c r="KS344" s="29"/>
      <c r="KT344" s="29"/>
      <c r="KU344" s="29"/>
      <c r="KV344" s="29"/>
      <c r="KW344" s="29"/>
      <c r="KX344" s="29"/>
      <c r="KY344" s="29"/>
      <c r="KZ344" s="29"/>
      <c r="LA344" s="29"/>
      <c r="LB344" s="29"/>
      <c r="LC344" s="29"/>
      <c r="LD344" s="29"/>
      <c r="LE344" s="29"/>
      <c r="LF344" s="29"/>
      <c r="LG344" s="29"/>
      <c r="LH344" s="29"/>
      <c r="LI344" s="29"/>
      <c r="LJ344" s="29"/>
      <c r="LK344" s="29"/>
      <c r="LL344" s="29"/>
      <c r="LM344" s="29"/>
      <c r="LN344" s="29"/>
      <c r="LO344" s="29"/>
      <c r="LP344" s="29"/>
      <c r="LQ344" s="29"/>
      <c r="LR344" s="29"/>
      <c r="LS344" s="29"/>
      <c r="LT344" s="29"/>
      <c r="LU344" s="29"/>
      <c r="LV344" s="29"/>
      <c r="LW344" s="29"/>
      <c r="LX344" s="29"/>
      <c r="LY344" s="29"/>
      <c r="LZ344" s="29"/>
      <c r="MA344" s="29"/>
      <c r="MB344" s="29"/>
      <c r="MC344" s="29"/>
      <c r="MD344" s="29"/>
      <c r="ME344" s="29"/>
      <c r="MF344" s="29"/>
      <c r="MG344" s="29"/>
      <c r="MH344" s="29"/>
      <c r="MI344" s="29"/>
      <c r="MJ344" s="29"/>
      <c r="MK344" s="29"/>
      <c r="ML344" s="29"/>
      <c r="MM344" s="29"/>
      <c r="MN344" s="29"/>
      <c r="MO344" s="29"/>
      <c r="MP344" s="29"/>
      <c r="MQ344" s="29"/>
      <c r="MR344" s="29"/>
      <c r="MS344" s="29"/>
      <c r="MT344" s="29"/>
      <c r="MU344" s="29"/>
      <c r="MV344" s="29"/>
      <c r="MW344" s="29"/>
      <c r="MX344" s="29"/>
      <c r="MY344" s="29"/>
      <c r="MZ344" s="29"/>
      <c r="NA344" s="29"/>
      <c r="NB344" s="29"/>
      <c r="NC344" s="29"/>
      <c r="ND344" s="29"/>
      <c r="NE344" s="29"/>
      <c r="NF344" s="29"/>
      <c r="NG344" s="29"/>
      <c r="NH344" s="29"/>
      <c r="NI344" s="29"/>
      <c r="NJ344" s="29"/>
      <c r="NK344" s="29"/>
      <c r="NL344" s="29"/>
      <c r="NM344" s="29"/>
      <c r="NN344" s="29"/>
      <c r="NO344" s="29"/>
      <c r="NP344" s="29"/>
      <c r="NQ344" s="29"/>
      <c r="NR344" s="29"/>
      <c r="NS344" s="29"/>
      <c r="NT344" s="29"/>
      <c r="NU344" s="29"/>
      <c r="NV344" s="29"/>
      <c r="NW344" s="29"/>
      <c r="NX344" s="29"/>
      <c r="NY344" s="29"/>
      <c r="NZ344" s="29"/>
      <c r="OA344" s="29"/>
      <c r="OB344" s="29"/>
      <c r="OC344" s="29"/>
      <c r="OD344" s="29"/>
      <c r="OE344" s="29"/>
      <c r="OF344" s="29"/>
      <c r="OG344" s="29"/>
      <c r="OH344" s="29"/>
      <c r="OI344" s="29"/>
      <c r="OJ344" s="29"/>
      <c r="OK344" s="29"/>
      <c r="OL344" s="29"/>
      <c r="OM344" s="29"/>
      <c r="ON344" s="29"/>
      <c r="OO344" s="29"/>
      <c r="OP344" s="29"/>
      <c r="OQ344" s="29"/>
      <c r="OR344" s="29"/>
      <c r="OS344" s="29"/>
      <c r="OT344" s="29"/>
      <c r="OU344" s="29"/>
      <c r="OV344" s="29"/>
      <c r="OW344" s="29"/>
      <c r="OX344" s="29"/>
      <c r="OY344" s="29"/>
      <c r="OZ344" s="29"/>
      <c r="PA344" s="29"/>
      <c r="PB344" s="29"/>
      <c r="PC344" s="29"/>
      <c r="PD344" s="29"/>
      <c r="PE344" s="29"/>
      <c r="PF344" s="29"/>
      <c r="PG344" s="29"/>
      <c r="PH344" s="29"/>
      <c r="PI344" s="29"/>
      <c r="PJ344" s="29"/>
      <c r="PK344" s="29"/>
      <c r="PL344" s="29"/>
      <c r="PM344" s="29"/>
      <c r="PN344" s="29"/>
      <c r="PO344" s="29"/>
      <c r="PP344" s="29"/>
      <c r="PQ344" s="29"/>
      <c r="PR344" s="29"/>
      <c r="PS344" s="29"/>
      <c r="PT344" s="29"/>
      <c r="PU344" s="29"/>
      <c r="PV344" s="29"/>
      <c r="PW344" s="29"/>
      <c r="PX344" s="29"/>
      <c r="PY344" s="29"/>
      <c r="PZ344" s="29"/>
      <c r="QA344" s="29"/>
      <c r="QB344" s="29"/>
      <c r="QC344" s="29"/>
      <c r="QD344" s="29"/>
      <c r="QE344" s="29"/>
      <c r="QF344" s="29"/>
      <c r="QG344" s="29"/>
      <c r="QH344" s="29"/>
      <c r="QI344" s="29"/>
      <c r="QJ344" s="29"/>
      <c r="QK344" s="29"/>
      <c r="QL344" s="29"/>
      <c r="QM344" s="29"/>
      <c r="QN344" s="29"/>
      <c r="QO344" s="29"/>
      <c r="QP344" s="29"/>
      <c r="QQ344" s="29"/>
      <c r="QR344" s="29"/>
      <c r="QS344" s="29"/>
      <c r="QT344" s="29"/>
      <c r="QU344" s="29"/>
      <c r="QV344" s="29"/>
      <c r="QW344" s="29"/>
      <c r="QX344" s="29"/>
      <c r="QY344" s="29"/>
      <c r="QZ344" s="29"/>
      <c r="RA344" s="29"/>
      <c r="RB344" s="29"/>
      <c r="RC344" s="29"/>
      <c r="RD344" s="29"/>
      <c r="RE344" s="29"/>
      <c r="RF344" s="29"/>
      <c r="RG344" s="29"/>
      <c r="RH344" s="29"/>
      <c r="RI344" s="29"/>
      <c r="RJ344" s="29"/>
      <c r="RK344" s="29"/>
      <c r="RL344" s="29"/>
      <c r="RM344" s="29"/>
      <c r="RN344" s="29"/>
      <c r="RO344" s="29"/>
      <c r="RP344" s="29"/>
      <c r="RQ344" s="29"/>
      <c r="RR344" s="29"/>
      <c r="RS344" s="29"/>
      <c r="RT344" s="29"/>
      <c r="RU344" s="29"/>
      <c r="RV344" s="29"/>
      <c r="RW344" s="29"/>
      <c r="RX344" s="29"/>
      <c r="RY344" s="29"/>
      <c r="RZ344" s="29"/>
      <c r="SA344" s="29"/>
      <c r="SB344" s="29"/>
      <c r="SC344" s="29"/>
      <c r="SD344" s="29"/>
      <c r="SE344" s="29"/>
      <c r="SF344" s="29"/>
      <c r="SG344" s="29"/>
      <c r="SH344" s="29"/>
      <c r="SI344" s="29"/>
      <c r="SJ344" s="29"/>
      <c r="SK344" s="29"/>
      <c r="SL344" s="29"/>
      <c r="SM344" s="29"/>
      <c r="SN344" s="29"/>
      <c r="SO344" s="29"/>
      <c r="SP344" s="29"/>
      <c r="SQ344" s="29"/>
      <c r="SR344" s="29"/>
      <c r="SS344" s="29"/>
      <c r="ST344" s="29"/>
      <c r="SU344" s="29"/>
      <c r="SV344" s="29"/>
      <c r="SW344" s="29"/>
      <c r="SX344" s="29"/>
      <c r="SY344" s="29"/>
      <c r="SZ344" s="29"/>
      <c r="TA344" s="29"/>
      <c r="TB344" s="29"/>
      <c r="TC344" s="29"/>
      <c r="TD344" s="29"/>
      <c r="TE344" s="29"/>
      <c r="TF344" s="29"/>
      <c r="TG344" s="29"/>
      <c r="TH344" s="29"/>
      <c r="TI344" s="29"/>
      <c r="TJ344" s="29"/>
      <c r="TK344" s="29"/>
      <c r="TL344" s="29"/>
      <c r="TM344" s="29"/>
      <c r="TN344" s="29"/>
      <c r="TO344" s="29"/>
      <c r="TP344" s="29"/>
      <c r="TQ344" s="29"/>
      <c r="TR344" s="29"/>
      <c r="TS344" s="29"/>
      <c r="TT344" s="29"/>
      <c r="TU344" s="29"/>
      <c r="TV344" s="29"/>
      <c r="TW344" s="29"/>
      <c r="TX344" s="29"/>
      <c r="TY344" s="29"/>
      <c r="TZ344" s="29"/>
      <c r="UA344" s="29"/>
      <c r="UB344" s="29"/>
      <c r="UC344" s="29"/>
      <c r="UD344" s="29"/>
      <c r="UE344" s="29"/>
      <c r="UF344" s="29"/>
      <c r="UG344" s="29"/>
      <c r="UH344" s="29"/>
      <c r="UI344" s="29"/>
      <c r="UJ344" s="29"/>
      <c r="UK344" s="29"/>
      <c r="UL344" s="29"/>
      <c r="UM344" s="29"/>
      <c r="UN344" s="29"/>
      <c r="UO344" s="29"/>
      <c r="UP344" s="29"/>
      <c r="UQ344" s="29"/>
      <c r="UR344" s="29"/>
      <c r="US344" s="29"/>
      <c r="UT344" s="29"/>
      <c r="UU344" s="29"/>
      <c r="UV344" s="29"/>
      <c r="UW344" s="29"/>
      <c r="UX344" s="29"/>
      <c r="UY344" s="29"/>
      <c r="UZ344" s="29"/>
      <c r="VA344" s="29"/>
      <c r="VB344" s="29"/>
      <c r="VC344" s="29"/>
      <c r="VD344" s="29"/>
      <c r="VE344" s="29"/>
      <c r="VF344" s="29"/>
      <c r="VG344" s="29"/>
      <c r="VH344" s="29"/>
      <c r="VI344" s="29"/>
      <c r="VJ344" s="29"/>
      <c r="VK344" s="29"/>
      <c r="VL344" s="29"/>
      <c r="VM344" s="29"/>
      <c r="VN344" s="29"/>
      <c r="VO344" s="29"/>
      <c r="VP344" s="29"/>
      <c r="VQ344" s="29"/>
      <c r="VR344" s="29"/>
      <c r="VS344" s="29"/>
      <c r="VT344" s="29"/>
      <c r="VU344" s="29"/>
      <c r="VV344" s="29"/>
      <c r="VW344" s="29"/>
      <c r="VX344" s="29"/>
      <c r="VY344" s="29"/>
      <c r="VZ344" s="29"/>
      <c r="WA344" s="29"/>
      <c r="WB344" s="29"/>
      <c r="WC344" s="29"/>
      <c r="WD344" s="29"/>
      <c r="WE344" s="29"/>
      <c r="WF344" s="29"/>
      <c r="WG344" s="29"/>
      <c r="WH344" s="29"/>
      <c r="WI344" s="29"/>
      <c r="WJ344" s="29"/>
      <c r="WK344" s="29"/>
      <c r="WL344" s="29"/>
      <c r="WM344" s="29"/>
      <c r="WN344" s="29"/>
      <c r="WO344" s="29"/>
      <c r="WP344" s="29"/>
      <c r="WQ344" s="29"/>
      <c r="WR344" s="29"/>
      <c r="WS344" s="29"/>
      <c r="WT344" s="29"/>
      <c r="WU344" s="29"/>
      <c r="WV344" s="29"/>
      <c r="WW344" s="29"/>
      <c r="WX344" s="29"/>
      <c r="WY344" s="29"/>
      <c r="WZ344" s="29"/>
      <c r="XA344" s="29"/>
      <c r="XB344" s="29"/>
      <c r="XC344" s="29"/>
      <c r="XD344" s="29"/>
      <c r="XE344" s="29"/>
      <c r="XF344" s="29"/>
      <c r="XG344" s="29"/>
      <c r="XH344" s="29"/>
      <c r="XI344" s="29"/>
      <c r="XJ344" s="29"/>
      <c r="XK344" s="29"/>
      <c r="XL344" s="29"/>
      <c r="XM344" s="29"/>
      <c r="XN344" s="29"/>
      <c r="XO344" s="29"/>
      <c r="XP344" s="29"/>
      <c r="XQ344" s="29"/>
      <c r="XR344" s="29"/>
      <c r="XS344" s="29"/>
      <c r="XT344" s="29"/>
      <c r="XU344" s="29"/>
      <c r="XV344" s="29"/>
      <c r="XW344" s="29"/>
      <c r="XX344" s="29"/>
      <c r="XY344" s="29"/>
      <c r="XZ344" s="29"/>
      <c r="YA344" s="29"/>
      <c r="YB344" s="29"/>
      <c r="YC344" s="29"/>
      <c r="YD344" s="29"/>
      <c r="YE344" s="29"/>
      <c r="YF344" s="29"/>
      <c r="YG344" s="29"/>
      <c r="YH344" s="29"/>
      <c r="YI344" s="29"/>
      <c r="YJ344" s="29"/>
      <c r="YK344" s="29"/>
      <c r="YL344" s="29"/>
      <c r="YM344" s="29"/>
      <c r="YN344" s="29"/>
      <c r="YO344" s="29"/>
      <c r="YP344" s="29"/>
      <c r="YQ344" s="29"/>
      <c r="YR344" s="29"/>
      <c r="YS344" s="29"/>
      <c r="YT344" s="29"/>
      <c r="YU344" s="29"/>
      <c r="YV344" s="29"/>
      <c r="YW344" s="29"/>
      <c r="YX344" s="29"/>
      <c r="YY344" s="29"/>
      <c r="YZ344" s="29"/>
      <c r="ZA344" s="29"/>
      <c r="ZB344" s="29"/>
      <c r="ZC344" s="29"/>
      <c r="ZD344" s="29"/>
      <c r="ZE344" s="29"/>
      <c r="ZF344" s="29"/>
      <c r="ZG344" s="29"/>
      <c r="ZH344" s="29"/>
      <c r="ZI344" s="29"/>
      <c r="ZJ344" s="29"/>
      <c r="ZK344" s="29"/>
      <c r="ZL344" s="29"/>
      <c r="ZM344" s="29"/>
      <c r="ZN344" s="29"/>
      <c r="ZO344" s="29"/>
      <c r="ZP344" s="29"/>
      <c r="ZQ344" s="29"/>
      <c r="ZR344" s="29"/>
      <c r="ZS344" s="29"/>
      <c r="ZT344" s="29"/>
      <c r="ZU344" s="29"/>
      <c r="ZV344" s="29"/>
      <c r="ZW344" s="29"/>
      <c r="ZX344" s="29"/>
      <c r="ZY344" s="29"/>
      <c r="ZZ344" s="29"/>
      <c r="AAA344" s="29"/>
      <c r="AAB344" s="29"/>
      <c r="AAC344" s="29"/>
      <c r="AAD344" s="29"/>
      <c r="AAE344" s="29"/>
      <c r="AAF344" s="29"/>
      <c r="AAG344" s="29"/>
      <c r="AAH344" s="29"/>
      <c r="AAI344" s="29"/>
      <c r="AAJ344" s="29"/>
      <c r="AAK344" s="29"/>
      <c r="AAL344" s="29"/>
      <c r="AAM344" s="29"/>
      <c r="AAN344" s="29"/>
      <c r="AAO344" s="29"/>
      <c r="AAP344" s="29"/>
      <c r="AAQ344" s="29"/>
      <c r="AAR344" s="29"/>
      <c r="AAS344" s="29"/>
      <c r="AAT344" s="29"/>
      <c r="AAU344" s="29"/>
      <c r="AAV344" s="29"/>
      <c r="AAW344" s="29"/>
      <c r="AAX344" s="29"/>
      <c r="AAY344" s="29"/>
      <c r="AAZ344" s="29"/>
      <c r="ABA344" s="29"/>
      <c r="ABB344" s="29"/>
      <c r="ABC344" s="29"/>
      <c r="ABD344" s="29"/>
      <c r="ABE344" s="29"/>
      <c r="ABF344" s="29"/>
      <c r="ABG344" s="29"/>
      <c r="ABH344" s="29"/>
      <c r="ABI344" s="29"/>
      <c r="ABJ344" s="29"/>
      <c r="ABK344" s="29"/>
      <c r="ABL344" s="29"/>
      <c r="ABM344" s="29"/>
      <c r="ABN344" s="29"/>
      <c r="ABO344" s="29"/>
      <c r="ABP344" s="29"/>
      <c r="ABQ344" s="29"/>
      <c r="ABR344" s="29"/>
      <c r="ABS344" s="29"/>
      <c r="ABT344" s="29"/>
      <c r="ABU344" s="29"/>
      <c r="ABV344" s="29"/>
      <c r="ABW344" s="29"/>
      <c r="ABX344" s="29"/>
      <c r="ABY344" s="29"/>
      <c r="ABZ344" s="29"/>
      <c r="ACA344" s="29"/>
      <c r="ACB344" s="29"/>
      <c r="ACC344" s="29"/>
      <c r="ACD344" s="29"/>
      <c r="ACE344" s="29"/>
      <c r="ACF344" s="29"/>
      <c r="ACG344" s="29"/>
      <c r="ACH344" s="29"/>
      <c r="ACI344" s="29"/>
      <c r="ACJ344" s="29"/>
      <c r="ACK344" s="29"/>
      <c r="ACL344" s="29"/>
      <c r="ACM344" s="29"/>
      <c r="ACN344" s="29"/>
      <c r="ACO344" s="29"/>
      <c r="ACP344" s="29"/>
      <c r="ACQ344" s="29"/>
      <c r="ACR344" s="29"/>
      <c r="ACS344" s="29"/>
      <c r="ACT344" s="29"/>
      <c r="ACU344" s="29"/>
      <c r="ACV344" s="29"/>
      <c r="ACW344" s="29"/>
      <c r="ACX344" s="29"/>
      <c r="ACY344" s="29"/>
      <c r="ACZ344" s="29"/>
      <c r="ADA344" s="29"/>
      <c r="ADB344" s="29"/>
      <c r="ADC344" s="29"/>
      <c r="ADD344" s="29"/>
      <c r="ADE344" s="29"/>
      <c r="ADF344" s="29"/>
      <c r="ADG344" s="29"/>
      <c r="ADH344" s="29"/>
      <c r="ADI344" s="29"/>
      <c r="ADJ344" s="29"/>
      <c r="ADK344" s="29"/>
      <c r="ADL344" s="29"/>
      <c r="ADM344" s="29"/>
      <c r="ADN344" s="29"/>
      <c r="ADO344" s="29"/>
      <c r="ADP344" s="29"/>
      <c r="ADQ344" s="29"/>
      <c r="ADR344" s="29"/>
      <c r="ADS344" s="29"/>
      <c r="ADT344" s="29"/>
      <c r="ADU344" s="29"/>
      <c r="ADV344" s="29"/>
      <c r="ADW344" s="29"/>
      <c r="ADX344" s="29"/>
      <c r="ADY344" s="29"/>
      <c r="ADZ344" s="29"/>
      <c r="AEA344" s="29"/>
      <c r="AEB344" s="29"/>
      <c r="AEC344" s="29"/>
      <c r="AED344" s="29"/>
      <c r="AEE344" s="29"/>
      <c r="AEF344" s="29"/>
      <c r="AEG344" s="29"/>
      <c r="AEH344" s="29"/>
      <c r="AEI344" s="29"/>
      <c r="AEJ344" s="29"/>
      <c r="AEK344" s="29"/>
      <c r="AEL344" s="29"/>
      <c r="AEM344" s="29"/>
      <c r="AEN344" s="29"/>
      <c r="AEO344" s="29"/>
      <c r="AEP344" s="29"/>
      <c r="AEQ344" s="29"/>
      <c r="AER344" s="29"/>
      <c r="AES344" s="29"/>
      <c r="AET344" s="29"/>
      <c r="AEU344" s="29"/>
      <c r="AEV344" s="29"/>
      <c r="AEW344" s="29"/>
      <c r="AEX344" s="29"/>
      <c r="AEY344" s="29"/>
      <c r="AEZ344" s="29"/>
      <c r="AFA344" s="29"/>
      <c r="AFB344" s="29"/>
      <c r="AFC344" s="29"/>
      <c r="AFD344" s="29"/>
      <c r="AFE344" s="29"/>
      <c r="AFF344" s="29"/>
      <c r="AFG344" s="29"/>
      <c r="AFH344" s="29"/>
      <c r="AFI344" s="29"/>
      <c r="AFJ344" s="29"/>
      <c r="AFK344" s="29"/>
      <c r="AFL344" s="29"/>
      <c r="AFM344" s="29"/>
      <c r="AFN344" s="29"/>
      <c r="AFO344" s="29"/>
      <c r="AFP344" s="29"/>
      <c r="AFQ344" s="29"/>
      <c r="AFR344" s="29"/>
      <c r="AFS344" s="29"/>
      <c r="AFT344" s="29"/>
      <c r="AFU344" s="29"/>
      <c r="AFV344" s="29"/>
      <c r="AFW344" s="29"/>
      <c r="AFX344" s="29"/>
      <c r="AFY344" s="29"/>
      <c r="AFZ344" s="29"/>
      <c r="AGA344" s="29"/>
      <c r="AGB344" s="29"/>
      <c r="AGC344" s="29"/>
      <c r="AGD344" s="29"/>
      <c r="AGE344" s="29"/>
      <c r="AGF344" s="29"/>
      <c r="AGG344" s="29"/>
      <c r="AGH344" s="29"/>
      <c r="AGI344" s="29"/>
      <c r="AGJ344" s="29"/>
      <c r="AGK344" s="29"/>
      <c r="AGL344" s="29"/>
      <c r="AGM344" s="29"/>
      <c r="AGN344" s="29"/>
      <c r="AGO344" s="29"/>
      <c r="AGP344" s="29"/>
      <c r="AGQ344" s="29"/>
      <c r="AGR344" s="29"/>
      <c r="AGS344" s="29"/>
      <c r="AGT344" s="29"/>
      <c r="AGU344" s="29"/>
      <c r="AGV344" s="29"/>
      <c r="AGW344" s="29"/>
      <c r="AGX344" s="29"/>
      <c r="AGY344" s="29"/>
      <c r="AGZ344" s="29"/>
      <c r="AHA344" s="29"/>
      <c r="AHB344" s="29"/>
      <c r="AHC344" s="29"/>
      <c r="AHD344" s="29"/>
      <c r="AHE344" s="29"/>
      <c r="AHF344" s="29"/>
      <c r="AHG344" s="29"/>
      <c r="AHH344" s="29"/>
      <c r="AHI344" s="29"/>
      <c r="AHJ344" s="29"/>
      <c r="AHK344" s="29"/>
      <c r="AHL344" s="29"/>
      <c r="AHM344" s="29"/>
      <c r="AHN344" s="29"/>
      <c r="AHO344" s="29"/>
      <c r="AHP344" s="29"/>
      <c r="AHQ344" s="29"/>
      <c r="AHR344" s="29"/>
      <c r="AHS344" s="29"/>
      <c r="AHT344" s="29"/>
      <c r="AHU344" s="29"/>
      <c r="AHV344" s="29"/>
      <c r="AHW344" s="29"/>
      <c r="AHX344" s="29"/>
      <c r="AHY344" s="29"/>
      <c r="AHZ344" s="29"/>
      <c r="AIA344" s="29"/>
      <c r="AIB344" s="29"/>
      <c r="AIC344" s="29"/>
      <c r="AID344" s="29"/>
      <c r="AIE344" s="29"/>
      <c r="AIF344" s="29"/>
      <c r="AIG344" s="29"/>
      <c r="AIH344" s="29"/>
      <c r="AII344" s="29"/>
      <c r="AIJ344" s="29"/>
      <c r="AIK344" s="29"/>
      <c r="AIL344" s="29"/>
      <c r="AIM344" s="29"/>
      <c r="AIN344" s="29"/>
      <c r="AIO344" s="29"/>
      <c r="AIP344" s="29"/>
      <c r="AIQ344" s="29"/>
      <c r="AIR344" s="29"/>
      <c r="AIS344" s="29"/>
      <c r="AIT344" s="29"/>
      <c r="AIU344" s="29"/>
      <c r="AIV344" s="29"/>
      <c r="AIW344" s="29"/>
      <c r="AIX344" s="29"/>
      <c r="AIY344" s="29"/>
      <c r="AIZ344" s="29"/>
      <c r="AJA344" s="29"/>
      <c r="AJB344" s="29"/>
      <c r="AJC344" s="29"/>
      <c r="AJD344" s="29"/>
      <c r="AJE344" s="29"/>
      <c r="AJF344" s="29"/>
      <c r="AJG344" s="29"/>
      <c r="AJH344" s="29"/>
      <c r="AJI344" s="29"/>
      <c r="AJJ344" s="29"/>
      <c r="AJK344" s="29"/>
      <c r="AJL344" s="29"/>
      <c r="AJM344" s="29"/>
      <c r="AJN344" s="29"/>
      <c r="AJO344" s="29"/>
      <c r="AJP344" s="29"/>
      <c r="AJQ344" s="29"/>
      <c r="AJR344" s="29"/>
      <c r="AJS344" s="29"/>
      <c r="AJT344" s="29"/>
      <c r="AJU344" s="29"/>
      <c r="AJV344" s="29"/>
      <c r="AJW344" s="29"/>
      <c r="AJX344" s="29"/>
      <c r="AJY344" s="29"/>
      <c r="AJZ344" s="29"/>
      <c r="AKA344" s="29"/>
      <c r="AKB344" s="29"/>
      <c r="AKC344" s="29"/>
      <c r="AKD344" s="29"/>
      <c r="AKE344" s="29"/>
      <c r="AKF344" s="29"/>
      <c r="AKG344" s="29"/>
      <c r="AKH344" s="29"/>
      <c r="AKI344" s="29"/>
      <c r="AKJ344" s="29"/>
      <c r="AKK344" s="29"/>
      <c r="AKL344" s="29"/>
      <c r="AKM344" s="29"/>
      <c r="AKN344" s="29"/>
      <c r="AKO344" s="29"/>
      <c r="AKP344" s="29"/>
      <c r="AKQ344" s="29"/>
      <c r="AKR344" s="29"/>
      <c r="AKS344" s="29"/>
      <c r="AKT344" s="29"/>
      <c r="AKU344" s="29"/>
      <c r="AKV344" s="29"/>
      <c r="AKW344" s="29"/>
      <c r="AKX344" s="29"/>
      <c r="AKY344" s="29"/>
      <c r="AKZ344" s="29"/>
      <c r="ALA344" s="29"/>
      <c r="ALB344" s="29"/>
      <c r="ALC344" s="29"/>
      <c r="ALD344" s="29"/>
      <c r="ALE344" s="29"/>
      <c r="ALF344" s="29"/>
      <c r="ALG344" s="29"/>
      <c r="ALH344" s="29"/>
      <c r="ALI344" s="29"/>
      <c r="ALJ344" s="29"/>
      <c r="ALK344" s="29"/>
      <c r="ALL344" s="29"/>
      <c r="ALM344" s="29"/>
      <c r="ALN344" s="29"/>
      <c r="ALO344" s="29"/>
      <c r="ALP344" s="29"/>
      <c r="ALQ344" s="29"/>
      <c r="ALR344" s="29"/>
      <c r="ALS344" s="29"/>
      <c r="ALT344" s="29"/>
      <c r="ALU344" s="29"/>
      <c r="ALV344" s="29"/>
      <c r="ALW344" s="29"/>
      <c r="ALX344" s="29"/>
      <c r="ALY344" s="29"/>
      <c r="ALZ344" s="29"/>
      <c r="AMA344" s="29"/>
      <c r="AMB344" s="29"/>
      <c r="AMC344" s="29"/>
      <c r="AMD344" s="29"/>
      <c r="AME344" s="29"/>
      <c r="AMF344" s="29"/>
      <c r="AMG344" s="29"/>
      <c r="AMH344" s="29"/>
      <c r="AMI344" s="29"/>
      <c r="AMJ344" s="29"/>
      <c r="AMK344" s="29"/>
      <c r="AML344" s="29"/>
      <c r="AMM344" s="29"/>
      <c r="AMN344" s="29"/>
      <c r="AMO344" s="29"/>
      <c r="AMP344" s="29"/>
      <c r="AMQ344" s="29"/>
      <c r="AMR344" s="29"/>
      <c r="AMS344" s="29"/>
      <c r="AMT344" s="29"/>
      <c r="AMU344" s="29"/>
      <c r="AMV344" s="29"/>
      <c r="AMW344" s="29"/>
      <c r="AMX344" s="29"/>
      <c r="AMY344" s="29"/>
      <c r="AMZ344" s="29"/>
      <c r="ANA344" s="29"/>
      <c r="ANB344" s="29"/>
      <c r="ANC344" s="29"/>
      <c r="AND344" s="29"/>
      <c r="ANE344" s="29"/>
      <c r="ANF344" s="29"/>
      <c r="ANG344" s="29"/>
      <c r="ANH344" s="29"/>
      <c r="ANI344" s="29"/>
      <c r="ANJ344" s="29"/>
      <c r="ANK344" s="29"/>
      <c r="ANL344" s="29"/>
      <c r="ANM344" s="29"/>
      <c r="ANN344" s="29"/>
      <c r="ANO344" s="29"/>
      <c r="ANP344" s="29"/>
      <c r="ANQ344" s="29"/>
      <c r="ANR344" s="29"/>
      <c r="ANS344" s="29"/>
      <c r="ANT344" s="29"/>
      <c r="ANU344" s="29"/>
      <c r="ANV344" s="29"/>
      <c r="ANW344" s="29"/>
      <c r="ANX344" s="29"/>
      <c r="ANY344" s="29"/>
      <c r="ANZ344" s="29"/>
      <c r="AOA344" s="29"/>
      <c r="AOB344" s="29"/>
      <c r="AOC344" s="29"/>
      <c r="AOD344" s="29"/>
      <c r="AOE344" s="29"/>
      <c r="AOF344" s="29"/>
      <c r="AOG344" s="29"/>
      <c r="AOH344" s="29"/>
      <c r="AOI344" s="29"/>
      <c r="AOJ344" s="29"/>
      <c r="AOK344" s="29"/>
      <c r="AOL344" s="29"/>
      <c r="AOM344" s="29"/>
      <c r="AON344" s="29"/>
      <c r="AOO344" s="29"/>
      <c r="AOP344" s="29"/>
      <c r="AOQ344" s="29"/>
      <c r="AOR344" s="29"/>
      <c r="AOS344" s="29"/>
      <c r="AOT344" s="29"/>
      <c r="AOU344" s="29"/>
      <c r="AOV344" s="29"/>
      <c r="AOW344" s="29"/>
      <c r="AOX344" s="29"/>
      <c r="AOY344" s="29"/>
      <c r="AOZ344" s="29"/>
      <c r="APA344" s="29"/>
      <c r="APB344" s="29"/>
      <c r="APC344" s="29"/>
      <c r="APD344" s="29"/>
      <c r="APE344" s="29"/>
      <c r="APF344" s="29"/>
      <c r="APG344" s="29"/>
      <c r="APH344" s="29"/>
      <c r="API344" s="29"/>
      <c r="APJ344" s="29"/>
      <c r="APK344" s="29"/>
      <c r="APL344" s="29"/>
      <c r="APM344" s="29"/>
      <c r="APN344" s="29"/>
      <c r="APO344" s="29"/>
      <c r="APP344" s="29"/>
      <c r="APQ344" s="29"/>
      <c r="APR344" s="29"/>
      <c r="APS344" s="29"/>
      <c r="APT344" s="29"/>
      <c r="APU344" s="29"/>
      <c r="APV344" s="29"/>
      <c r="APW344" s="29"/>
      <c r="APX344" s="29"/>
      <c r="APY344" s="29"/>
      <c r="APZ344" s="29"/>
      <c r="AQA344" s="29"/>
      <c r="AQB344" s="29"/>
      <c r="AQC344" s="29"/>
      <c r="AQD344" s="29"/>
      <c r="AQE344" s="29"/>
      <c r="AQF344" s="29"/>
      <c r="AQG344" s="29"/>
      <c r="AQH344" s="29"/>
      <c r="AQI344" s="29"/>
      <c r="AQJ344" s="29"/>
      <c r="AQK344" s="29"/>
      <c r="AQL344" s="29"/>
      <c r="AQM344" s="29"/>
      <c r="AQN344" s="29"/>
      <c r="AQO344" s="29"/>
      <c r="AQP344" s="29"/>
      <c r="AQQ344" s="29"/>
      <c r="AQR344" s="29"/>
      <c r="AQS344" s="29"/>
      <c r="AQT344" s="29"/>
      <c r="AQU344" s="29"/>
      <c r="AQV344" s="29"/>
      <c r="AQW344" s="29"/>
      <c r="AQX344" s="29"/>
      <c r="AQY344" s="29"/>
      <c r="AQZ344" s="29"/>
      <c r="ARA344" s="29"/>
      <c r="ARB344" s="29"/>
      <c r="ARC344" s="29"/>
      <c r="ARD344" s="29"/>
      <c r="ARE344" s="29"/>
      <c r="ARF344" s="29"/>
      <c r="ARG344" s="29"/>
      <c r="ARH344" s="29"/>
      <c r="ARI344" s="29"/>
      <c r="ARJ344" s="29"/>
      <c r="ARK344" s="29"/>
      <c r="ARL344" s="29"/>
      <c r="ARM344" s="29"/>
      <c r="ARN344" s="29"/>
      <c r="ARO344" s="29"/>
      <c r="ARP344" s="29"/>
      <c r="ARQ344" s="29"/>
      <c r="ARR344" s="29"/>
      <c r="ARS344" s="29"/>
      <c r="ART344" s="29"/>
      <c r="ARU344" s="29"/>
      <c r="ARV344" s="29"/>
      <c r="ARW344" s="29"/>
      <c r="ARX344" s="29"/>
      <c r="ARY344" s="29"/>
      <c r="ARZ344" s="29"/>
      <c r="ASA344" s="29"/>
      <c r="ASB344" s="29"/>
      <c r="ASC344" s="29"/>
      <c r="ASD344" s="29"/>
      <c r="ASE344" s="29"/>
      <c r="ASF344" s="29"/>
      <c r="ASG344" s="29"/>
      <c r="ASH344" s="29"/>
      <c r="ASI344" s="29"/>
      <c r="ASJ344" s="29"/>
      <c r="ASK344" s="29"/>
      <c r="ASL344" s="29"/>
      <c r="ASM344" s="29"/>
      <c r="ASN344" s="29"/>
      <c r="ASO344" s="29"/>
      <c r="ASP344" s="29"/>
      <c r="ASQ344" s="29"/>
      <c r="ASR344" s="29"/>
      <c r="ASS344" s="29"/>
      <c r="AST344" s="29"/>
      <c r="ASU344" s="29"/>
      <c r="ASV344" s="29"/>
      <c r="ASW344" s="29"/>
      <c r="ASX344" s="29"/>
      <c r="ASY344" s="29"/>
      <c r="ASZ344" s="29"/>
      <c r="ATA344" s="29"/>
      <c r="ATB344" s="29"/>
      <c r="ATC344" s="29"/>
      <c r="ATD344" s="29"/>
      <c r="ATE344" s="29"/>
      <c r="ATF344" s="29"/>
      <c r="ATG344" s="29"/>
      <c r="ATH344" s="29"/>
      <c r="ATI344" s="29"/>
      <c r="ATJ344" s="29"/>
      <c r="ATK344" s="29"/>
      <c r="ATL344" s="29"/>
      <c r="ATM344" s="29"/>
      <c r="ATN344" s="29"/>
      <c r="ATO344" s="29"/>
      <c r="ATP344" s="29"/>
      <c r="ATQ344" s="29"/>
      <c r="ATR344" s="29"/>
      <c r="ATS344" s="29"/>
      <c r="ATT344" s="29"/>
      <c r="ATU344" s="29"/>
      <c r="ATV344" s="29"/>
      <c r="ATW344" s="29"/>
      <c r="ATX344" s="29"/>
      <c r="ATY344" s="29"/>
      <c r="ATZ344" s="29"/>
      <c r="AUA344" s="29"/>
      <c r="AUB344" s="29"/>
      <c r="AUC344" s="29"/>
      <c r="AUD344" s="29"/>
      <c r="AUE344" s="29"/>
      <c r="AUF344" s="29"/>
      <c r="AUG344" s="29"/>
      <c r="AUH344" s="29"/>
      <c r="AUI344" s="29"/>
      <c r="AUJ344" s="29"/>
      <c r="AUK344" s="29"/>
      <c r="AUL344" s="29"/>
      <c r="AUM344" s="29"/>
      <c r="AUN344" s="29"/>
      <c r="AUO344" s="29"/>
      <c r="AUP344" s="29"/>
      <c r="AUQ344" s="29"/>
      <c r="AUR344" s="29"/>
      <c r="AUS344" s="29"/>
      <c r="AUT344" s="29"/>
      <c r="AUU344" s="29"/>
      <c r="AUV344" s="29"/>
      <c r="AUW344" s="29"/>
      <c r="AUX344" s="29"/>
      <c r="AUY344" s="29"/>
      <c r="AUZ344" s="29"/>
      <c r="AVA344" s="29"/>
      <c r="AVB344" s="29"/>
      <c r="AVC344" s="29"/>
      <c r="AVD344" s="29"/>
      <c r="AVE344" s="29"/>
      <c r="AVF344" s="29"/>
      <c r="AVG344" s="29"/>
      <c r="AVH344" s="29"/>
      <c r="AVI344" s="29"/>
      <c r="AVJ344" s="29"/>
      <c r="AVK344" s="29"/>
      <c r="AVL344" s="29"/>
      <c r="AVM344" s="29"/>
      <c r="AVN344" s="29"/>
      <c r="AVO344" s="29"/>
      <c r="AVP344" s="29"/>
      <c r="AVQ344" s="29"/>
      <c r="AVR344" s="29"/>
      <c r="AVS344" s="29"/>
      <c r="AVT344" s="29"/>
      <c r="AVU344" s="29"/>
      <c r="AVV344" s="29"/>
      <c r="AVW344" s="29"/>
      <c r="AVX344" s="29"/>
      <c r="AVY344" s="29"/>
      <c r="AVZ344" s="29"/>
      <c r="AWA344" s="29"/>
      <c r="AWB344" s="29"/>
      <c r="AWC344" s="29"/>
      <c r="AWD344" s="29"/>
      <c r="AWE344" s="29"/>
      <c r="AWF344" s="29"/>
      <c r="AWG344" s="29"/>
      <c r="AWH344" s="29"/>
      <c r="AWI344" s="29"/>
      <c r="AWJ344" s="29"/>
      <c r="AWK344" s="29"/>
      <c r="AWL344" s="29"/>
      <c r="AWM344" s="29"/>
      <c r="AWN344" s="29"/>
      <c r="AWO344" s="29"/>
      <c r="AWP344" s="29"/>
      <c r="AWQ344" s="29"/>
      <c r="AWR344" s="29"/>
      <c r="AWS344" s="29"/>
      <c r="AWT344" s="29"/>
      <c r="AWU344" s="29"/>
      <c r="AWV344" s="29"/>
      <c r="AWW344" s="29"/>
      <c r="AWX344" s="29"/>
      <c r="AWY344" s="29"/>
      <c r="AWZ344" s="29"/>
      <c r="AXA344" s="29"/>
      <c r="AXB344" s="29"/>
      <c r="AXC344" s="29"/>
      <c r="AXD344" s="29"/>
      <c r="AXE344" s="29"/>
      <c r="AXF344" s="29"/>
      <c r="AXG344" s="29"/>
      <c r="AXH344" s="29"/>
      <c r="AXI344" s="29"/>
      <c r="AXJ344" s="29"/>
      <c r="AXK344" s="29"/>
      <c r="AXL344" s="29"/>
      <c r="AXM344" s="29"/>
      <c r="AXN344" s="29"/>
      <c r="AXO344" s="29"/>
      <c r="AXP344" s="29"/>
      <c r="AXQ344" s="29"/>
      <c r="AXR344" s="29"/>
      <c r="AXS344" s="29"/>
      <c r="AXT344" s="29"/>
      <c r="AXU344" s="29"/>
      <c r="AXV344" s="29"/>
      <c r="AXW344" s="29"/>
      <c r="AXX344" s="29"/>
      <c r="AXY344" s="29"/>
      <c r="AXZ344" s="29"/>
      <c r="AYA344" s="29"/>
      <c r="AYB344" s="29"/>
      <c r="AYC344" s="29"/>
      <c r="AYD344" s="29"/>
      <c r="AYE344" s="29"/>
      <c r="AYF344" s="29"/>
      <c r="AYG344" s="29"/>
      <c r="AYH344" s="29"/>
      <c r="AYI344" s="29"/>
      <c r="AYJ344" s="29"/>
      <c r="AYK344" s="29"/>
      <c r="AYL344" s="29"/>
      <c r="AYM344" s="29"/>
      <c r="AYN344" s="29"/>
      <c r="AYO344" s="29"/>
      <c r="AYP344" s="29"/>
      <c r="AYQ344" s="29"/>
      <c r="AYR344" s="29"/>
      <c r="AYS344" s="29"/>
      <c r="AYT344" s="29"/>
      <c r="AYU344" s="29"/>
      <c r="AYV344" s="29"/>
      <c r="AYW344" s="29"/>
      <c r="AYX344" s="29"/>
      <c r="AYY344" s="29"/>
      <c r="AYZ344" s="29"/>
      <c r="AZA344" s="29"/>
      <c r="AZB344" s="29"/>
      <c r="AZC344" s="29"/>
      <c r="AZD344" s="29"/>
      <c r="AZE344" s="29"/>
      <c r="AZF344" s="29"/>
      <c r="AZG344" s="29"/>
      <c r="AZH344" s="29"/>
      <c r="AZI344" s="29"/>
      <c r="AZJ344" s="29"/>
      <c r="AZK344" s="29"/>
      <c r="AZL344" s="29"/>
      <c r="AZM344" s="29"/>
      <c r="AZN344" s="29"/>
      <c r="AZO344" s="29"/>
      <c r="AZP344" s="29"/>
      <c r="AZQ344" s="29"/>
      <c r="AZR344" s="29"/>
      <c r="AZS344" s="29"/>
      <c r="AZT344" s="29"/>
      <c r="AZU344" s="29"/>
      <c r="AZV344" s="29"/>
      <c r="AZW344" s="29"/>
      <c r="AZX344" s="29"/>
      <c r="AZY344" s="29"/>
      <c r="AZZ344" s="29"/>
      <c r="BAA344" s="29"/>
      <c r="BAB344" s="29"/>
      <c r="BAC344" s="29"/>
      <c r="BAD344" s="29"/>
      <c r="BAE344" s="29"/>
      <c r="BAF344" s="29"/>
      <c r="BAG344" s="29"/>
      <c r="BAH344" s="29"/>
      <c r="BAI344" s="29"/>
      <c r="BAJ344" s="29"/>
      <c r="BAK344" s="29"/>
      <c r="BAL344" s="29"/>
      <c r="BAM344" s="29"/>
      <c r="BAN344" s="29"/>
      <c r="BAO344" s="29"/>
      <c r="BAP344" s="29"/>
      <c r="BAQ344" s="29"/>
      <c r="BAR344" s="29"/>
      <c r="BAS344" s="29"/>
      <c r="BAT344" s="29"/>
      <c r="BAU344" s="29"/>
      <c r="BAV344" s="29"/>
      <c r="BAW344" s="29"/>
      <c r="BAX344" s="29"/>
      <c r="BAY344" s="29"/>
      <c r="BAZ344" s="29"/>
      <c r="BBA344" s="29"/>
      <c r="BBB344" s="29"/>
      <c r="BBC344" s="29"/>
      <c r="BBD344" s="29"/>
      <c r="BBE344" s="29"/>
      <c r="BBF344" s="29"/>
      <c r="BBG344" s="29"/>
      <c r="BBH344" s="29"/>
      <c r="BBI344" s="29"/>
      <c r="BBJ344" s="29"/>
      <c r="BBK344" s="29"/>
      <c r="BBL344" s="29"/>
      <c r="BBM344" s="29"/>
      <c r="BBN344" s="29"/>
      <c r="BBO344" s="29"/>
      <c r="BBP344" s="29"/>
      <c r="BBQ344" s="29"/>
      <c r="BBR344" s="29"/>
      <c r="BBS344" s="29"/>
      <c r="BBT344" s="29"/>
      <c r="BBU344" s="29"/>
      <c r="BBV344" s="29"/>
      <c r="BBW344" s="29"/>
      <c r="BBX344" s="29"/>
      <c r="BBY344" s="29"/>
      <c r="BBZ344" s="29"/>
      <c r="BCA344" s="29"/>
      <c r="BCB344" s="29"/>
      <c r="BCC344" s="29"/>
      <c r="BCD344" s="29"/>
      <c r="BCE344" s="29"/>
      <c r="BCF344" s="29"/>
      <c r="BCG344" s="29"/>
      <c r="BCH344" s="29"/>
      <c r="BCI344" s="29"/>
      <c r="BCJ344" s="29"/>
      <c r="BCK344" s="29"/>
      <c r="BCL344" s="29"/>
      <c r="BCM344" s="29"/>
      <c r="BCN344" s="29"/>
      <c r="BCO344" s="29"/>
      <c r="BCP344" s="29"/>
      <c r="BCQ344" s="29"/>
      <c r="BCR344" s="29"/>
      <c r="BCS344" s="29"/>
      <c r="BCT344" s="29"/>
      <c r="BCU344" s="29"/>
      <c r="BCV344" s="29"/>
      <c r="BCW344" s="29"/>
      <c r="BCX344" s="29"/>
      <c r="BCY344" s="29"/>
      <c r="BCZ344" s="29"/>
      <c r="BDA344" s="29"/>
      <c r="BDB344" s="29"/>
      <c r="BDC344" s="29"/>
      <c r="BDD344" s="29"/>
      <c r="BDE344" s="29"/>
      <c r="BDF344" s="29"/>
      <c r="BDG344" s="29"/>
      <c r="BDH344" s="29"/>
      <c r="BDI344" s="29"/>
      <c r="BDJ344" s="29"/>
      <c r="BDK344" s="29"/>
      <c r="BDL344" s="29"/>
      <c r="BDM344" s="29"/>
      <c r="BDN344" s="29"/>
      <c r="BDO344" s="29"/>
      <c r="BDP344" s="29"/>
      <c r="BDQ344" s="29"/>
      <c r="BDR344" s="29"/>
      <c r="BDS344" s="29"/>
      <c r="BDT344" s="29"/>
      <c r="BDU344" s="29"/>
      <c r="BDV344" s="29"/>
      <c r="BDW344" s="29"/>
      <c r="BDX344" s="29"/>
      <c r="BDY344" s="29"/>
      <c r="BDZ344" s="29"/>
      <c r="BEA344" s="29"/>
      <c r="BEB344" s="29"/>
      <c r="BEC344" s="29"/>
      <c r="BED344" s="29"/>
      <c r="BEE344" s="29"/>
      <c r="BEF344" s="29"/>
      <c r="BEG344" s="29"/>
      <c r="BEH344" s="29"/>
      <c r="BEI344" s="29"/>
      <c r="BEJ344" s="29"/>
      <c r="BEK344" s="29"/>
      <c r="BEL344" s="29"/>
      <c r="BEM344" s="29"/>
      <c r="BEN344" s="29"/>
      <c r="BEO344" s="29"/>
      <c r="BEP344" s="29"/>
      <c r="BEQ344" s="29"/>
      <c r="BER344" s="29"/>
      <c r="BES344" s="29"/>
      <c r="BET344" s="29"/>
      <c r="BEU344" s="29"/>
      <c r="BEV344" s="29"/>
      <c r="BEW344" s="29"/>
      <c r="BEX344" s="29"/>
      <c r="BEY344" s="29"/>
      <c r="BEZ344" s="29"/>
      <c r="BFA344" s="29"/>
      <c r="BFB344" s="29"/>
      <c r="BFC344" s="29"/>
      <c r="BFD344" s="29"/>
      <c r="BFE344" s="29"/>
      <c r="BFF344" s="29"/>
      <c r="BFG344" s="29"/>
      <c r="BFH344" s="29"/>
      <c r="BFI344" s="29"/>
      <c r="BFJ344" s="29"/>
      <c r="BFK344" s="29"/>
      <c r="BFL344" s="29"/>
      <c r="BFM344" s="29"/>
      <c r="BFN344" s="29"/>
      <c r="BFO344" s="29"/>
      <c r="BFP344" s="29"/>
      <c r="BFQ344" s="29"/>
      <c r="BFR344" s="29"/>
      <c r="BFS344" s="29"/>
      <c r="BFT344" s="29"/>
      <c r="BFU344" s="29"/>
      <c r="BFV344" s="29"/>
      <c r="BFW344" s="29"/>
      <c r="BFX344" s="29"/>
      <c r="BFY344" s="29"/>
      <c r="BFZ344" s="29"/>
      <c r="BGA344" s="29"/>
      <c r="BGB344" s="29"/>
      <c r="BGC344" s="29"/>
      <c r="BGD344" s="29"/>
      <c r="BGE344" s="29"/>
      <c r="BGF344" s="29"/>
      <c r="BGG344" s="29"/>
      <c r="BGH344" s="29"/>
      <c r="BGI344" s="29"/>
      <c r="BGJ344" s="29"/>
      <c r="BGK344" s="29"/>
      <c r="BGL344" s="29"/>
      <c r="BGM344" s="29"/>
      <c r="BGN344" s="29"/>
      <c r="BGO344" s="29"/>
      <c r="BGP344" s="29"/>
      <c r="BGQ344" s="29"/>
      <c r="BGR344" s="29"/>
      <c r="BGS344" s="29"/>
      <c r="BGT344" s="29"/>
      <c r="BGU344" s="29"/>
      <c r="BGV344" s="29"/>
      <c r="BGW344" s="29"/>
      <c r="BGX344" s="29"/>
      <c r="BGY344" s="29"/>
      <c r="BGZ344" s="29"/>
      <c r="BHA344" s="29"/>
      <c r="BHB344" s="29"/>
      <c r="BHC344" s="29"/>
      <c r="BHD344" s="29"/>
      <c r="BHE344" s="29"/>
      <c r="BHF344" s="29"/>
      <c r="BHG344" s="29"/>
      <c r="BHH344" s="29"/>
      <c r="BHI344" s="29"/>
      <c r="BHJ344" s="29"/>
      <c r="BHK344" s="29"/>
      <c r="BHL344" s="29"/>
      <c r="BHM344" s="29"/>
      <c r="BHN344" s="29"/>
      <c r="BHO344" s="29"/>
      <c r="BHP344" s="29"/>
      <c r="BHQ344" s="29"/>
      <c r="BHR344" s="29"/>
      <c r="BHS344" s="29"/>
      <c r="BHT344" s="29"/>
      <c r="BHU344" s="29"/>
      <c r="BHV344" s="29"/>
      <c r="BHW344" s="29"/>
      <c r="BHX344" s="29"/>
      <c r="BHY344" s="29"/>
      <c r="BHZ344" s="29"/>
      <c r="BIA344" s="29"/>
      <c r="BIB344" s="29"/>
      <c r="BIC344" s="29"/>
      <c r="BID344" s="29"/>
      <c r="BIE344" s="29"/>
      <c r="BIF344" s="29"/>
      <c r="BIG344" s="29"/>
      <c r="BIH344" s="29"/>
      <c r="BII344" s="29"/>
      <c r="BIJ344" s="29"/>
      <c r="BIK344" s="29"/>
      <c r="BIL344" s="29"/>
      <c r="BIM344" s="29"/>
      <c r="BIN344" s="29"/>
      <c r="BIO344" s="29"/>
      <c r="BIP344" s="29"/>
      <c r="BIQ344" s="29"/>
      <c r="BIR344" s="29"/>
      <c r="BIS344" s="29"/>
      <c r="BIT344" s="29"/>
      <c r="BIU344" s="29"/>
      <c r="BIV344" s="29"/>
      <c r="BIW344" s="29"/>
      <c r="BIX344" s="29"/>
      <c r="BIY344" s="29"/>
      <c r="BIZ344" s="29"/>
      <c r="BJA344" s="29"/>
      <c r="BJB344" s="29"/>
      <c r="BJC344" s="29"/>
      <c r="BJD344" s="29"/>
      <c r="BJE344" s="29"/>
      <c r="BJF344" s="29"/>
      <c r="BJG344" s="29"/>
      <c r="BJH344" s="29"/>
      <c r="BJI344" s="29"/>
      <c r="BJJ344" s="29"/>
      <c r="BJK344" s="29"/>
      <c r="BJL344" s="29"/>
      <c r="BJM344" s="29"/>
      <c r="BJN344" s="29"/>
      <c r="BJO344" s="29"/>
      <c r="BJP344" s="29"/>
      <c r="BJQ344" s="29"/>
      <c r="BJR344" s="29"/>
      <c r="BJS344" s="29"/>
      <c r="BJT344" s="29"/>
      <c r="BJU344" s="29"/>
      <c r="BJV344" s="29"/>
      <c r="BJW344" s="29"/>
      <c r="BJX344" s="29"/>
      <c r="BJY344" s="29"/>
      <c r="BJZ344" s="29"/>
      <c r="BKA344" s="29"/>
      <c r="BKB344" s="29"/>
      <c r="BKC344" s="29"/>
      <c r="BKD344" s="29"/>
      <c r="BKE344" s="29"/>
      <c r="BKF344" s="29"/>
      <c r="BKG344" s="29"/>
      <c r="BKH344" s="29"/>
      <c r="BKI344" s="29"/>
      <c r="BKJ344" s="29"/>
      <c r="BKK344" s="29"/>
      <c r="BKL344" s="29"/>
      <c r="BKM344" s="29"/>
      <c r="BKN344" s="29"/>
      <c r="BKO344" s="29"/>
      <c r="BKP344" s="29"/>
      <c r="BKQ344" s="29"/>
      <c r="BKR344" s="29"/>
      <c r="BKS344" s="29"/>
      <c r="BKT344" s="29"/>
      <c r="BKU344" s="29"/>
      <c r="BKV344" s="29"/>
      <c r="BKW344" s="29"/>
      <c r="BKX344" s="29"/>
      <c r="BKY344" s="29"/>
      <c r="BKZ344" s="29"/>
      <c r="BLA344" s="29"/>
      <c r="BLB344" s="29"/>
      <c r="BLC344" s="29"/>
      <c r="BLD344" s="29"/>
      <c r="BLE344" s="29"/>
      <c r="BLF344" s="29"/>
      <c r="BLG344" s="29"/>
      <c r="BLH344" s="29"/>
      <c r="BLI344" s="29"/>
      <c r="BLJ344" s="29"/>
      <c r="BLK344" s="29"/>
      <c r="BLL344" s="29"/>
      <c r="BLM344" s="29"/>
      <c r="BLN344" s="29"/>
      <c r="BLO344" s="29"/>
      <c r="BLP344" s="29"/>
      <c r="BLQ344" s="29"/>
      <c r="BLR344" s="29"/>
      <c r="BLS344" s="29"/>
      <c r="BLT344" s="29"/>
      <c r="BLU344" s="29"/>
      <c r="BLV344" s="29"/>
      <c r="BLW344" s="29"/>
      <c r="BLX344" s="29"/>
      <c r="BLY344" s="29"/>
      <c r="BLZ344" s="29"/>
      <c r="BMA344" s="29"/>
      <c r="BMB344" s="29"/>
      <c r="BMC344" s="29"/>
      <c r="BMD344" s="29"/>
      <c r="BME344" s="29"/>
      <c r="BMF344" s="29"/>
      <c r="BMG344" s="29"/>
      <c r="BMH344" s="29"/>
      <c r="BMI344" s="29"/>
      <c r="BMJ344" s="29"/>
      <c r="BMK344" s="29"/>
      <c r="BML344" s="29"/>
      <c r="BMM344" s="29"/>
      <c r="BMN344" s="29"/>
      <c r="BMO344" s="29"/>
      <c r="BMP344" s="29"/>
      <c r="BMQ344" s="29"/>
      <c r="BMR344" s="29"/>
      <c r="BMS344" s="29"/>
      <c r="BMT344" s="29"/>
      <c r="BMU344" s="29"/>
      <c r="BMV344" s="29"/>
      <c r="BMW344" s="29"/>
      <c r="BMX344" s="29"/>
      <c r="BMY344" s="29"/>
      <c r="BMZ344" s="29"/>
      <c r="BNA344" s="29"/>
      <c r="BNB344" s="29"/>
      <c r="BNC344" s="29"/>
      <c r="BND344" s="29"/>
      <c r="BNE344" s="29"/>
      <c r="BNF344" s="29"/>
      <c r="BNG344" s="29"/>
      <c r="BNH344" s="29"/>
      <c r="BNI344" s="29"/>
      <c r="BNJ344" s="29"/>
      <c r="BNK344" s="29"/>
      <c r="BNL344" s="29"/>
      <c r="BNM344" s="29"/>
      <c r="BNN344" s="29"/>
      <c r="BNO344" s="29"/>
      <c r="BNP344" s="29"/>
      <c r="BNQ344" s="29"/>
      <c r="BNR344" s="29"/>
      <c r="BNS344" s="29"/>
      <c r="BNT344" s="29"/>
      <c r="BNU344" s="29"/>
      <c r="BNV344" s="29"/>
      <c r="BNW344" s="29"/>
      <c r="BNX344" s="29"/>
      <c r="BNY344" s="29"/>
      <c r="BNZ344" s="29"/>
      <c r="BOA344" s="29"/>
      <c r="BOB344" s="29"/>
      <c r="BOC344" s="29"/>
      <c r="BOD344" s="29"/>
      <c r="BOE344" s="29"/>
      <c r="BOF344" s="29"/>
      <c r="BOG344" s="29"/>
      <c r="BOH344" s="29"/>
      <c r="BOI344" s="29"/>
      <c r="BOJ344" s="29"/>
      <c r="BOK344" s="29"/>
      <c r="BOL344" s="29"/>
      <c r="BOM344" s="29"/>
      <c r="BON344" s="29"/>
      <c r="BOO344" s="29"/>
      <c r="BOP344" s="29"/>
      <c r="BOQ344" s="29"/>
      <c r="BOR344" s="29"/>
      <c r="BOS344" s="29"/>
      <c r="BOT344" s="29"/>
      <c r="BOU344" s="29"/>
      <c r="BOV344" s="29"/>
      <c r="BOW344" s="29"/>
      <c r="BOX344" s="29"/>
      <c r="BOY344" s="29"/>
      <c r="BOZ344" s="29"/>
      <c r="BPA344" s="29"/>
      <c r="BPB344" s="29"/>
      <c r="BPC344" s="29"/>
      <c r="BPD344" s="29"/>
      <c r="BPE344" s="29"/>
      <c r="BPF344" s="29"/>
      <c r="BPG344" s="29"/>
      <c r="BPH344" s="29"/>
      <c r="BPI344" s="29"/>
      <c r="BPJ344" s="29"/>
      <c r="BPK344" s="29"/>
      <c r="BPL344" s="29"/>
      <c r="BPM344" s="29"/>
      <c r="BPN344" s="29"/>
      <c r="BPO344" s="29"/>
      <c r="BPP344" s="29"/>
      <c r="BPQ344" s="29"/>
      <c r="BPR344" s="29"/>
      <c r="BPS344" s="29"/>
      <c r="BPT344" s="29"/>
      <c r="BPU344" s="29"/>
      <c r="BPV344" s="29"/>
      <c r="BPW344" s="29"/>
      <c r="BPX344" s="29"/>
      <c r="BPY344" s="29"/>
      <c r="BPZ344" s="29"/>
      <c r="BQA344" s="29"/>
      <c r="BQB344" s="29"/>
      <c r="BQC344" s="29"/>
      <c r="BQD344" s="29"/>
      <c r="BQE344" s="29"/>
      <c r="BQF344" s="29"/>
      <c r="BQG344" s="29"/>
      <c r="BQH344" s="29"/>
      <c r="BQI344" s="29"/>
      <c r="BQJ344" s="29"/>
      <c r="BQK344" s="29"/>
      <c r="BQL344" s="29"/>
      <c r="BQM344" s="29"/>
      <c r="BQN344" s="29"/>
      <c r="BQO344" s="29"/>
      <c r="BQP344" s="29"/>
      <c r="BQQ344" s="29"/>
      <c r="BQR344" s="29"/>
      <c r="BQS344" s="29"/>
      <c r="BQT344" s="29"/>
      <c r="BQU344" s="29"/>
      <c r="BQV344" s="29"/>
      <c r="BQW344" s="29"/>
      <c r="BQX344" s="29"/>
      <c r="BQY344" s="29"/>
      <c r="BQZ344" s="29"/>
      <c r="BRA344" s="29"/>
      <c r="BRB344" s="29"/>
      <c r="BRC344" s="29"/>
      <c r="BRD344" s="29"/>
      <c r="BRE344" s="29"/>
      <c r="BRF344" s="29"/>
      <c r="BRG344" s="29"/>
      <c r="BRH344" s="29"/>
      <c r="BRI344" s="29"/>
      <c r="BRJ344" s="29"/>
      <c r="BRK344" s="29"/>
      <c r="BRL344" s="29"/>
      <c r="BRM344" s="29"/>
      <c r="BRN344" s="29"/>
      <c r="BRO344" s="29"/>
      <c r="BRP344" s="29"/>
      <c r="BRQ344" s="29"/>
      <c r="BRR344" s="29"/>
      <c r="BRS344" s="29"/>
      <c r="BRT344" s="29"/>
      <c r="BRU344" s="29"/>
      <c r="BRV344" s="29"/>
      <c r="BRW344" s="29"/>
      <c r="BRX344" s="29"/>
      <c r="BRY344" s="29"/>
      <c r="BRZ344" s="29"/>
      <c r="BSA344" s="29"/>
      <c r="BSB344" s="29"/>
      <c r="BSC344" s="29"/>
      <c r="BSD344" s="29"/>
      <c r="BSE344" s="29"/>
      <c r="BSF344" s="29"/>
      <c r="BSG344" s="29"/>
      <c r="BSH344" s="29"/>
      <c r="BSI344" s="29"/>
      <c r="BSJ344" s="29"/>
      <c r="BSK344" s="29"/>
      <c r="BSL344" s="29"/>
      <c r="BSM344" s="29"/>
      <c r="BSN344" s="29"/>
      <c r="BSO344" s="29"/>
      <c r="BSP344" s="29"/>
      <c r="BSQ344" s="29"/>
      <c r="BSR344" s="29"/>
      <c r="BSS344" s="29"/>
      <c r="BST344" s="29"/>
      <c r="BSU344" s="29"/>
      <c r="BSV344" s="29"/>
      <c r="BSW344" s="29"/>
      <c r="BSX344" s="29"/>
      <c r="BSY344" s="29"/>
      <c r="BSZ344" s="29"/>
      <c r="BTA344" s="29"/>
      <c r="BTB344" s="29"/>
      <c r="BTC344" s="29"/>
      <c r="BTD344" s="29"/>
      <c r="BTE344" s="29"/>
      <c r="BTF344" s="29"/>
      <c r="BTG344" s="29"/>
      <c r="BTH344" s="29"/>
      <c r="BTI344" s="29"/>
      <c r="BTJ344" s="29"/>
      <c r="BTK344" s="29"/>
      <c r="BTL344" s="29"/>
      <c r="BTM344" s="29"/>
      <c r="BTN344" s="29"/>
      <c r="BTO344" s="29"/>
      <c r="BTP344" s="29"/>
      <c r="BTQ344" s="29"/>
      <c r="BTR344" s="29"/>
      <c r="BTS344" s="29"/>
      <c r="BTT344" s="29"/>
      <c r="BTU344" s="29"/>
      <c r="BTV344" s="29"/>
      <c r="BTW344" s="29"/>
      <c r="BTX344" s="29"/>
      <c r="BTY344" s="29"/>
      <c r="BTZ344" s="29"/>
      <c r="BUA344" s="29"/>
      <c r="BUB344" s="29"/>
      <c r="BUC344" s="29"/>
      <c r="BUD344" s="29"/>
      <c r="BUE344" s="29"/>
      <c r="BUF344" s="29"/>
      <c r="BUG344" s="29"/>
      <c r="BUH344" s="29"/>
      <c r="BUI344" s="29"/>
      <c r="BUJ344" s="29"/>
      <c r="BUK344" s="29"/>
      <c r="BUL344" s="29"/>
      <c r="BUM344" s="29"/>
      <c r="BUN344" s="29"/>
      <c r="BUO344" s="29"/>
      <c r="BUP344" s="29"/>
      <c r="BUQ344" s="29"/>
      <c r="BUR344" s="29"/>
      <c r="BUS344" s="29"/>
      <c r="BUT344" s="29"/>
      <c r="BUU344" s="29"/>
      <c r="BUV344" s="29"/>
      <c r="BUW344" s="29"/>
      <c r="BUX344" s="29"/>
      <c r="BUY344" s="29"/>
      <c r="BUZ344" s="29"/>
      <c r="BVA344" s="29"/>
      <c r="BVB344" s="29"/>
      <c r="BVC344" s="29"/>
      <c r="BVD344" s="29"/>
      <c r="BVE344" s="29"/>
      <c r="BVF344" s="29"/>
      <c r="BVG344" s="29"/>
      <c r="BVH344" s="29"/>
      <c r="BVI344" s="29"/>
      <c r="BVJ344" s="29"/>
      <c r="BVK344" s="29"/>
      <c r="BVL344" s="29"/>
      <c r="BVM344" s="29"/>
      <c r="BVN344" s="29"/>
      <c r="BVO344" s="29"/>
      <c r="BVP344" s="29"/>
      <c r="BVQ344" s="29"/>
      <c r="BVR344" s="29"/>
      <c r="BVS344" s="29"/>
      <c r="BVT344" s="29"/>
      <c r="BVU344" s="29"/>
      <c r="BVV344" s="29"/>
      <c r="BVW344" s="29"/>
      <c r="BVX344" s="29"/>
      <c r="BVY344" s="29"/>
      <c r="BVZ344" s="29"/>
      <c r="BWA344" s="29"/>
      <c r="BWB344" s="29"/>
      <c r="BWC344" s="29"/>
      <c r="BWD344" s="29"/>
      <c r="BWE344" s="29"/>
      <c r="BWF344" s="29"/>
      <c r="BWG344" s="29"/>
      <c r="BWH344" s="29"/>
      <c r="BWI344" s="29"/>
      <c r="BWJ344" s="29"/>
      <c r="BWK344" s="29"/>
      <c r="BWL344" s="29"/>
      <c r="BWM344" s="29"/>
      <c r="BWN344" s="29"/>
      <c r="BWO344" s="29"/>
      <c r="BWP344" s="29"/>
      <c r="BWQ344" s="29"/>
      <c r="BWR344" s="29"/>
      <c r="BWS344" s="29"/>
      <c r="BWT344" s="29"/>
      <c r="BWU344" s="29"/>
      <c r="BWV344" s="29"/>
      <c r="BWW344" s="29"/>
      <c r="BWX344" s="29"/>
      <c r="BWY344" s="29"/>
      <c r="BWZ344" s="29"/>
      <c r="BXA344" s="29"/>
      <c r="BXB344" s="29"/>
      <c r="BXC344" s="29"/>
      <c r="BXD344" s="29"/>
      <c r="BXE344" s="29"/>
      <c r="BXF344" s="29"/>
      <c r="BXG344" s="29"/>
      <c r="BXH344" s="29"/>
      <c r="BXI344" s="29"/>
      <c r="BXJ344" s="29"/>
      <c r="BXK344" s="29"/>
      <c r="BXL344" s="29"/>
      <c r="BXM344" s="29"/>
      <c r="BXN344" s="29"/>
      <c r="BXO344" s="29"/>
      <c r="BXP344" s="29"/>
      <c r="BXQ344" s="29"/>
      <c r="BXR344" s="29"/>
      <c r="BXS344" s="29"/>
      <c r="BXT344" s="29"/>
      <c r="BXU344" s="29"/>
      <c r="BXV344" s="29"/>
      <c r="BXW344" s="29"/>
      <c r="BXX344" s="29"/>
      <c r="BXY344" s="29"/>
      <c r="BXZ344" s="29"/>
      <c r="BYA344" s="29"/>
      <c r="BYB344" s="29"/>
      <c r="BYC344" s="29"/>
      <c r="BYD344" s="29"/>
      <c r="BYE344" s="29"/>
      <c r="BYF344" s="29"/>
      <c r="BYG344" s="29"/>
      <c r="BYH344" s="29"/>
      <c r="BYI344" s="29"/>
      <c r="BYJ344" s="29"/>
      <c r="BYK344" s="29"/>
      <c r="BYL344" s="29"/>
      <c r="BYM344" s="29"/>
      <c r="BYN344" s="29"/>
      <c r="BYO344" s="29"/>
      <c r="BYP344" s="29"/>
      <c r="BYQ344" s="29"/>
      <c r="BYR344" s="29"/>
      <c r="BYS344" s="29"/>
      <c r="BYT344" s="29"/>
      <c r="BYU344" s="29"/>
      <c r="BYV344" s="29"/>
      <c r="BYW344" s="29"/>
      <c r="BYX344" s="29"/>
      <c r="BYY344" s="29"/>
      <c r="BYZ344" s="29"/>
      <c r="BZA344" s="29"/>
      <c r="BZB344" s="29"/>
      <c r="BZC344" s="29"/>
      <c r="BZD344" s="29"/>
      <c r="BZE344" s="29"/>
      <c r="BZF344" s="29"/>
      <c r="BZG344" s="29"/>
      <c r="BZH344" s="29"/>
      <c r="BZI344" s="29"/>
      <c r="BZJ344" s="29"/>
      <c r="BZK344" s="29"/>
      <c r="BZL344" s="29"/>
      <c r="BZM344" s="29"/>
      <c r="BZN344" s="29"/>
      <c r="BZO344" s="29"/>
      <c r="BZP344" s="29"/>
      <c r="BZQ344" s="29"/>
      <c r="BZR344" s="29"/>
      <c r="BZS344" s="29"/>
      <c r="BZT344" s="29"/>
      <c r="BZU344" s="29"/>
      <c r="BZV344" s="29"/>
      <c r="BZW344" s="29"/>
      <c r="BZX344" s="29"/>
      <c r="BZY344" s="29"/>
      <c r="BZZ344" s="29"/>
      <c r="CAA344" s="29"/>
      <c r="CAB344" s="29"/>
      <c r="CAC344" s="29"/>
      <c r="CAD344" s="29"/>
      <c r="CAE344" s="29"/>
      <c r="CAF344" s="29"/>
      <c r="CAG344" s="29"/>
      <c r="CAH344" s="29"/>
      <c r="CAI344" s="29"/>
      <c r="CAJ344" s="29"/>
      <c r="CAK344" s="29"/>
      <c r="CAL344" s="29"/>
      <c r="CAM344" s="29"/>
      <c r="CAN344" s="29"/>
      <c r="CAO344" s="29"/>
      <c r="CAP344" s="29"/>
      <c r="CAQ344" s="29"/>
      <c r="CAR344" s="29"/>
      <c r="CAS344" s="29"/>
      <c r="CAT344" s="29"/>
      <c r="CAU344" s="29"/>
      <c r="CAV344" s="29"/>
      <c r="CAW344" s="29"/>
      <c r="CAX344" s="29"/>
      <c r="CAY344" s="29"/>
      <c r="CAZ344" s="29"/>
      <c r="CBA344" s="29"/>
      <c r="CBB344" s="29"/>
      <c r="CBC344" s="29"/>
      <c r="CBD344" s="29"/>
      <c r="CBE344" s="29"/>
      <c r="CBF344" s="29"/>
      <c r="CBG344" s="29"/>
      <c r="CBH344" s="29"/>
      <c r="CBI344" s="29"/>
      <c r="CBJ344" s="29"/>
      <c r="CBK344" s="29"/>
      <c r="CBL344" s="29"/>
      <c r="CBM344" s="29"/>
      <c r="CBN344" s="29"/>
      <c r="CBO344" s="29"/>
      <c r="CBP344" s="29"/>
      <c r="CBQ344" s="29"/>
      <c r="CBR344" s="29"/>
      <c r="CBS344" s="29"/>
      <c r="CBT344" s="29"/>
      <c r="CBU344" s="29"/>
      <c r="CBV344" s="29"/>
      <c r="CBW344" s="29"/>
      <c r="CBX344" s="29"/>
      <c r="CBY344" s="29"/>
      <c r="CBZ344" s="29"/>
      <c r="CCA344" s="29"/>
      <c r="CCB344" s="29"/>
      <c r="CCC344" s="29"/>
      <c r="CCD344" s="29"/>
      <c r="CCE344" s="29"/>
      <c r="CCF344" s="29"/>
      <c r="CCG344" s="29"/>
      <c r="CCH344" s="29"/>
      <c r="CCI344" s="29"/>
      <c r="CCJ344" s="29"/>
      <c r="CCK344" s="29"/>
      <c r="CCL344" s="29"/>
      <c r="CCM344" s="29"/>
      <c r="CCN344" s="29"/>
      <c r="CCO344" s="29"/>
      <c r="CCP344" s="29"/>
      <c r="CCQ344" s="29"/>
      <c r="CCR344" s="29"/>
      <c r="CCS344" s="29"/>
      <c r="CCT344" s="29"/>
      <c r="CCU344" s="29"/>
      <c r="CCV344" s="29"/>
      <c r="CCW344" s="29"/>
      <c r="CCX344" s="29"/>
      <c r="CCY344" s="29"/>
      <c r="CCZ344" s="29"/>
      <c r="CDA344" s="29"/>
      <c r="CDB344" s="29"/>
      <c r="CDC344" s="29"/>
      <c r="CDD344" s="29"/>
      <c r="CDE344" s="29"/>
      <c r="CDF344" s="29"/>
      <c r="CDG344" s="29"/>
      <c r="CDH344" s="29"/>
      <c r="CDI344" s="29"/>
      <c r="CDJ344" s="29"/>
      <c r="CDK344" s="29"/>
      <c r="CDL344" s="29"/>
      <c r="CDM344" s="29"/>
      <c r="CDN344" s="29"/>
      <c r="CDO344" s="29"/>
      <c r="CDP344" s="29"/>
      <c r="CDQ344" s="29"/>
      <c r="CDR344" s="29"/>
      <c r="CDS344" s="29"/>
      <c r="CDT344" s="29"/>
      <c r="CDU344" s="29"/>
      <c r="CDV344" s="29"/>
      <c r="CDW344" s="29"/>
      <c r="CDX344" s="29"/>
      <c r="CDY344" s="29"/>
      <c r="CDZ344" s="29"/>
      <c r="CEA344" s="29"/>
      <c r="CEB344" s="29"/>
      <c r="CEC344" s="29"/>
      <c r="CED344" s="29"/>
      <c r="CEE344" s="29"/>
      <c r="CEF344" s="29"/>
      <c r="CEG344" s="29"/>
      <c r="CEH344" s="29"/>
      <c r="CEI344" s="29"/>
      <c r="CEJ344" s="29"/>
      <c r="CEK344" s="29"/>
      <c r="CEL344" s="29"/>
      <c r="CEM344" s="29"/>
      <c r="CEN344" s="29"/>
      <c r="CEO344" s="29"/>
      <c r="CEP344" s="29"/>
      <c r="CEQ344" s="29"/>
      <c r="CER344" s="29"/>
      <c r="CES344" s="29"/>
      <c r="CET344" s="29"/>
      <c r="CEU344" s="29"/>
      <c r="CEV344" s="29"/>
      <c r="CEW344" s="29"/>
      <c r="CEX344" s="29"/>
      <c r="CEY344" s="29"/>
      <c r="CEZ344" s="29"/>
      <c r="CFA344" s="29"/>
      <c r="CFB344" s="29"/>
      <c r="CFC344" s="29"/>
      <c r="CFD344" s="29"/>
      <c r="CFE344" s="29"/>
      <c r="CFF344" s="29"/>
      <c r="CFG344" s="29"/>
      <c r="CFH344" s="29"/>
      <c r="CFI344" s="29"/>
      <c r="CFJ344" s="29"/>
      <c r="CFK344" s="29"/>
      <c r="CFL344" s="29"/>
      <c r="CFM344" s="29"/>
      <c r="CFN344" s="29"/>
      <c r="CFO344" s="29"/>
      <c r="CFP344" s="29"/>
      <c r="CFQ344" s="29"/>
      <c r="CFR344" s="29"/>
      <c r="CFS344" s="29"/>
      <c r="CFT344" s="29"/>
      <c r="CFU344" s="29"/>
      <c r="CFV344" s="29"/>
      <c r="CFW344" s="29"/>
      <c r="CFX344" s="29"/>
      <c r="CFY344" s="29"/>
      <c r="CFZ344" s="29"/>
      <c r="CGA344" s="29"/>
      <c r="CGB344" s="29"/>
      <c r="CGC344" s="29"/>
      <c r="CGD344" s="29"/>
      <c r="CGE344" s="29"/>
      <c r="CGF344" s="29"/>
      <c r="CGG344" s="29"/>
      <c r="CGH344" s="29"/>
      <c r="CGI344" s="29"/>
      <c r="CGJ344" s="29"/>
      <c r="CGK344" s="29"/>
      <c r="CGL344" s="29"/>
      <c r="CGM344" s="29"/>
      <c r="CGN344" s="29"/>
      <c r="CGO344" s="29"/>
      <c r="CGP344" s="29"/>
      <c r="CGQ344" s="29"/>
      <c r="CGR344" s="29"/>
      <c r="CGS344" s="29"/>
      <c r="CGT344" s="29"/>
      <c r="CGU344" s="29"/>
      <c r="CGV344" s="29"/>
      <c r="CGW344" s="29"/>
      <c r="CGX344" s="29"/>
      <c r="CGY344" s="29"/>
      <c r="CGZ344" s="29"/>
      <c r="CHA344" s="29"/>
      <c r="CHB344" s="29"/>
      <c r="CHC344" s="29"/>
      <c r="CHD344" s="29"/>
      <c r="CHE344" s="29"/>
      <c r="CHF344" s="29"/>
      <c r="CHG344" s="29"/>
      <c r="CHH344" s="29"/>
      <c r="CHI344" s="29"/>
      <c r="CHJ344" s="29"/>
      <c r="CHK344" s="29"/>
      <c r="CHL344" s="29"/>
      <c r="CHM344" s="29"/>
      <c r="CHN344" s="29"/>
      <c r="CHO344" s="29"/>
      <c r="CHP344" s="29"/>
      <c r="CHQ344" s="29"/>
      <c r="CHR344" s="29"/>
      <c r="CHS344" s="29"/>
      <c r="CHT344" s="29"/>
      <c r="CHU344" s="29"/>
      <c r="CHV344" s="29"/>
      <c r="CHW344" s="29"/>
      <c r="CHX344" s="29"/>
      <c r="CHY344" s="29"/>
      <c r="CHZ344" s="29"/>
      <c r="CIA344" s="29"/>
      <c r="CIB344" s="29"/>
      <c r="CIC344" s="29"/>
      <c r="CID344" s="29"/>
      <c r="CIE344" s="29"/>
      <c r="CIF344" s="29"/>
      <c r="CIG344" s="29"/>
      <c r="CIH344" s="29"/>
      <c r="CII344" s="29"/>
      <c r="CIJ344" s="29"/>
      <c r="CIK344" s="29"/>
      <c r="CIL344" s="29"/>
      <c r="CIM344" s="29"/>
      <c r="CIN344" s="29"/>
      <c r="CIO344" s="29"/>
      <c r="CIP344" s="29"/>
      <c r="CIQ344" s="29"/>
      <c r="CIR344" s="29"/>
      <c r="CIS344" s="29"/>
      <c r="CIT344" s="29"/>
      <c r="CIU344" s="29"/>
      <c r="CIV344" s="29"/>
      <c r="CIW344" s="29"/>
      <c r="CIX344" s="29"/>
      <c r="CIY344" s="29"/>
      <c r="CIZ344" s="29"/>
      <c r="CJA344" s="29"/>
      <c r="CJB344" s="29"/>
      <c r="CJC344" s="29"/>
      <c r="CJD344" s="29"/>
      <c r="CJE344" s="29"/>
      <c r="CJF344" s="29"/>
      <c r="CJG344" s="29"/>
      <c r="CJH344" s="29"/>
      <c r="CJI344" s="29"/>
      <c r="CJJ344" s="29"/>
      <c r="CJK344" s="29"/>
      <c r="CJL344" s="29"/>
      <c r="CJM344" s="29"/>
      <c r="CJN344" s="29"/>
      <c r="CJO344" s="29"/>
      <c r="CJP344" s="29"/>
      <c r="CJQ344" s="29"/>
      <c r="CJR344" s="29"/>
      <c r="CJS344" s="29"/>
      <c r="CJT344" s="29"/>
      <c r="CJU344" s="29"/>
      <c r="CJV344" s="29"/>
      <c r="CJW344" s="29"/>
      <c r="CJX344" s="29"/>
      <c r="CJY344" s="29"/>
      <c r="CJZ344" s="29"/>
      <c r="CKA344" s="29"/>
      <c r="CKB344" s="29"/>
      <c r="CKC344" s="29"/>
      <c r="CKD344" s="29"/>
      <c r="CKE344" s="29"/>
      <c r="CKF344" s="29"/>
      <c r="CKG344" s="29"/>
      <c r="CKH344" s="29"/>
      <c r="CKI344" s="29"/>
      <c r="CKJ344" s="29"/>
      <c r="CKK344" s="29"/>
      <c r="CKL344" s="29"/>
      <c r="CKM344" s="29"/>
      <c r="CKN344" s="29"/>
      <c r="CKO344" s="29"/>
      <c r="CKP344" s="29"/>
      <c r="CKQ344" s="29"/>
      <c r="CKR344" s="29"/>
      <c r="CKS344" s="29"/>
      <c r="CKT344" s="29"/>
      <c r="CKU344" s="29"/>
      <c r="CKV344" s="29"/>
      <c r="CKW344" s="29"/>
      <c r="CKX344" s="29"/>
      <c r="CKY344" s="29"/>
      <c r="CKZ344" s="29"/>
      <c r="CLA344" s="29"/>
      <c r="CLB344" s="29"/>
      <c r="CLC344" s="29"/>
      <c r="CLD344" s="29"/>
      <c r="CLE344" s="29"/>
      <c r="CLF344" s="29"/>
      <c r="CLG344" s="29"/>
      <c r="CLH344" s="29"/>
      <c r="CLI344" s="29"/>
      <c r="CLJ344" s="29"/>
      <c r="CLK344" s="29"/>
      <c r="CLL344" s="29"/>
      <c r="CLM344" s="29"/>
      <c r="CLN344" s="29"/>
      <c r="CLO344" s="29"/>
      <c r="CLP344" s="29"/>
      <c r="CLQ344" s="29"/>
      <c r="CLR344" s="29"/>
      <c r="CLS344" s="29"/>
      <c r="CLT344" s="29"/>
      <c r="CLU344" s="29"/>
      <c r="CLV344" s="29"/>
      <c r="CLW344" s="29"/>
      <c r="CLX344" s="29"/>
      <c r="CLY344" s="29"/>
      <c r="CLZ344" s="29"/>
      <c r="CMA344" s="29"/>
      <c r="CMB344" s="29"/>
      <c r="CMC344" s="29"/>
      <c r="CMD344" s="29"/>
      <c r="CME344" s="29"/>
      <c r="CMF344" s="29"/>
      <c r="CMG344" s="29"/>
      <c r="CMH344" s="29"/>
      <c r="CMI344" s="29"/>
      <c r="CMJ344" s="29"/>
      <c r="CMK344" s="29"/>
      <c r="CML344" s="29"/>
      <c r="CMM344" s="29"/>
      <c r="CMN344" s="29"/>
      <c r="CMO344" s="29"/>
      <c r="CMP344" s="29"/>
      <c r="CMQ344" s="29"/>
      <c r="CMR344" s="29"/>
      <c r="CMS344" s="29"/>
      <c r="CMT344" s="29"/>
      <c r="CMU344" s="29"/>
      <c r="CMV344" s="29"/>
      <c r="CMW344" s="29"/>
      <c r="CMX344" s="29"/>
      <c r="CMY344" s="29"/>
      <c r="CMZ344" s="29"/>
      <c r="CNA344" s="29"/>
      <c r="CNB344" s="29"/>
      <c r="CNC344" s="29"/>
      <c r="CND344" s="29"/>
      <c r="CNE344" s="29"/>
      <c r="CNF344" s="29"/>
      <c r="CNG344" s="29"/>
      <c r="CNH344" s="29"/>
      <c r="CNI344" s="29"/>
      <c r="CNJ344" s="29"/>
      <c r="CNK344" s="29"/>
      <c r="CNL344" s="29"/>
      <c r="CNM344" s="29"/>
      <c r="CNN344" s="29"/>
      <c r="CNO344" s="29"/>
      <c r="CNP344" s="29"/>
      <c r="CNQ344" s="29"/>
      <c r="CNR344" s="29"/>
      <c r="CNS344" s="29"/>
      <c r="CNT344" s="29"/>
      <c r="CNU344" s="29"/>
      <c r="CNV344" s="29"/>
      <c r="CNW344" s="29"/>
      <c r="CNX344" s="29"/>
      <c r="CNY344" s="29"/>
      <c r="CNZ344" s="29"/>
      <c r="COA344" s="29"/>
      <c r="COB344" s="29"/>
      <c r="COC344" s="29"/>
      <c r="COD344" s="29"/>
      <c r="COE344" s="29"/>
      <c r="COF344" s="29"/>
      <c r="COG344" s="29"/>
      <c r="COH344" s="29"/>
      <c r="COI344" s="29"/>
      <c r="COJ344" s="29"/>
      <c r="COK344" s="29"/>
      <c r="COL344" s="29"/>
      <c r="COM344" s="29"/>
      <c r="CON344" s="29"/>
      <c r="COO344" s="29"/>
      <c r="COP344" s="29"/>
      <c r="COQ344" s="29"/>
      <c r="COR344" s="29"/>
      <c r="COS344" s="29"/>
      <c r="COT344" s="29"/>
      <c r="COU344" s="29"/>
      <c r="COV344" s="29"/>
      <c r="COW344" s="29"/>
      <c r="COX344" s="29"/>
      <c r="COY344" s="29"/>
      <c r="COZ344" s="29"/>
      <c r="CPA344" s="29"/>
      <c r="CPB344" s="29"/>
      <c r="CPC344" s="29"/>
      <c r="CPD344" s="29"/>
      <c r="CPE344" s="29"/>
      <c r="CPF344" s="29"/>
      <c r="CPG344" s="29"/>
      <c r="CPH344" s="29"/>
      <c r="CPI344" s="29"/>
      <c r="CPJ344" s="29"/>
      <c r="CPK344" s="29"/>
      <c r="CPL344" s="29"/>
      <c r="CPM344" s="29"/>
      <c r="CPN344" s="29"/>
      <c r="CPO344" s="29"/>
      <c r="CPP344" s="29"/>
      <c r="CPQ344" s="29"/>
      <c r="CPR344" s="29"/>
      <c r="CPS344" s="29"/>
      <c r="CPT344" s="29"/>
      <c r="CPU344" s="29"/>
      <c r="CPV344" s="29"/>
      <c r="CPW344" s="29"/>
      <c r="CPX344" s="29"/>
      <c r="CPY344" s="29"/>
      <c r="CPZ344" s="29"/>
      <c r="CQA344" s="29"/>
      <c r="CQB344" s="29"/>
      <c r="CQC344" s="29"/>
      <c r="CQD344" s="29"/>
      <c r="CQE344" s="29"/>
      <c r="CQF344" s="29"/>
      <c r="CQG344" s="29"/>
      <c r="CQH344" s="29"/>
      <c r="CQI344" s="29"/>
      <c r="CQJ344" s="29"/>
      <c r="CQK344" s="29"/>
      <c r="CQL344" s="29"/>
      <c r="CQM344" s="29"/>
      <c r="CQN344" s="29"/>
      <c r="CQO344" s="29"/>
      <c r="CQP344" s="29"/>
      <c r="CQQ344" s="29"/>
      <c r="CQR344" s="29"/>
      <c r="CQS344" s="29"/>
      <c r="CQT344" s="29"/>
      <c r="CQU344" s="29"/>
      <c r="CQV344" s="29"/>
      <c r="CQW344" s="29"/>
      <c r="CQX344" s="29"/>
      <c r="CQY344" s="29"/>
      <c r="CQZ344" s="29"/>
      <c r="CRA344" s="29"/>
      <c r="CRB344" s="29"/>
      <c r="CRC344" s="29"/>
      <c r="CRD344" s="29"/>
      <c r="CRE344" s="29"/>
      <c r="CRF344" s="29"/>
      <c r="CRG344" s="29"/>
      <c r="CRH344" s="29"/>
      <c r="CRI344" s="29"/>
      <c r="CRJ344" s="29"/>
      <c r="CRK344" s="29"/>
      <c r="CRL344" s="29"/>
      <c r="CRM344" s="29"/>
      <c r="CRN344" s="29"/>
      <c r="CRO344" s="29"/>
      <c r="CRP344" s="29"/>
      <c r="CRQ344" s="29"/>
      <c r="CRR344" s="29"/>
      <c r="CRS344" s="29"/>
      <c r="CRT344" s="29"/>
      <c r="CRU344" s="29"/>
      <c r="CRV344" s="29"/>
      <c r="CRW344" s="29"/>
      <c r="CRX344" s="29"/>
      <c r="CRY344" s="29"/>
      <c r="CRZ344" s="29"/>
      <c r="CSA344" s="29"/>
      <c r="CSB344" s="29"/>
      <c r="CSC344" s="29"/>
      <c r="CSD344" s="29"/>
      <c r="CSE344" s="29"/>
      <c r="CSF344" s="29"/>
      <c r="CSG344" s="29"/>
      <c r="CSH344" s="29"/>
      <c r="CSI344" s="29"/>
      <c r="CSJ344" s="29"/>
      <c r="CSK344" s="29"/>
      <c r="CSL344" s="29"/>
      <c r="CSM344" s="29"/>
      <c r="CSN344" s="29"/>
      <c r="CSO344" s="29"/>
      <c r="CSP344" s="29"/>
      <c r="CSQ344" s="29"/>
      <c r="CSR344" s="29"/>
      <c r="CSS344" s="29"/>
      <c r="CST344" s="29"/>
      <c r="CSU344" s="29"/>
      <c r="CSV344" s="29"/>
      <c r="CSW344" s="29"/>
      <c r="CSX344" s="29"/>
      <c r="CSY344" s="29"/>
      <c r="CSZ344" s="29"/>
      <c r="CTA344" s="29"/>
      <c r="CTB344" s="29"/>
      <c r="CTC344" s="29"/>
      <c r="CTD344" s="29"/>
      <c r="CTE344" s="29"/>
      <c r="CTF344" s="29"/>
      <c r="CTG344" s="29"/>
      <c r="CTH344" s="29"/>
      <c r="CTI344" s="29"/>
      <c r="CTJ344" s="29"/>
      <c r="CTK344" s="29"/>
      <c r="CTL344" s="29"/>
      <c r="CTM344" s="29"/>
      <c r="CTN344" s="29"/>
      <c r="CTO344" s="29"/>
      <c r="CTP344" s="29"/>
      <c r="CTQ344" s="29"/>
      <c r="CTR344" s="29"/>
      <c r="CTS344" s="29"/>
      <c r="CTT344" s="29"/>
      <c r="CTU344" s="29"/>
      <c r="CTV344" s="29"/>
      <c r="CTW344" s="29"/>
      <c r="CTX344" s="29"/>
      <c r="CTY344" s="29"/>
      <c r="CTZ344" s="29"/>
      <c r="CUA344" s="29"/>
      <c r="CUB344" s="29"/>
      <c r="CUC344" s="29"/>
      <c r="CUD344" s="29"/>
      <c r="CUE344" s="29"/>
      <c r="CUF344" s="29"/>
      <c r="CUG344" s="29"/>
      <c r="CUH344" s="29"/>
      <c r="CUI344" s="29"/>
      <c r="CUJ344" s="29"/>
      <c r="CUK344" s="29"/>
      <c r="CUL344" s="29"/>
      <c r="CUM344" s="29"/>
      <c r="CUN344" s="29"/>
      <c r="CUO344" s="29"/>
      <c r="CUP344" s="29"/>
      <c r="CUQ344" s="29"/>
      <c r="CUR344" s="29"/>
      <c r="CUS344" s="29"/>
      <c r="CUT344" s="29"/>
      <c r="CUU344" s="29"/>
      <c r="CUV344" s="29"/>
      <c r="CUW344" s="29"/>
      <c r="CUX344" s="29"/>
      <c r="CUY344" s="29"/>
      <c r="CUZ344" s="29"/>
      <c r="CVA344" s="29"/>
      <c r="CVB344" s="29"/>
      <c r="CVC344" s="29"/>
      <c r="CVD344" s="29"/>
      <c r="CVE344" s="29"/>
      <c r="CVF344" s="29"/>
      <c r="CVG344" s="29"/>
      <c r="CVH344" s="29"/>
      <c r="CVI344" s="29"/>
      <c r="CVJ344" s="29"/>
      <c r="CVK344" s="29"/>
      <c r="CVL344" s="29"/>
      <c r="CVM344" s="29"/>
      <c r="CVN344" s="29"/>
      <c r="CVO344" s="29"/>
      <c r="CVP344" s="29"/>
      <c r="CVQ344" s="29"/>
      <c r="CVR344" s="29"/>
      <c r="CVS344" s="29"/>
      <c r="CVT344" s="29"/>
      <c r="CVU344" s="29"/>
      <c r="CVV344" s="29"/>
      <c r="CVW344" s="29"/>
      <c r="CVX344" s="29"/>
      <c r="CVY344" s="29"/>
      <c r="CVZ344" s="29"/>
      <c r="CWA344" s="29"/>
      <c r="CWB344" s="29"/>
      <c r="CWC344" s="29"/>
      <c r="CWD344" s="29"/>
      <c r="CWE344" s="29"/>
      <c r="CWF344" s="29"/>
      <c r="CWG344" s="29"/>
      <c r="CWH344" s="29"/>
      <c r="CWI344" s="29"/>
      <c r="CWJ344" s="29"/>
      <c r="CWK344" s="29"/>
      <c r="CWL344" s="29"/>
      <c r="CWM344" s="29"/>
      <c r="CWN344" s="29"/>
      <c r="CWO344" s="29"/>
      <c r="CWP344" s="29"/>
      <c r="CWQ344" s="29"/>
      <c r="CWR344" s="29"/>
      <c r="CWS344" s="29"/>
      <c r="CWT344" s="29"/>
      <c r="CWU344" s="29"/>
      <c r="CWV344" s="29"/>
      <c r="CWW344" s="29"/>
      <c r="CWX344" s="29"/>
      <c r="CWY344" s="29"/>
      <c r="CWZ344" s="29"/>
      <c r="CXA344" s="29"/>
      <c r="CXB344" s="29"/>
      <c r="CXC344" s="29"/>
      <c r="CXD344" s="29"/>
      <c r="CXE344" s="29"/>
      <c r="CXF344" s="29"/>
      <c r="CXG344" s="29"/>
      <c r="CXH344" s="29"/>
      <c r="CXI344" s="29"/>
      <c r="CXJ344" s="29"/>
      <c r="CXK344" s="29"/>
      <c r="CXL344" s="29"/>
      <c r="CXM344" s="29"/>
      <c r="CXN344" s="29"/>
      <c r="CXO344" s="29"/>
      <c r="CXP344" s="29"/>
      <c r="CXQ344" s="29"/>
      <c r="CXR344" s="29"/>
      <c r="CXS344" s="29"/>
      <c r="CXT344" s="29"/>
      <c r="CXU344" s="29"/>
      <c r="CXV344" s="29"/>
      <c r="CXW344" s="29"/>
      <c r="CXX344" s="29"/>
      <c r="CXY344" s="29"/>
      <c r="CXZ344" s="29"/>
      <c r="CYA344" s="29"/>
      <c r="CYB344" s="29"/>
      <c r="CYC344" s="29"/>
      <c r="CYD344" s="29"/>
      <c r="CYE344" s="29"/>
      <c r="CYF344" s="29"/>
      <c r="CYG344" s="29"/>
      <c r="CYH344" s="29"/>
      <c r="CYI344" s="29"/>
      <c r="CYJ344" s="29"/>
      <c r="CYK344" s="29"/>
      <c r="CYL344" s="29"/>
      <c r="CYM344" s="29"/>
      <c r="CYN344" s="29"/>
      <c r="CYO344" s="29"/>
      <c r="CYP344" s="29"/>
      <c r="CYQ344" s="29"/>
      <c r="CYR344" s="29"/>
      <c r="CYS344" s="29"/>
      <c r="CYT344" s="29"/>
      <c r="CYU344" s="29"/>
      <c r="CYV344" s="29"/>
      <c r="CYW344" s="29"/>
      <c r="CYX344" s="29"/>
      <c r="CYY344" s="29"/>
      <c r="CYZ344" s="29"/>
      <c r="CZA344" s="29"/>
      <c r="CZB344" s="29"/>
      <c r="CZC344" s="29"/>
      <c r="CZD344" s="29"/>
      <c r="CZE344" s="29"/>
      <c r="CZF344" s="29"/>
      <c r="CZG344" s="29"/>
      <c r="CZH344" s="29"/>
      <c r="CZI344" s="29"/>
      <c r="CZJ344" s="29"/>
      <c r="CZK344" s="29"/>
      <c r="CZL344" s="29"/>
      <c r="CZM344" s="29"/>
      <c r="CZN344" s="29"/>
      <c r="CZO344" s="29"/>
      <c r="CZP344" s="29"/>
      <c r="CZQ344" s="29"/>
      <c r="CZR344" s="29"/>
      <c r="CZS344" s="29"/>
      <c r="CZT344" s="29"/>
      <c r="CZU344" s="29"/>
      <c r="CZV344" s="29"/>
      <c r="CZW344" s="29"/>
      <c r="CZX344" s="29"/>
      <c r="CZY344" s="29"/>
      <c r="CZZ344" s="29"/>
      <c r="DAA344" s="29"/>
      <c r="DAB344" s="29"/>
      <c r="DAC344" s="29"/>
      <c r="DAD344" s="29"/>
      <c r="DAE344" s="29"/>
      <c r="DAF344" s="29"/>
      <c r="DAG344" s="29"/>
      <c r="DAH344" s="29"/>
      <c r="DAI344" s="29"/>
      <c r="DAJ344" s="29"/>
      <c r="DAK344" s="29"/>
      <c r="DAL344" s="29"/>
      <c r="DAM344" s="29"/>
      <c r="DAN344" s="29"/>
      <c r="DAO344" s="29"/>
      <c r="DAP344" s="29"/>
      <c r="DAQ344" s="29"/>
      <c r="DAR344" s="29"/>
      <c r="DAS344" s="29"/>
      <c r="DAT344" s="29"/>
      <c r="DAU344" s="29"/>
      <c r="DAV344" s="29"/>
      <c r="DAW344" s="29"/>
      <c r="DAX344" s="29"/>
      <c r="DAY344" s="29"/>
      <c r="DAZ344" s="29"/>
      <c r="DBA344" s="29"/>
      <c r="DBB344" s="29"/>
      <c r="DBC344" s="29"/>
      <c r="DBD344" s="29"/>
      <c r="DBE344" s="29"/>
      <c r="DBF344" s="29"/>
      <c r="DBG344" s="29"/>
      <c r="DBH344" s="29"/>
      <c r="DBI344" s="29"/>
      <c r="DBJ344" s="29"/>
      <c r="DBK344" s="29"/>
      <c r="DBL344" s="29"/>
      <c r="DBM344" s="29"/>
      <c r="DBN344" s="29"/>
      <c r="DBO344" s="29"/>
      <c r="DBP344" s="29"/>
      <c r="DBQ344" s="29"/>
      <c r="DBR344" s="29"/>
      <c r="DBS344" s="29"/>
      <c r="DBT344" s="29"/>
      <c r="DBU344" s="29"/>
      <c r="DBV344" s="29"/>
      <c r="DBW344" s="29"/>
      <c r="DBX344" s="29"/>
      <c r="DBY344" s="29"/>
      <c r="DBZ344" s="29"/>
      <c r="DCA344" s="29"/>
      <c r="DCB344" s="29"/>
      <c r="DCC344" s="29"/>
      <c r="DCD344" s="29"/>
      <c r="DCE344" s="29"/>
      <c r="DCF344" s="29"/>
      <c r="DCG344" s="29"/>
      <c r="DCH344" s="29"/>
      <c r="DCI344" s="29"/>
      <c r="DCJ344" s="29"/>
      <c r="DCK344" s="29"/>
      <c r="DCL344" s="29"/>
      <c r="DCM344" s="29"/>
      <c r="DCN344" s="29"/>
      <c r="DCO344" s="29"/>
      <c r="DCP344" s="29"/>
      <c r="DCQ344" s="29"/>
      <c r="DCR344" s="29"/>
      <c r="DCS344" s="29"/>
      <c r="DCT344" s="29"/>
      <c r="DCU344" s="29"/>
      <c r="DCV344" s="29"/>
      <c r="DCW344" s="29"/>
      <c r="DCX344" s="29"/>
      <c r="DCY344" s="29"/>
      <c r="DCZ344" s="29"/>
      <c r="DDA344" s="29"/>
      <c r="DDB344" s="29"/>
      <c r="DDC344" s="29"/>
      <c r="DDD344" s="29"/>
      <c r="DDE344" s="29"/>
      <c r="DDF344" s="29"/>
      <c r="DDG344" s="29"/>
      <c r="DDH344" s="29"/>
      <c r="DDI344" s="29"/>
      <c r="DDJ344" s="29"/>
      <c r="DDK344" s="29"/>
      <c r="DDL344" s="29"/>
      <c r="DDM344" s="29"/>
      <c r="DDN344" s="29"/>
      <c r="DDO344" s="29"/>
      <c r="DDP344" s="29"/>
      <c r="DDQ344" s="29"/>
      <c r="DDR344" s="29"/>
      <c r="DDS344" s="29"/>
      <c r="DDT344" s="29"/>
      <c r="DDU344" s="29"/>
      <c r="DDV344" s="29"/>
      <c r="DDW344" s="29"/>
      <c r="DDX344" s="29"/>
      <c r="DDY344" s="29"/>
      <c r="DDZ344" s="29"/>
      <c r="DEA344" s="29"/>
      <c r="DEB344" s="29"/>
      <c r="DEC344" s="29"/>
      <c r="DED344" s="29"/>
      <c r="DEE344" s="29"/>
      <c r="DEF344" s="29"/>
      <c r="DEG344" s="29"/>
      <c r="DEH344" s="29"/>
      <c r="DEI344" s="29"/>
      <c r="DEJ344" s="29"/>
      <c r="DEK344" s="29"/>
      <c r="DEL344" s="29"/>
      <c r="DEM344" s="29"/>
      <c r="DEN344" s="29"/>
      <c r="DEO344" s="29"/>
      <c r="DEP344" s="29"/>
      <c r="DEQ344" s="29"/>
      <c r="DER344" s="29"/>
      <c r="DES344" s="29"/>
      <c r="DET344" s="29"/>
      <c r="DEU344" s="29"/>
      <c r="DEV344" s="29"/>
      <c r="DEW344" s="29"/>
      <c r="DEX344" s="29"/>
      <c r="DEY344" s="29"/>
      <c r="DEZ344" s="29"/>
      <c r="DFA344" s="29"/>
      <c r="DFB344" s="29"/>
      <c r="DFC344" s="29"/>
      <c r="DFD344" s="29"/>
      <c r="DFE344" s="29"/>
      <c r="DFF344" s="29"/>
      <c r="DFG344" s="29"/>
      <c r="DFH344" s="29"/>
      <c r="DFI344" s="29"/>
      <c r="DFJ344" s="29"/>
      <c r="DFK344" s="29"/>
      <c r="DFL344" s="29"/>
      <c r="DFM344" s="29"/>
      <c r="DFN344" s="29"/>
      <c r="DFO344" s="29"/>
      <c r="DFP344" s="29"/>
      <c r="DFQ344" s="29"/>
      <c r="DFR344" s="29"/>
      <c r="DFS344" s="29"/>
      <c r="DFT344" s="29"/>
      <c r="DFU344" s="29"/>
      <c r="DFV344" s="29"/>
      <c r="DFW344" s="29"/>
      <c r="DFX344" s="29"/>
      <c r="DFY344" s="29"/>
      <c r="DFZ344" s="29"/>
      <c r="DGA344" s="29"/>
      <c r="DGB344" s="29"/>
      <c r="DGC344" s="29"/>
      <c r="DGD344" s="29"/>
      <c r="DGE344" s="29"/>
      <c r="DGF344" s="29"/>
      <c r="DGG344" s="29"/>
      <c r="DGH344" s="29"/>
      <c r="DGI344" s="29"/>
      <c r="DGJ344" s="29"/>
      <c r="DGK344" s="29"/>
      <c r="DGL344" s="29"/>
      <c r="DGM344" s="29"/>
      <c r="DGN344" s="29"/>
      <c r="DGO344" s="29"/>
      <c r="DGP344" s="29"/>
      <c r="DGQ344" s="29"/>
      <c r="DGR344" s="29"/>
      <c r="DGS344" s="29"/>
      <c r="DGT344" s="29"/>
      <c r="DGU344" s="29"/>
      <c r="DGV344" s="29"/>
      <c r="DGW344" s="29"/>
      <c r="DGX344" s="29"/>
      <c r="DGY344" s="29"/>
      <c r="DGZ344" s="29"/>
      <c r="DHA344" s="29"/>
      <c r="DHB344" s="29"/>
      <c r="DHC344" s="29"/>
      <c r="DHD344" s="29"/>
      <c r="DHE344" s="29"/>
      <c r="DHF344" s="29"/>
      <c r="DHG344" s="29"/>
      <c r="DHH344" s="29"/>
      <c r="DHI344" s="29"/>
      <c r="DHJ344" s="29"/>
      <c r="DHK344" s="29"/>
      <c r="DHL344" s="29"/>
      <c r="DHM344" s="29"/>
      <c r="DHN344" s="29"/>
      <c r="DHO344" s="29"/>
      <c r="DHP344" s="29"/>
      <c r="DHQ344" s="29"/>
      <c r="DHR344" s="29"/>
      <c r="DHS344" s="29"/>
      <c r="DHT344" s="29"/>
      <c r="DHU344" s="29"/>
      <c r="DHV344" s="29"/>
      <c r="DHW344" s="29"/>
      <c r="DHX344" s="29"/>
      <c r="DHY344" s="29"/>
      <c r="DHZ344" s="29"/>
      <c r="DIA344" s="29"/>
      <c r="DIB344" s="29"/>
      <c r="DIC344" s="29"/>
      <c r="DID344" s="29"/>
      <c r="DIE344" s="29"/>
      <c r="DIF344" s="29"/>
      <c r="DIG344" s="29"/>
      <c r="DIH344" s="29"/>
      <c r="DII344" s="29"/>
      <c r="DIJ344" s="29"/>
      <c r="DIK344" s="29"/>
      <c r="DIL344" s="29"/>
      <c r="DIM344" s="29"/>
      <c r="DIN344" s="29"/>
      <c r="DIO344" s="29"/>
      <c r="DIP344" s="29"/>
      <c r="DIQ344" s="29"/>
      <c r="DIR344" s="29"/>
      <c r="DIS344" s="29"/>
      <c r="DIT344" s="29"/>
      <c r="DIU344" s="29"/>
      <c r="DIV344" s="29"/>
      <c r="DIW344" s="29"/>
      <c r="DIX344" s="29"/>
      <c r="DIY344" s="29"/>
      <c r="DIZ344" s="29"/>
      <c r="DJA344" s="29"/>
      <c r="DJB344" s="29"/>
      <c r="DJC344" s="29"/>
      <c r="DJD344" s="29"/>
      <c r="DJE344" s="29"/>
      <c r="DJF344" s="29"/>
      <c r="DJG344" s="29"/>
      <c r="DJH344" s="29"/>
      <c r="DJI344" s="29"/>
      <c r="DJJ344" s="29"/>
      <c r="DJK344" s="29"/>
      <c r="DJL344" s="29"/>
      <c r="DJM344" s="29"/>
      <c r="DJN344" s="29"/>
      <c r="DJO344" s="29"/>
      <c r="DJP344" s="29"/>
      <c r="DJQ344" s="29"/>
      <c r="DJR344" s="29"/>
      <c r="DJS344" s="29"/>
      <c r="DJT344" s="29"/>
      <c r="DJU344" s="29"/>
      <c r="DJV344" s="29"/>
      <c r="DJW344" s="29"/>
      <c r="DJX344" s="29"/>
      <c r="DJY344" s="29"/>
      <c r="DJZ344" s="29"/>
      <c r="DKA344" s="29"/>
      <c r="DKB344" s="29"/>
      <c r="DKC344" s="29"/>
      <c r="DKD344" s="29"/>
      <c r="DKE344" s="29"/>
      <c r="DKF344" s="29"/>
      <c r="DKG344" s="29"/>
      <c r="DKH344" s="29"/>
      <c r="DKI344" s="29"/>
      <c r="DKJ344" s="29"/>
      <c r="DKK344" s="29"/>
      <c r="DKL344" s="29"/>
      <c r="DKM344" s="29"/>
      <c r="DKN344" s="29"/>
      <c r="DKO344" s="29"/>
      <c r="DKP344" s="29"/>
      <c r="DKQ344" s="29"/>
      <c r="DKR344" s="29"/>
      <c r="DKS344" s="29"/>
      <c r="DKT344" s="29"/>
      <c r="DKU344" s="29"/>
      <c r="DKV344" s="29"/>
      <c r="DKW344" s="29"/>
      <c r="DKX344" s="29"/>
      <c r="DKY344" s="29"/>
      <c r="DKZ344" s="29"/>
      <c r="DLA344" s="29"/>
      <c r="DLB344" s="29"/>
      <c r="DLC344" s="29"/>
      <c r="DLD344" s="29"/>
      <c r="DLE344" s="29"/>
      <c r="DLF344" s="29"/>
      <c r="DLG344" s="29"/>
      <c r="DLH344" s="29"/>
      <c r="DLI344" s="29"/>
      <c r="DLJ344" s="29"/>
      <c r="DLK344" s="29"/>
      <c r="DLL344" s="29"/>
      <c r="DLM344" s="29"/>
      <c r="DLN344" s="29"/>
      <c r="DLO344" s="29"/>
      <c r="DLP344" s="29"/>
      <c r="DLQ344" s="29"/>
      <c r="DLR344" s="29"/>
      <c r="DLS344" s="29"/>
      <c r="DLT344" s="29"/>
      <c r="DLU344" s="29"/>
      <c r="DLV344" s="29"/>
      <c r="DLW344" s="29"/>
      <c r="DLX344" s="29"/>
      <c r="DLY344" s="29"/>
      <c r="DLZ344" s="29"/>
      <c r="DMA344" s="29"/>
      <c r="DMB344" s="29"/>
      <c r="DMC344" s="29"/>
      <c r="DMD344" s="29"/>
      <c r="DME344" s="29"/>
      <c r="DMF344" s="29"/>
      <c r="DMG344" s="29"/>
      <c r="DMH344" s="29"/>
      <c r="DMI344" s="29"/>
      <c r="DMJ344" s="29"/>
      <c r="DMK344" s="29"/>
      <c r="DML344" s="29"/>
      <c r="DMM344" s="29"/>
      <c r="DMN344" s="29"/>
      <c r="DMO344" s="29"/>
      <c r="DMP344" s="29"/>
      <c r="DMQ344" s="29"/>
      <c r="DMR344" s="29"/>
      <c r="DMS344" s="29"/>
      <c r="DMT344" s="29"/>
      <c r="DMU344" s="29"/>
      <c r="DMV344" s="29"/>
      <c r="DMW344" s="29"/>
      <c r="DMX344" s="29"/>
      <c r="DMY344" s="29"/>
      <c r="DMZ344" s="29"/>
      <c r="DNA344" s="29"/>
      <c r="DNB344" s="29"/>
      <c r="DNC344" s="29"/>
      <c r="DND344" s="29"/>
      <c r="DNE344" s="29"/>
      <c r="DNF344" s="29"/>
      <c r="DNG344" s="29"/>
      <c r="DNH344" s="29"/>
      <c r="DNI344" s="29"/>
      <c r="DNJ344" s="29"/>
      <c r="DNK344" s="29"/>
      <c r="DNL344" s="29"/>
      <c r="DNM344" s="29"/>
      <c r="DNN344" s="29"/>
      <c r="DNO344" s="29"/>
      <c r="DNP344" s="29"/>
      <c r="DNQ344" s="29"/>
      <c r="DNR344" s="29"/>
      <c r="DNS344" s="29"/>
      <c r="DNT344" s="29"/>
      <c r="DNU344" s="29"/>
      <c r="DNV344" s="29"/>
      <c r="DNW344" s="29"/>
      <c r="DNX344" s="29"/>
      <c r="DNY344" s="29"/>
      <c r="DNZ344" s="29"/>
      <c r="DOA344" s="29"/>
      <c r="DOB344" s="29"/>
      <c r="DOC344" s="29"/>
      <c r="DOD344" s="29"/>
      <c r="DOE344" s="29"/>
      <c r="DOF344" s="29"/>
      <c r="DOG344" s="29"/>
      <c r="DOH344" s="29"/>
      <c r="DOI344" s="29"/>
      <c r="DOJ344" s="29"/>
      <c r="DOK344" s="29"/>
      <c r="DOL344" s="29"/>
      <c r="DOM344" s="29"/>
      <c r="DON344" s="29"/>
      <c r="DOO344" s="29"/>
      <c r="DOP344" s="29"/>
      <c r="DOQ344" s="29"/>
      <c r="DOR344" s="29"/>
      <c r="DOS344" s="29"/>
      <c r="DOT344" s="29"/>
      <c r="DOU344" s="29"/>
      <c r="DOV344" s="29"/>
      <c r="DOW344" s="29"/>
      <c r="DOX344" s="29"/>
      <c r="DOY344" s="29"/>
      <c r="DOZ344" s="29"/>
      <c r="DPA344" s="29"/>
      <c r="DPB344" s="29"/>
      <c r="DPC344" s="29"/>
      <c r="DPD344" s="29"/>
      <c r="DPE344" s="29"/>
      <c r="DPF344" s="29"/>
      <c r="DPG344" s="29"/>
      <c r="DPH344" s="29"/>
      <c r="DPI344" s="29"/>
      <c r="DPJ344" s="29"/>
      <c r="DPK344" s="29"/>
      <c r="DPL344" s="29"/>
      <c r="DPM344" s="29"/>
      <c r="DPN344" s="29"/>
      <c r="DPO344" s="29"/>
      <c r="DPP344" s="29"/>
      <c r="DPQ344" s="29"/>
      <c r="DPR344" s="29"/>
      <c r="DPS344" s="29"/>
      <c r="DPT344" s="29"/>
      <c r="DPU344" s="29"/>
      <c r="DPV344" s="29"/>
      <c r="DPW344" s="29"/>
      <c r="DPX344" s="29"/>
      <c r="DPY344" s="29"/>
      <c r="DPZ344" s="29"/>
      <c r="DQA344" s="29"/>
      <c r="DQB344" s="29"/>
      <c r="DQC344" s="29"/>
      <c r="DQD344" s="29"/>
      <c r="DQE344" s="29"/>
      <c r="DQF344" s="29"/>
      <c r="DQG344" s="29"/>
      <c r="DQH344" s="29"/>
      <c r="DQI344" s="29"/>
      <c r="DQJ344" s="29"/>
      <c r="DQK344" s="29"/>
      <c r="DQL344" s="29"/>
      <c r="DQM344" s="29"/>
      <c r="DQN344" s="29"/>
      <c r="DQO344" s="29"/>
      <c r="DQP344" s="29"/>
      <c r="DQQ344" s="29"/>
      <c r="DQR344" s="29"/>
      <c r="DQS344" s="29"/>
      <c r="DQT344" s="29"/>
      <c r="DQU344" s="29"/>
      <c r="DQV344" s="29"/>
      <c r="DQW344" s="29"/>
      <c r="DQX344" s="29"/>
      <c r="DQY344" s="29"/>
      <c r="DQZ344" s="29"/>
      <c r="DRA344" s="29"/>
      <c r="DRB344" s="29"/>
      <c r="DRC344" s="29"/>
      <c r="DRD344" s="29"/>
      <c r="DRE344" s="29"/>
      <c r="DRF344" s="29"/>
      <c r="DRG344" s="29"/>
      <c r="DRH344" s="29"/>
      <c r="DRI344" s="29"/>
      <c r="DRJ344" s="29"/>
      <c r="DRK344" s="29"/>
      <c r="DRL344" s="29"/>
      <c r="DRM344" s="29"/>
      <c r="DRN344" s="29"/>
      <c r="DRO344" s="29"/>
      <c r="DRP344" s="29"/>
      <c r="DRQ344" s="29"/>
      <c r="DRR344" s="29"/>
      <c r="DRS344" s="29"/>
      <c r="DRT344" s="29"/>
      <c r="DRU344" s="29"/>
      <c r="DRV344" s="29"/>
      <c r="DRW344" s="29"/>
      <c r="DRX344" s="29"/>
      <c r="DRY344" s="29"/>
      <c r="DRZ344" s="29"/>
      <c r="DSA344" s="29"/>
      <c r="DSB344" s="29"/>
      <c r="DSC344" s="29"/>
      <c r="DSD344" s="29"/>
      <c r="DSE344" s="29"/>
      <c r="DSF344" s="29"/>
      <c r="DSG344" s="29"/>
      <c r="DSH344" s="29"/>
      <c r="DSI344" s="29"/>
      <c r="DSJ344" s="29"/>
      <c r="DSK344" s="29"/>
      <c r="DSL344" s="29"/>
      <c r="DSM344" s="29"/>
      <c r="DSN344" s="29"/>
      <c r="DSO344" s="29"/>
      <c r="DSP344" s="29"/>
      <c r="DSQ344" s="29"/>
      <c r="DSR344" s="29"/>
      <c r="DSS344" s="29"/>
      <c r="DST344" s="29"/>
      <c r="DSU344" s="29"/>
      <c r="DSV344" s="29"/>
      <c r="DSW344" s="29"/>
      <c r="DSX344" s="29"/>
      <c r="DSY344" s="29"/>
      <c r="DSZ344" s="29"/>
      <c r="DTA344" s="29"/>
      <c r="DTB344" s="29"/>
      <c r="DTC344" s="29"/>
      <c r="DTD344" s="29"/>
      <c r="DTE344" s="29"/>
      <c r="DTF344" s="29"/>
      <c r="DTG344" s="29"/>
      <c r="DTH344" s="29"/>
      <c r="DTI344" s="29"/>
      <c r="DTJ344" s="29"/>
      <c r="DTK344" s="29"/>
      <c r="DTL344" s="29"/>
      <c r="DTM344" s="29"/>
      <c r="DTN344" s="29"/>
      <c r="DTO344" s="29"/>
      <c r="DTP344" s="29"/>
      <c r="DTQ344" s="29"/>
      <c r="DTR344" s="29"/>
      <c r="DTS344" s="29"/>
      <c r="DTT344" s="29"/>
      <c r="DTU344" s="29"/>
      <c r="DTV344" s="29"/>
      <c r="DTW344" s="29"/>
      <c r="DTX344" s="29"/>
      <c r="DTY344" s="29"/>
      <c r="DTZ344" s="29"/>
      <c r="DUA344" s="29"/>
      <c r="DUB344" s="29"/>
      <c r="DUC344" s="29"/>
      <c r="DUD344" s="29"/>
      <c r="DUE344" s="29"/>
      <c r="DUF344" s="29"/>
      <c r="DUG344" s="29"/>
      <c r="DUH344" s="29"/>
      <c r="DUI344" s="29"/>
      <c r="DUJ344" s="29"/>
      <c r="DUK344" s="29"/>
      <c r="DUL344" s="29"/>
      <c r="DUM344" s="29"/>
      <c r="DUN344" s="29"/>
      <c r="DUO344" s="29"/>
      <c r="DUP344" s="29"/>
      <c r="DUQ344" s="29"/>
      <c r="DUR344" s="29"/>
      <c r="DUS344" s="29"/>
      <c r="DUT344" s="29"/>
      <c r="DUU344" s="29"/>
      <c r="DUV344" s="29"/>
      <c r="DUW344" s="29"/>
      <c r="DUX344" s="29"/>
      <c r="DUY344" s="29"/>
      <c r="DUZ344" s="29"/>
      <c r="DVA344" s="29"/>
      <c r="DVB344" s="29"/>
      <c r="DVC344" s="29"/>
      <c r="DVD344" s="29"/>
      <c r="DVE344" s="29"/>
      <c r="DVF344" s="29"/>
      <c r="DVG344" s="29"/>
      <c r="DVH344" s="29"/>
      <c r="DVI344" s="29"/>
      <c r="DVJ344" s="29"/>
      <c r="DVK344" s="29"/>
      <c r="DVL344" s="29"/>
      <c r="DVM344" s="29"/>
      <c r="DVN344" s="29"/>
      <c r="DVO344" s="29"/>
      <c r="DVP344" s="29"/>
      <c r="DVQ344" s="29"/>
      <c r="DVR344" s="29"/>
      <c r="DVS344" s="29"/>
      <c r="DVT344" s="29"/>
      <c r="DVU344" s="29"/>
      <c r="DVV344" s="29"/>
      <c r="DVW344" s="29"/>
      <c r="DVX344" s="29"/>
      <c r="DVY344" s="29"/>
      <c r="DVZ344" s="29"/>
      <c r="DWA344" s="29"/>
      <c r="DWB344" s="29"/>
      <c r="DWC344" s="29"/>
      <c r="DWD344" s="29"/>
      <c r="DWE344" s="29"/>
      <c r="DWF344" s="29"/>
      <c r="DWG344" s="29"/>
      <c r="DWH344" s="29"/>
      <c r="DWI344" s="29"/>
      <c r="DWJ344" s="29"/>
      <c r="DWK344" s="29"/>
      <c r="DWL344" s="29"/>
      <c r="DWM344" s="29"/>
      <c r="DWN344" s="29"/>
      <c r="DWO344" s="29"/>
      <c r="DWP344" s="29"/>
      <c r="DWQ344" s="29"/>
      <c r="DWR344" s="29"/>
      <c r="DWS344" s="29"/>
      <c r="DWT344" s="29"/>
      <c r="DWU344" s="29"/>
      <c r="DWV344" s="29"/>
      <c r="DWW344" s="29"/>
      <c r="DWX344" s="29"/>
      <c r="DWY344" s="29"/>
      <c r="DWZ344" s="29"/>
      <c r="DXA344" s="29"/>
      <c r="DXB344" s="29"/>
      <c r="DXC344" s="29"/>
      <c r="DXD344" s="29"/>
      <c r="DXE344" s="29"/>
      <c r="DXF344" s="29"/>
      <c r="DXG344" s="29"/>
      <c r="DXH344" s="29"/>
      <c r="DXI344" s="29"/>
      <c r="DXJ344" s="29"/>
      <c r="DXK344" s="29"/>
      <c r="DXL344" s="29"/>
      <c r="DXM344" s="29"/>
      <c r="DXN344" s="29"/>
      <c r="DXO344" s="29"/>
      <c r="DXP344" s="29"/>
      <c r="DXQ344" s="29"/>
      <c r="DXR344" s="29"/>
      <c r="DXS344" s="29"/>
      <c r="DXT344" s="29"/>
      <c r="DXU344" s="29"/>
      <c r="DXV344" s="29"/>
      <c r="DXW344" s="29"/>
      <c r="DXX344" s="29"/>
      <c r="DXY344" s="29"/>
      <c r="DXZ344" s="29"/>
      <c r="DYA344" s="29"/>
      <c r="DYB344" s="29"/>
      <c r="DYC344" s="29"/>
      <c r="DYD344" s="29"/>
      <c r="DYE344" s="29"/>
      <c r="DYF344" s="29"/>
      <c r="DYG344" s="29"/>
      <c r="DYH344" s="29"/>
      <c r="DYI344" s="29"/>
      <c r="DYJ344" s="29"/>
      <c r="DYK344" s="29"/>
      <c r="DYL344" s="29"/>
      <c r="DYM344" s="29"/>
      <c r="DYN344" s="29"/>
      <c r="DYO344" s="29"/>
      <c r="DYP344" s="29"/>
      <c r="DYQ344" s="29"/>
      <c r="DYR344" s="29"/>
      <c r="DYS344" s="29"/>
      <c r="DYT344" s="29"/>
      <c r="DYU344" s="29"/>
      <c r="DYV344" s="29"/>
      <c r="DYW344" s="29"/>
      <c r="DYX344" s="29"/>
      <c r="DYY344" s="29"/>
      <c r="DYZ344" s="29"/>
      <c r="DZA344" s="29"/>
      <c r="DZB344" s="29"/>
      <c r="DZC344" s="29"/>
      <c r="DZD344" s="29"/>
      <c r="DZE344" s="29"/>
      <c r="DZF344" s="29"/>
      <c r="DZG344" s="29"/>
      <c r="DZH344" s="29"/>
      <c r="DZI344" s="29"/>
      <c r="DZJ344" s="29"/>
      <c r="DZK344" s="29"/>
      <c r="DZL344" s="29"/>
      <c r="DZM344" s="29"/>
      <c r="DZN344" s="29"/>
      <c r="DZO344" s="29"/>
      <c r="DZP344" s="29"/>
      <c r="DZQ344" s="29"/>
      <c r="DZR344" s="29"/>
      <c r="DZS344" s="29"/>
      <c r="DZT344" s="29"/>
      <c r="DZU344" s="29"/>
      <c r="DZV344" s="29"/>
      <c r="DZW344" s="29"/>
      <c r="DZX344" s="29"/>
      <c r="DZY344" s="29"/>
      <c r="DZZ344" s="29"/>
      <c r="EAA344" s="29"/>
      <c r="EAB344" s="29"/>
      <c r="EAC344" s="29"/>
      <c r="EAD344" s="29"/>
      <c r="EAE344" s="29"/>
      <c r="EAF344" s="29"/>
      <c r="EAG344" s="29"/>
      <c r="EAH344" s="29"/>
      <c r="EAI344" s="29"/>
      <c r="EAJ344" s="29"/>
      <c r="EAK344" s="29"/>
      <c r="EAL344" s="29"/>
      <c r="EAM344" s="29"/>
      <c r="EAN344" s="29"/>
      <c r="EAO344" s="29"/>
      <c r="EAP344" s="29"/>
      <c r="EAQ344" s="29"/>
      <c r="EAR344" s="29"/>
      <c r="EAS344" s="29"/>
      <c r="EAT344" s="29"/>
      <c r="EAU344" s="29"/>
      <c r="EAV344" s="29"/>
      <c r="EAW344" s="29"/>
      <c r="EAX344" s="29"/>
      <c r="EAY344" s="29"/>
      <c r="EAZ344" s="29"/>
      <c r="EBA344" s="29"/>
      <c r="EBB344" s="29"/>
      <c r="EBC344" s="29"/>
      <c r="EBD344" s="29"/>
      <c r="EBE344" s="29"/>
      <c r="EBF344" s="29"/>
      <c r="EBG344" s="29"/>
      <c r="EBH344" s="29"/>
      <c r="EBI344" s="29"/>
      <c r="EBJ344" s="29"/>
      <c r="EBK344" s="29"/>
      <c r="EBL344" s="29"/>
      <c r="EBM344" s="29"/>
      <c r="EBN344" s="29"/>
      <c r="EBO344" s="29"/>
      <c r="EBP344" s="29"/>
      <c r="EBQ344" s="29"/>
      <c r="EBR344" s="29"/>
      <c r="EBS344" s="29"/>
      <c r="EBT344" s="29"/>
      <c r="EBU344" s="29"/>
      <c r="EBV344" s="29"/>
      <c r="EBW344" s="29"/>
      <c r="EBX344" s="29"/>
      <c r="EBY344" s="29"/>
      <c r="EBZ344" s="29"/>
      <c r="ECA344" s="29"/>
      <c r="ECB344" s="29"/>
      <c r="ECC344" s="29"/>
      <c r="ECD344" s="29"/>
      <c r="ECE344" s="29"/>
      <c r="ECF344" s="29"/>
      <c r="ECG344" s="29"/>
      <c r="ECH344" s="29"/>
      <c r="ECI344" s="29"/>
      <c r="ECJ344" s="29"/>
      <c r="ECK344" s="29"/>
      <c r="ECL344" s="29"/>
      <c r="ECM344" s="29"/>
      <c r="ECN344" s="29"/>
      <c r="ECO344" s="29"/>
      <c r="ECP344" s="29"/>
      <c r="ECQ344" s="29"/>
      <c r="ECR344" s="29"/>
      <c r="ECS344" s="29"/>
      <c r="ECT344" s="29"/>
      <c r="ECU344" s="29"/>
      <c r="ECV344" s="29"/>
      <c r="ECW344" s="29"/>
      <c r="ECX344" s="29"/>
      <c r="ECY344" s="29"/>
      <c r="ECZ344" s="29"/>
      <c r="EDA344" s="29"/>
      <c r="EDB344" s="29"/>
      <c r="EDC344" s="29"/>
      <c r="EDD344" s="29"/>
      <c r="EDE344" s="29"/>
      <c r="EDF344" s="29"/>
      <c r="EDG344" s="29"/>
      <c r="EDH344" s="29"/>
      <c r="EDI344" s="29"/>
      <c r="EDJ344" s="29"/>
      <c r="EDK344" s="29"/>
      <c r="EDL344" s="29"/>
      <c r="EDM344" s="29"/>
      <c r="EDN344" s="29"/>
      <c r="EDO344" s="29"/>
      <c r="EDP344" s="29"/>
      <c r="EDQ344" s="29"/>
      <c r="EDR344" s="29"/>
      <c r="EDS344" s="29"/>
      <c r="EDT344" s="29"/>
      <c r="EDU344" s="29"/>
      <c r="EDV344" s="29"/>
      <c r="EDW344" s="29"/>
      <c r="EDX344" s="29"/>
      <c r="EDY344" s="29"/>
      <c r="EDZ344" s="29"/>
      <c r="EEA344" s="29"/>
      <c r="EEB344" s="29"/>
      <c r="EEC344" s="29"/>
      <c r="EED344" s="29"/>
      <c r="EEE344" s="29"/>
      <c r="EEF344" s="29"/>
      <c r="EEG344" s="29"/>
      <c r="EEH344" s="29"/>
      <c r="EEI344" s="29"/>
      <c r="EEJ344" s="29"/>
      <c r="EEK344" s="29"/>
      <c r="EEL344" s="29"/>
      <c r="EEM344" s="29"/>
      <c r="EEN344" s="29"/>
      <c r="EEO344" s="29"/>
      <c r="EEP344" s="29"/>
      <c r="EEQ344" s="29"/>
      <c r="EER344" s="29"/>
      <c r="EES344" s="29"/>
      <c r="EET344" s="29"/>
      <c r="EEU344" s="29"/>
      <c r="EEV344" s="29"/>
      <c r="EEW344" s="29"/>
      <c r="EEX344" s="29"/>
      <c r="EEY344" s="29"/>
      <c r="EEZ344" s="29"/>
      <c r="EFA344" s="29"/>
      <c r="EFB344" s="29"/>
      <c r="EFC344" s="29"/>
      <c r="EFD344" s="29"/>
      <c r="EFE344" s="29"/>
      <c r="EFF344" s="29"/>
      <c r="EFG344" s="29"/>
      <c r="EFH344" s="29"/>
      <c r="EFI344" s="29"/>
      <c r="EFJ344" s="29"/>
      <c r="EFK344" s="29"/>
      <c r="EFL344" s="29"/>
      <c r="EFM344" s="29"/>
      <c r="EFN344" s="29"/>
      <c r="EFO344" s="29"/>
      <c r="EFP344" s="29"/>
      <c r="EFQ344" s="29"/>
      <c r="EFR344" s="29"/>
      <c r="EFS344" s="29"/>
      <c r="EFT344" s="29"/>
      <c r="EFU344" s="29"/>
      <c r="EFV344" s="29"/>
      <c r="EFW344" s="29"/>
      <c r="EFX344" s="29"/>
      <c r="EFY344" s="29"/>
      <c r="EFZ344" s="29"/>
      <c r="EGA344" s="29"/>
      <c r="EGB344" s="29"/>
      <c r="EGC344" s="29"/>
      <c r="EGD344" s="29"/>
      <c r="EGE344" s="29"/>
      <c r="EGF344" s="29"/>
      <c r="EGG344" s="29"/>
      <c r="EGH344" s="29"/>
      <c r="EGI344" s="29"/>
      <c r="EGJ344" s="29"/>
      <c r="EGK344" s="29"/>
      <c r="EGL344" s="29"/>
      <c r="EGM344" s="29"/>
      <c r="EGN344" s="29"/>
      <c r="EGO344" s="29"/>
      <c r="EGP344" s="29"/>
      <c r="EGQ344" s="29"/>
      <c r="EGR344" s="29"/>
      <c r="EGS344" s="29"/>
      <c r="EGT344" s="29"/>
      <c r="EGU344" s="29"/>
      <c r="EGV344" s="29"/>
      <c r="EGW344" s="29"/>
      <c r="EGX344" s="29"/>
      <c r="EGY344" s="29"/>
      <c r="EGZ344" s="29"/>
      <c r="EHA344" s="29"/>
      <c r="EHB344" s="29"/>
      <c r="EHC344" s="29"/>
      <c r="EHD344" s="29"/>
      <c r="EHE344" s="29"/>
      <c r="EHF344" s="29"/>
      <c r="EHG344" s="29"/>
      <c r="EHH344" s="29"/>
      <c r="EHI344" s="29"/>
      <c r="EHJ344" s="29"/>
      <c r="EHK344" s="29"/>
      <c r="EHL344" s="29"/>
      <c r="EHM344" s="29"/>
      <c r="EHN344" s="29"/>
      <c r="EHO344" s="29"/>
      <c r="EHP344" s="29"/>
      <c r="EHQ344" s="29"/>
      <c r="EHR344" s="29"/>
      <c r="EHS344" s="29"/>
      <c r="EHT344" s="29"/>
      <c r="EHU344" s="29"/>
      <c r="EHV344" s="29"/>
      <c r="EHW344" s="29"/>
      <c r="EHX344" s="29"/>
      <c r="EHY344" s="29"/>
      <c r="EHZ344" s="29"/>
      <c r="EIA344" s="29"/>
      <c r="EIB344" s="29"/>
      <c r="EIC344" s="29"/>
      <c r="EID344" s="29"/>
      <c r="EIE344" s="29"/>
      <c r="EIF344" s="29"/>
      <c r="EIG344" s="29"/>
      <c r="EIH344" s="29"/>
      <c r="EII344" s="29"/>
      <c r="EIJ344" s="29"/>
      <c r="EIK344" s="29"/>
      <c r="EIL344" s="29"/>
      <c r="EIM344" s="29"/>
      <c r="EIN344" s="29"/>
      <c r="EIO344" s="29"/>
      <c r="EIP344" s="29"/>
      <c r="EIQ344" s="29"/>
      <c r="EIR344" s="29"/>
      <c r="EIS344" s="29"/>
      <c r="EIT344" s="29"/>
      <c r="EIU344" s="29"/>
      <c r="EIV344" s="29"/>
      <c r="EIW344" s="29"/>
      <c r="EIX344" s="29"/>
      <c r="EIY344" s="29"/>
      <c r="EIZ344" s="29"/>
      <c r="EJA344" s="29"/>
      <c r="EJB344" s="29"/>
      <c r="EJC344" s="29"/>
      <c r="EJD344" s="29"/>
      <c r="EJE344" s="29"/>
      <c r="EJF344" s="29"/>
      <c r="EJG344" s="29"/>
      <c r="EJH344" s="29"/>
      <c r="EJI344" s="29"/>
      <c r="EJJ344" s="29"/>
      <c r="EJK344" s="29"/>
      <c r="EJL344" s="29"/>
      <c r="EJM344" s="29"/>
      <c r="EJN344" s="29"/>
      <c r="EJO344" s="29"/>
      <c r="EJP344" s="29"/>
      <c r="EJQ344" s="29"/>
      <c r="EJR344" s="29"/>
      <c r="EJS344" s="29"/>
      <c r="EJT344" s="29"/>
      <c r="EJU344" s="29"/>
      <c r="EJV344" s="29"/>
      <c r="EJW344" s="29"/>
      <c r="EJX344" s="29"/>
      <c r="EJY344" s="29"/>
      <c r="EJZ344" s="29"/>
      <c r="EKA344" s="29"/>
      <c r="EKB344" s="29"/>
      <c r="EKC344" s="29"/>
      <c r="EKD344" s="29"/>
      <c r="EKE344" s="29"/>
      <c r="EKF344" s="29"/>
      <c r="EKG344" s="29"/>
      <c r="EKH344" s="29"/>
      <c r="EKI344" s="29"/>
      <c r="EKJ344" s="29"/>
      <c r="EKK344" s="29"/>
      <c r="EKL344" s="29"/>
      <c r="EKM344" s="29"/>
      <c r="EKN344" s="29"/>
      <c r="EKO344" s="29"/>
      <c r="EKP344" s="29"/>
      <c r="EKQ344" s="29"/>
      <c r="EKR344" s="29"/>
      <c r="EKS344" s="29"/>
      <c r="EKT344" s="29"/>
      <c r="EKU344" s="29"/>
      <c r="EKV344" s="29"/>
      <c r="EKW344" s="29"/>
      <c r="EKX344" s="29"/>
      <c r="EKY344" s="29"/>
      <c r="EKZ344" s="29"/>
      <c r="ELA344" s="29"/>
      <c r="ELB344" s="29"/>
      <c r="ELC344" s="29"/>
      <c r="ELD344" s="29"/>
      <c r="ELE344" s="29"/>
      <c r="ELF344" s="29"/>
      <c r="ELG344" s="29"/>
      <c r="ELH344" s="29"/>
      <c r="ELI344" s="29"/>
      <c r="ELJ344" s="29"/>
      <c r="ELK344" s="29"/>
      <c r="ELL344" s="29"/>
      <c r="ELM344" s="29"/>
      <c r="ELN344" s="29"/>
      <c r="ELO344" s="29"/>
      <c r="ELP344" s="29"/>
      <c r="ELQ344" s="29"/>
      <c r="ELR344" s="29"/>
      <c r="ELS344" s="29"/>
      <c r="ELT344" s="29"/>
      <c r="ELU344" s="29"/>
      <c r="ELV344" s="29"/>
      <c r="ELW344" s="29"/>
      <c r="ELX344" s="29"/>
      <c r="ELY344" s="29"/>
      <c r="ELZ344" s="29"/>
      <c r="EMA344" s="29"/>
      <c r="EMB344" s="29"/>
      <c r="EMC344" s="29"/>
      <c r="EMD344" s="29"/>
      <c r="EME344" s="29"/>
      <c r="EMF344" s="29"/>
      <c r="EMG344" s="29"/>
      <c r="EMH344" s="29"/>
      <c r="EMI344" s="29"/>
      <c r="EMJ344" s="29"/>
      <c r="EMK344" s="29"/>
      <c r="EML344" s="29"/>
      <c r="EMM344" s="29"/>
      <c r="EMN344" s="29"/>
      <c r="EMO344" s="29"/>
      <c r="EMP344" s="29"/>
      <c r="EMQ344" s="29"/>
      <c r="EMR344" s="29"/>
      <c r="EMS344" s="29"/>
      <c r="EMT344" s="29"/>
      <c r="EMU344" s="29"/>
      <c r="EMV344" s="29"/>
      <c r="EMW344" s="29"/>
      <c r="EMX344" s="29"/>
      <c r="EMY344" s="29"/>
      <c r="EMZ344" s="29"/>
      <c r="ENA344" s="29"/>
      <c r="ENB344" s="29"/>
      <c r="ENC344" s="29"/>
      <c r="END344" s="29"/>
      <c r="ENE344" s="29"/>
      <c r="ENF344" s="29"/>
      <c r="ENG344" s="29"/>
      <c r="ENH344" s="29"/>
      <c r="ENI344" s="29"/>
      <c r="ENJ344" s="29"/>
      <c r="ENK344" s="29"/>
      <c r="ENL344" s="29"/>
      <c r="ENM344" s="29"/>
      <c r="ENN344" s="29"/>
      <c r="ENO344" s="29"/>
      <c r="ENP344" s="29"/>
      <c r="ENQ344" s="29"/>
      <c r="ENR344" s="29"/>
      <c r="ENS344" s="29"/>
      <c r="ENT344" s="29"/>
      <c r="ENU344" s="29"/>
      <c r="ENV344" s="29"/>
      <c r="ENW344" s="29"/>
      <c r="ENX344" s="29"/>
      <c r="ENY344" s="29"/>
      <c r="ENZ344" s="29"/>
      <c r="EOA344" s="29"/>
      <c r="EOB344" s="29"/>
      <c r="EOC344" s="29"/>
      <c r="EOD344" s="29"/>
      <c r="EOE344" s="29"/>
      <c r="EOF344" s="29"/>
      <c r="EOG344" s="29"/>
      <c r="EOH344" s="29"/>
      <c r="EOI344" s="29"/>
      <c r="EOJ344" s="29"/>
      <c r="EOK344" s="29"/>
      <c r="EOL344" s="29"/>
      <c r="EOM344" s="29"/>
      <c r="EON344" s="29"/>
      <c r="EOO344" s="29"/>
      <c r="EOP344" s="29"/>
      <c r="EOQ344" s="29"/>
      <c r="EOR344" s="29"/>
      <c r="EOS344" s="29"/>
      <c r="EOT344" s="29"/>
      <c r="EOU344" s="29"/>
      <c r="EOV344" s="29"/>
      <c r="EOW344" s="29"/>
      <c r="EOX344" s="29"/>
      <c r="EOY344" s="29"/>
      <c r="EOZ344" s="29"/>
      <c r="EPA344" s="29"/>
      <c r="EPB344" s="29"/>
      <c r="EPC344" s="29"/>
      <c r="EPD344" s="29"/>
      <c r="EPE344" s="29"/>
      <c r="EPF344" s="29"/>
      <c r="EPG344" s="29"/>
      <c r="EPH344" s="29"/>
      <c r="EPI344" s="29"/>
      <c r="EPJ344" s="29"/>
      <c r="EPK344" s="29"/>
      <c r="EPL344" s="29"/>
      <c r="EPM344" s="29"/>
      <c r="EPN344" s="29"/>
      <c r="EPO344" s="29"/>
      <c r="EPP344" s="29"/>
      <c r="EPQ344" s="29"/>
      <c r="EPR344" s="29"/>
      <c r="EPS344" s="29"/>
      <c r="EPT344" s="29"/>
      <c r="EPU344" s="29"/>
      <c r="EPV344" s="29"/>
      <c r="EPW344" s="29"/>
      <c r="EPX344" s="29"/>
      <c r="EPY344" s="29"/>
      <c r="EPZ344" s="29"/>
      <c r="EQA344" s="29"/>
      <c r="EQB344" s="29"/>
      <c r="EQC344" s="29"/>
      <c r="EQD344" s="29"/>
      <c r="EQE344" s="29"/>
      <c r="EQF344" s="29"/>
      <c r="EQG344" s="29"/>
      <c r="EQH344" s="29"/>
      <c r="EQI344" s="29"/>
      <c r="EQJ344" s="29"/>
      <c r="EQK344" s="29"/>
      <c r="EQL344" s="29"/>
      <c r="EQM344" s="29"/>
      <c r="EQN344" s="29"/>
      <c r="EQO344" s="29"/>
      <c r="EQP344" s="29"/>
      <c r="EQQ344" s="29"/>
      <c r="EQR344" s="29"/>
      <c r="EQS344" s="29"/>
      <c r="EQT344" s="29"/>
      <c r="EQU344" s="29"/>
      <c r="EQV344" s="29"/>
      <c r="EQW344" s="29"/>
      <c r="EQX344" s="29"/>
      <c r="EQY344" s="29"/>
      <c r="EQZ344" s="29"/>
      <c r="ERA344" s="29"/>
      <c r="ERB344" s="29"/>
      <c r="ERC344" s="29"/>
      <c r="ERD344" s="29"/>
      <c r="ERE344" s="29"/>
      <c r="ERF344" s="29"/>
      <c r="ERG344" s="29"/>
      <c r="ERH344" s="29"/>
      <c r="ERI344" s="29"/>
      <c r="ERJ344" s="29"/>
      <c r="ERK344" s="29"/>
      <c r="ERL344" s="29"/>
      <c r="ERM344" s="29"/>
      <c r="ERN344" s="29"/>
      <c r="ERO344" s="29"/>
      <c r="ERP344" s="29"/>
      <c r="ERQ344" s="29"/>
      <c r="ERR344" s="29"/>
      <c r="ERS344" s="29"/>
      <c r="ERT344" s="29"/>
      <c r="ERU344" s="29"/>
      <c r="ERV344" s="29"/>
      <c r="ERW344" s="29"/>
      <c r="ERX344" s="29"/>
      <c r="ERY344" s="29"/>
      <c r="ERZ344" s="29"/>
      <c r="ESA344" s="29"/>
      <c r="ESB344" s="29"/>
      <c r="ESC344" s="29"/>
      <c r="ESD344" s="29"/>
      <c r="ESE344" s="29"/>
      <c r="ESF344" s="29"/>
      <c r="ESG344" s="29"/>
      <c r="ESH344" s="29"/>
      <c r="ESI344" s="29"/>
      <c r="ESJ344" s="29"/>
      <c r="ESK344" s="29"/>
      <c r="ESL344" s="29"/>
      <c r="ESM344" s="29"/>
      <c r="ESN344" s="29"/>
      <c r="ESO344" s="29"/>
      <c r="ESP344" s="29"/>
      <c r="ESQ344" s="29"/>
      <c r="ESR344" s="29"/>
      <c r="ESS344" s="29"/>
      <c r="EST344" s="29"/>
      <c r="ESU344" s="29"/>
      <c r="ESV344" s="29"/>
      <c r="ESW344" s="29"/>
      <c r="ESX344" s="29"/>
      <c r="ESY344" s="29"/>
      <c r="ESZ344" s="29"/>
      <c r="ETA344" s="29"/>
      <c r="ETB344" s="29"/>
      <c r="ETC344" s="29"/>
      <c r="ETD344" s="29"/>
      <c r="ETE344" s="29"/>
      <c r="ETF344" s="29"/>
      <c r="ETG344" s="29"/>
      <c r="ETH344" s="29"/>
      <c r="ETI344" s="29"/>
      <c r="ETJ344" s="29"/>
      <c r="ETK344" s="29"/>
      <c r="ETL344" s="29"/>
      <c r="ETM344" s="29"/>
      <c r="ETN344" s="29"/>
      <c r="ETO344" s="29"/>
      <c r="ETP344" s="29"/>
      <c r="ETQ344" s="29"/>
      <c r="ETR344" s="29"/>
      <c r="ETS344" s="29"/>
      <c r="ETT344" s="29"/>
      <c r="ETU344" s="29"/>
      <c r="ETV344" s="29"/>
      <c r="ETW344" s="29"/>
      <c r="ETX344" s="29"/>
      <c r="ETY344" s="29"/>
      <c r="ETZ344" s="29"/>
      <c r="EUA344" s="29"/>
      <c r="EUB344" s="29"/>
      <c r="EUC344" s="29"/>
      <c r="EUD344" s="29"/>
      <c r="EUE344" s="29"/>
      <c r="EUF344" s="29"/>
      <c r="EUG344" s="29"/>
      <c r="EUH344" s="29"/>
      <c r="EUI344" s="29"/>
      <c r="EUJ344" s="29"/>
      <c r="EUK344" s="29"/>
      <c r="EUL344" s="29"/>
      <c r="EUM344" s="29"/>
      <c r="EUN344" s="29"/>
      <c r="EUO344" s="29"/>
      <c r="EUP344" s="29"/>
      <c r="EUQ344" s="29"/>
      <c r="EUR344" s="29"/>
      <c r="EUS344" s="29"/>
      <c r="EUT344" s="29"/>
      <c r="EUU344" s="29"/>
      <c r="EUV344" s="29"/>
      <c r="EUW344" s="29"/>
      <c r="EUX344" s="29"/>
      <c r="EUY344" s="29"/>
      <c r="EUZ344" s="29"/>
      <c r="EVA344" s="29"/>
      <c r="EVB344" s="29"/>
      <c r="EVC344" s="29"/>
      <c r="EVD344" s="29"/>
      <c r="EVE344" s="29"/>
      <c r="EVF344" s="29"/>
      <c r="EVG344" s="29"/>
      <c r="EVH344" s="29"/>
      <c r="EVI344" s="29"/>
      <c r="EVJ344" s="29"/>
      <c r="EVK344" s="29"/>
      <c r="EVL344" s="29"/>
      <c r="EVM344" s="29"/>
      <c r="EVN344" s="29"/>
      <c r="EVO344" s="29"/>
      <c r="EVP344" s="29"/>
      <c r="EVQ344" s="29"/>
      <c r="EVR344" s="29"/>
      <c r="EVS344" s="29"/>
      <c r="EVT344" s="29"/>
      <c r="EVU344" s="29"/>
      <c r="EVV344" s="29"/>
      <c r="EVW344" s="29"/>
      <c r="EVX344" s="29"/>
      <c r="EVY344" s="29"/>
      <c r="EVZ344" s="29"/>
      <c r="EWA344" s="29"/>
      <c r="EWB344" s="29"/>
      <c r="EWC344" s="29"/>
      <c r="EWD344" s="29"/>
      <c r="EWE344" s="29"/>
      <c r="EWF344" s="29"/>
      <c r="EWG344" s="29"/>
      <c r="EWH344" s="29"/>
      <c r="EWI344" s="29"/>
      <c r="EWJ344" s="29"/>
      <c r="EWK344" s="29"/>
      <c r="EWL344" s="29"/>
      <c r="EWM344" s="29"/>
      <c r="EWN344" s="29"/>
      <c r="EWO344" s="29"/>
      <c r="EWP344" s="29"/>
      <c r="EWQ344" s="29"/>
      <c r="EWR344" s="29"/>
      <c r="EWS344" s="29"/>
      <c r="EWT344" s="29"/>
      <c r="EWU344" s="29"/>
      <c r="EWV344" s="29"/>
      <c r="EWW344" s="29"/>
      <c r="EWX344" s="29"/>
      <c r="EWY344" s="29"/>
      <c r="EWZ344" s="29"/>
      <c r="EXA344" s="29"/>
      <c r="EXB344" s="29"/>
      <c r="EXC344" s="29"/>
      <c r="EXD344" s="29"/>
      <c r="EXE344" s="29"/>
      <c r="EXF344" s="29"/>
      <c r="EXG344" s="29"/>
      <c r="EXH344" s="29"/>
      <c r="EXI344" s="29"/>
      <c r="EXJ344" s="29"/>
      <c r="EXK344" s="29"/>
      <c r="EXL344" s="29"/>
      <c r="EXM344" s="29"/>
      <c r="EXN344" s="29"/>
      <c r="EXO344" s="29"/>
      <c r="EXP344" s="29"/>
      <c r="EXQ344" s="29"/>
      <c r="EXR344" s="29"/>
      <c r="EXS344" s="29"/>
      <c r="EXT344" s="29"/>
      <c r="EXU344" s="29"/>
      <c r="EXV344" s="29"/>
      <c r="EXW344" s="29"/>
      <c r="EXX344" s="29"/>
      <c r="EXY344" s="29"/>
      <c r="EXZ344" s="29"/>
      <c r="EYA344" s="29"/>
      <c r="EYB344" s="29"/>
      <c r="EYC344" s="29"/>
      <c r="EYD344" s="29"/>
      <c r="EYE344" s="29"/>
      <c r="EYF344" s="29"/>
      <c r="EYG344" s="29"/>
      <c r="EYH344" s="29"/>
      <c r="EYI344" s="29"/>
      <c r="EYJ344" s="29"/>
      <c r="EYK344" s="29"/>
      <c r="EYL344" s="29"/>
      <c r="EYM344" s="29"/>
      <c r="EYN344" s="29"/>
      <c r="EYO344" s="29"/>
      <c r="EYP344" s="29"/>
      <c r="EYQ344" s="29"/>
      <c r="EYR344" s="29"/>
      <c r="EYS344" s="29"/>
      <c r="EYT344" s="29"/>
      <c r="EYU344" s="29"/>
      <c r="EYV344" s="29"/>
      <c r="EYW344" s="29"/>
      <c r="EYX344" s="29"/>
      <c r="EYY344" s="29"/>
      <c r="EYZ344" s="29"/>
      <c r="EZA344" s="29"/>
      <c r="EZB344" s="29"/>
      <c r="EZC344" s="29"/>
      <c r="EZD344" s="29"/>
      <c r="EZE344" s="29"/>
      <c r="EZF344" s="29"/>
      <c r="EZG344" s="29"/>
      <c r="EZH344" s="29"/>
      <c r="EZI344" s="29"/>
      <c r="EZJ344" s="29"/>
      <c r="EZK344" s="29"/>
      <c r="EZL344" s="29"/>
      <c r="EZM344" s="29"/>
      <c r="EZN344" s="29"/>
      <c r="EZO344" s="29"/>
      <c r="EZP344" s="29"/>
      <c r="EZQ344" s="29"/>
      <c r="EZR344" s="29"/>
      <c r="EZS344" s="29"/>
      <c r="EZT344" s="29"/>
      <c r="EZU344" s="29"/>
      <c r="EZV344" s="29"/>
      <c r="EZW344" s="29"/>
      <c r="EZX344" s="29"/>
      <c r="EZY344" s="29"/>
      <c r="EZZ344" s="29"/>
      <c r="FAA344" s="29"/>
      <c r="FAB344" s="29"/>
      <c r="FAC344" s="29"/>
      <c r="FAD344" s="29"/>
      <c r="FAE344" s="29"/>
      <c r="FAF344" s="29"/>
      <c r="FAG344" s="29"/>
      <c r="FAH344" s="29"/>
      <c r="FAI344" s="29"/>
      <c r="FAJ344" s="29"/>
      <c r="FAK344" s="29"/>
      <c r="FAL344" s="29"/>
      <c r="FAM344" s="29"/>
      <c r="FAN344" s="29"/>
      <c r="FAO344" s="29"/>
      <c r="FAP344" s="29"/>
      <c r="FAQ344" s="29"/>
      <c r="FAR344" s="29"/>
      <c r="FAS344" s="29"/>
      <c r="FAT344" s="29"/>
      <c r="FAU344" s="29"/>
      <c r="FAV344" s="29"/>
      <c r="FAW344" s="29"/>
      <c r="FAX344" s="29"/>
      <c r="FAY344" s="29"/>
      <c r="FAZ344" s="29"/>
      <c r="FBA344" s="29"/>
      <c r="FBB344" s="29"/>
      <c r="FBC344" s="29"/>
      <c r="FBD344" s="29"/>
      <c r="FBE344" s="29"/>
      <c r="FBF344" s="29"/>
      <c r="FBG344" s="29"/>
      <c r="FBH344" s="29"/>
      <c r="FBI344" s="29"/>
      <c r="FBJ344" s="29"/>
      <c r="FBK344" s="29"/>
      <c r="FBL344" s="29"/>
      <c r="FBM344" s="29"/>
      <c r="FBN344" s="29"/>
      <c r="FBO344" s="29"/>
      <c r="FBP344" s="29"/>
      <c r="FBQ344" s="29"/>
      <c r="FBR344" s="29"/>
      <c r="FBS344" s="29"/>
      <c r="FBT344" s="29"/>
      <c r="FBU344" s="29"/>
      <c r="FBV344" s="29"/>
      <c r="FBW344" s="29"/>
      <c r="FBX344" s="29"/>
      <c r="FBY344" s="29"/>
      <c r="FBZ344" s="29"/>
      <c r="FCA344" s="29"/>
      <c r="FCB344" s="29"/>
      <c r="FCC344" s="29"/>
      <c r="FCD344" s="29"/>
      <c r="FCE344" s="29"/>
      <c r="FCF344" s="29"/>
      <c r="FCG344" s="29"/>
      <c r="FCH344" s="29"/>
      <c r="FCI344" s="29"/>
      <c r="FCJ344" s="29"/>
      <c r="FCK344" s="29"/>
      <c r="FCL344" s="29"/>
      <c r="FCM344" s="29"/>
      <c r="FCN344" s="29"/>
      <c r="FCO344" s="29"/>
      <c r="FCP344" s="29"/>
      <c r="FCQ344" s="29"/>
      <c r="FCR344" s="29"/>
      <c r="FCS344" s="29"/>
      <c r="FCT344" s="29"/>
      <c r="FCU344" s="29"/>
      <c r="FCV344" s="29"/>
      <c r="FCW344" s="29"/>
      <c r="FCX344" s="29"/>
      <c r="FCY344" s="29"/>
      <c r="FCZ344" s="29"/>
      <c r="FDA344" s="29"/>
      <c r="FDB344" s="29"/>
      <c r="FDC344" s="29"/>
      <c r="FDD344" s="29"/>
      <c r="FDE344" s="29"/>
      <c r="FDF344" s="29"/>
      <c r="FDG344" s="29"/>
      <c r="FDH344" s="29"/>
      <c r="FDI344" s="29"/>
      <c r="FDJ344" s="29"/>
      <c r="FDK344" s="29"/>
      <c r="FDL344" s="29"/>
      <c r="FDM344" s="29"/>
      <c r="FDN344" s="29"/>
      <c r="FDO344" s="29"/>
      <c r="FDP344" s="29"/>
      <c r="FDQ344" s="29"/>
      <c r="FDR344" s="29"/>
      <c r="FDS344" s="29"/>
      <c r="FDT344" s="29"/>
      <c r="FDU344" s="29"/>
      <c r="FDV344" s="29"/>
      <c r="FDW344" s="29"/>
      <c r="FDX344" s="29"/>
      <c r="FDY344" s="29"/>
      <c r="FDZ344" s="29"/>
      <c r="FEA344" s="29"/>
      <c r="FEB344" s="29"/>
      <c r="FEC344" s="29"/>
      <c r="FED344" s="29"/>
      <c r="FEE344" s="29"/>
      <c r="FEF344" s="29"/>
      <c r="FEG344" s="29"/>
      <c r="FEH344" s="29"/>
      <c r="FEI344" s="29"/>
      <c r="FEJ344" s="29"/>
      <c r="FEK344" s="29"/>
      <c r="FEL344" s="29"/>
      <c r="FEM344" s="29"/>
      <c r="FEN344" s="29"/>
      <c r="FEO344" s="29"/>
      <c r="FEP344" s="29"/>
      <c r="FEQ344" s="29"/>
      <c r="FER344" s="29"/>
      <c r="FES344" s="29"/>
      <c r="FET344" s="29"/>
      <c r="FEU344" s="29"/>
      <c r="FEV344" s="29"/>
      <c r="FEW344" s="29"/>
      <c r="FEX344" s="29"/>
      <c r="FEY344" s="29"/>
      <c r="FEZ344" s="29"/>
      <c r="FFA344" s="29"/>
      <c r="FFB344" s="29"/>
      <c r="FFC344" s="29"/>
      <c r="FFD344" s="29"/>
      <c r="FFE344" s="29"/>
      <c r="FFF344" s="29"/>
      <c r="FFG344" s="29"/>
      <c r="FFH344" s="29"/>
      <c r="FFI344" s="29"/>
      <c r="FFJ344" s="29"/>
      <c r="FFK344" s="29"/>
      <c r="FFL344" s="29"/>
      <c r="FFM344" s="29"/>
      <c r="FFN344" s="29"/>
      <c r="FFO344" s="29"/>
      <c r="FFP344" s="29"/>
      <c r="FFQ344" s="29"/>
      <c r="FFR344" s="29"/>
      <c r="FFS344" s="29"/>
      <c r="FFT344" s="29"/>
      <c r="FFU344" s="29"/>
      <c r="FFV344" s="29"/>
      <c r="FFW344" s="29"/>
      <c r="FFX344" s="29"/>
      <c r="FFY344" s="29"/>
      <c r="FFZ344" s="29"/>
      <c r="FGA344" s="29"/>
      <c r="FGB344" s="29"/>
      <c r="FGC344" s="29"/>
      <c r="FGD344" s="29"/>
      <c r="FGE344" s="29"/>
      <c r="FGF344" s="29"/>
      <c r="FGG344" s="29"/>
      <c r="FGH344" s="29"/>
      <c r="FGI344" s="29"/>
      <c r="FGJ344" s="29"/>
      <c r="FGK344" s="29"/>
      <c r="FGL344" s="29"/>
      <c r="FGM344" s="29"/>
      <c r="FGN344" s="29"/>
      <c r="FGO344" s="29"/>
      <c r="FGP344" s="29"/>
      <c r="FGQ344" s="29"/>
      <c r="FGR344" s="29"/>
      <c r="FGS344" s="29"/>
      <c r="FGT344" s="29"/>
      <c r="FGU344" s="29"/>
      <c r="FGV344" s="29"/>
      <c r="FGW344" s="29"/>
      <c r="FGX344" s="29"/>
      <c r="FGY344" s="29"/>
      <c r="FGZ344" s="29"/>
      <c r="FHA344" s="29"/>
      <c r="FHB344" s="29"/>
      <c r="FHC344" s="29"/>
      <c r="FHD344" s="29"/>
      <c r="FHE344" s="29"/>
      <c r="FHF344" s="29"/>
      <c r="FHG344" s="29"/>
      <c r="FHH344" s="29"/>
      <c r="FHI344" s="29"/>
      <c r="FHJ344" s="29"/>
      <c r="FHK344" s="29"/>
      <c r="FHL344" s="29"/>
      <c r="FHM344" s="29"/>
      <c r="FHN344" s="29"/>
      <c r="FHO344" s="29"/>
      <c r="FHP344" s="29"/>
      <c r="FHQ344" s="29"/>
      <c r="FHR344" s="29"/>
      <c r="FHS344" s="29"/>
      <c r="FHT344" s="29"/>
      <c r="FHU344" s="29"/>
      <c r="FHV344" s="29"/>
      <c r="FHW344" s="29"/>
      <c r="FHX344" s="29"/>
      <c r="FHY344" s="29"/>
      <c r="FHZ344" s="29"/>
      <c r="FIA344" s="29"/>
      <c r="FIB344" s="29"/>
      <c r="FIC344" s="29"/>
      <c r="FID344" s="29"/>
      <c r="FIE344" s="29"/>
      <c r="FIF344" s="29"/>
      <c r="FIG344" s="29"/>
      <c r="FIH344" s="29"/>
      <c r="FII344" s="29"/>
      <c r="FIJ344" s="29"/>
      <c r="FIK344" s="29"/>
      <c r="FIL344" s="29"/>
      <c r="FIM344" s="29"/>
      <c r="FIN344" s="29"/>
      <c r="FIO344" s="29"/>
      <c r="FIP344" s="29"/>
      <c r="FIQ344" s="29"/>
      <c r="FIR344" s="29"/>
      <c r="FIS344" s="29"/>
      <c r="FIT344" s="29"/>
      <c r="FIU344" s="29"/>
      <c r="FIV344" s="29"/>
      <c r="FIW344" s="29"/>
      <c r="FIX344" s="29"/>
      <c r="FIY344" s="29"/>
      <c r="FIZ344" s="29"/>
      <c r="FJA344" s="29"/>
      <c r="FJB344" s="29"/>
      <c r="FJC344" s="29"/>
      <c r="FJD344" s="29"/>
      <c r="FJE344" s="29"/>
      <c r="FJF344" s="29"/>
      <c r="FJG344" s="29"/>
      <c r="FJH344" s="29"/>
      <c r="FJI344" s="29"/>
      <c r="FJJ344" s="29"/>
      <c r="FJK344" s="29"/>
      <c r="FJL344" s="29"/>
      <c r="FJM344" s="29"/>
      <c r="FJN344" s="29"/>
      <c r="FJO344" s="29"/>
      <c r="FJP344" s="29"/>
      <c r="FJQ344" s="29"/>
      <c r="FJR344" s="29"/>
      <c r="FJS344" s="29"/>
      <c r="FJT344" s="29"/>
      <c r="FJU344" s="29"/>
      <c r="FJV344" s="29"/>
      <c r="FJW344" s="29"/>
      <c r="FJX344" s="29"/>
      <c r="FJY344" s="29"/>
      <c r="FJZ344" s="29"/>
      <c r="FKA344" s="29"/>
      <c r="FKB344" s="29"/>
      <c r="FKC344" s="29"/>
      <c r="FKD344" s="29"/>
      <c r="FKE344" s="29"/>
      <c r="FKF344" s="29"/>
      <c r="FKG344" s="29"/>
      <c r="FKH344" s="29"/>
      <c r="FKI344" s="29"/>
      <c r="FKJ344" s="29"/>
      <c r="FKK344" s="29"/>
      <c r="FKL344" s="29"/>
      <c r="FKM344" s="29"/>
      <c r="FKN344" s="29"/>
      <c r="FKO344" s="29"/>
      <c r="FKP344" s="29"/>
      <c r="FKQ344" s="29"/>
      <c r="FKR344" s="29"/>
      <c r="FKS344" s="29"/>
      <c r="FKT344" s="29"/>
      <c r="FKU344" s="29"/>
      <c r="FKV344" s="29"/>
      <c r="FKW344" s="29"/>
      <c r="FKX344" s="29"/>
      <c r="FKY344" s="29"/>
      <c r="FKZ344" s="29"/>
      <c r="FLA344" s="29"/>
      <c r="FLB344" s="29"/>
      <c r="FLC344" s="29"/>
      <c r="FLD344" s="29"/>
      <c r="FLE344" s="29"/>
      <c r="FLF344" s="29"/>
      <c r="FLG344" s="29"/>
      <c r="FLH344" s="29"/>
      <c r="FLI344" s="29"/>
      <c r="FLJ344" s="29"/>
      <c r="FLK344" s="29"/>
      <c r="FLL344" s="29"/>
      <c r="FLM344" s="29"/>
      <c r="FLN344" s="29"/>
      <c r="FLO344" s="29"/>
      <c r="FLP344" s="29"/>
      <c r="FLQ344" s="29"/>
      <c r="FLR344" s="29"/>
      <c r="FLS344" s="29"/>
      <c r="FLT344" s="29"/>
      <c r="FLU344" s="29"/>
      <c r="FLV344" s="29"/>
      <c r="FLW344" s="29"/>
      <c r="FLX344" s="29"/>
      <c r="FLY344" s="29"/>
      <c r="FLZ344" s="29"/>
      <c r="FMA344" s="29"/>
      <c r="FMB344" s="29"/>
      <c r="FMC344" s="29"/>
      <c r="FMD344" s="29"/>
      <c r="FME344" s="29"/>
      <c r="FMF344" s="29"/>
      <c r="FMG344" s="29"/>
      <c r="FMH344" s="29"/>
      <c r="FMI344" s="29"/>
      <c r="FMJ344" s="29"/>
      <c r="FMK344" s="29"/>
      <c r="FML344" s="29"/>
      <c r="FMM344" s="29"/>
      <c r="FMN344" s="29"/>
      <c r="FMO344" s="29"/>
      <c r="FMP344" s="29"/>
      <c r="FMQ344" s="29"/>
      <c r="FMR344" s="29"/>
      <c r="FMS344" s="29"/>
      <c r="FMT344" s="29"/>
      <c r="FMU344" s="29"/>
      <c r="FMV344" s="29"/>
      <c r="FMW344" s="29"/>
      <c r="FMX344" s="29"/>
      <c r="FMY344" s="29"/>
      <c r="FMZ344" s="29"/>
      <c r="FNA344" s="29"/>
      <c r="FNB344" s="29"/>
      <c r="FNC344" s="29"/>
      <c r="FND344" s="29"/>
      <c r="FNE344" s="29"/>
      <c r="FNF344" s="29"/>
      <c r="FNG344" s="29"/>
      <c r="FNH344" s="29"/>
      <c r="FNI344" s="29"/>
      <c r="FNJ344" s="29"/>
      <c r="FNK344" s="29"/>
      <c r="FNL344" s="29"/>
      <c r="FNM344" s="29"/>
      <c r="FNN344" s="29"/>
      <c r="FNO344" s="29"/>
      <c r="FNP344" s="29"/>
      <c r="FNQ344" s="29"/>
      <c r="FNR344" s="29"/>
      <c r="FNS344" s="29"/>
      <c r="FNT344" s="29"/>
      <c r="FNU344" s="29"/>
      <c r="FNV344" s="29"/>
      <c r="FNW344" s="29"/>
      <c r="FNX344" s="29"/>
      <c r="FNY344" s="29"/>
      <c r="FNZ344" s="29"/>
      <c r="FOA344" s="29"/>
      <c r="FOB344" s="29"/>
      <c r="FOC344" s="29"/>
      <c r="FOD344" s="29"/>
      <c r="FOE344" s="29"/>
      <c r="FOF344" s="29"/>
      <c r="FOG344" s="29"/>
      <c r="FOH344" s="29"/>
      <c r="FOI344" s="29"/>
      <c r="FOJ344" s="29"/>
      <c r="FOK344" s="29"/>
      <c r="FOL344" s="29"/>
      <c r="FOM344" s="29"/>
      <c r="FON344" s="29"/>
      <c r="FOO344" s="29"/>
      <c r="FOP344" s="29"/>
      <c r="FOQ344" s="29"/>
      <c r="FOR344" s="29"/>
      <c r="FOS344" s="29"/>
      <c r="FOT344" s="29"/>
      <c r="FOU344" s="29"/>
      <c r="FOV344" s="29"/>
      <c r="FOW344" s="29"/>
      <c r="FOX344" s="29"/>
      <c r="FOY344" s="29"/>
      <c r="FOZ344" s="29"/>
      <c r="FPA344" s="29"/>
      <c r="FPB344" s="29"/>
      <c r="FPC344" s="29"/>
      <c r="FPD344" s="29"/>
      <c r="FPE344" s="29"/>
      <c r="FPF344" s="29"/>
      <c r="FPG344" s="29"/>
      <c r="FPH344" s="29"/>
      <c r="FPI344" s="29"/>
      <c r="FPJ344" s="29"/>
      <c r="FPK344" s="29"/>
      <c r="FPL344" s="29"/>
      <c r="FPM344" s="29"/>
      <c r="FPN344" s="29"/>
      <c r="FPO344" s="29"/>
      <c r="FPP344" s="29"/>
      <c r="FPQ344" s="29"/>
      <c r="FPR344" s="29"/>
      <c r="FPS344" s="29"/>
      <c r="FPT344" s="29"/>
      <c r="FPU344" s="29"/>
      <c r="FPV344" s="29"/>
      <c r="FPW344" s="29"/>
      <c r="FPX344" s="29"/>
      <c r="FPY344" s="29"/>
      <c r="FPZ344" s="29"/>
      <c r="FQA344" s="29"/>
      <c r="FQB344" s="29"/>
      <c r="FQC344" s="29"/>
      <c r="FQD344" s="29"/>
      <c r="FQE344" s="29"/>
      <c r="FQF344" s="29"/>
      <c r="FQG344" s="29"/>
      <c r="FQH344" s="29"/>
      <c r="FQI344" s="29"/>
      <c r="FQJ344" s="29"/>
      <c r="FQK344" s="29"/>
      <c r="FQL344" s="29"/>
      <c r="FQM344" s="29"/>
      <c r="FQN344" s="29"/>
      <c r="FQO344" s="29"/>
      <c r="FQP344" s="29"/>
      <c r="FQQ344" s="29"/>
      <c r="FQR344" s="29"/>
      <c r="FQS344" s="29"/>
      <c r="FQT344" s="29"/>
      <c r="FQU344" s="29"/>
      <c r="FQV344" s="29"/>
      <c r="FQW344" s="29"/>
      <c r="FQX344" s="29"/>
      <c r="FQY344" s="29"/>
      <c r="FQZ344" s="29"/>
      <c r="FRA344" s="29"/>
      <c r="FRB344" s="29"/>
      <c r="FRC344" s="29"/>
      <c r="FRD344" s="29"/>
      <c r="FRE344" s="29"/>
      <c r="FRF344" s="29"/>
      <c r="FRG344" s="29"/>
      <c r="FRH344" s="29"/>
      <c r="FRI344" s="29"/>
      <c r="FRJ344" s="29"/>
      <c r="FRK344" s="29"/>
      <c r="FRL344" s="29"/>
      <c r="FRM344" s="29"/>
      <c r="FRN344" s="29"/>
      <c r="FRO344" s="29"/>
      <c r="FRP344" s="29"/>
      <c r="FRQ344" s="29"/>
      <c r="FRR344" s="29"/>
      <c r="FRS344" s="29"/>
      <c r="FRT344" s="29"/>
      <c r="FRU344" s="29"/>
      <c r="FRV344" s="29"/>
      <c r="FRW344" s="29"/>
      <c r="FRX344" s="29"/>
      <c r="FRY344" s="29"/>
      <c r="FRZ344" s="29"/>
      <c r="FSA344" s="29"/>
      <c r="FSB344" s="29"/>
      <c r="FSC344" s="29"/>
      <c r="FSD344" s="29"/>
      <c r="FSE344" s="29"/>
      <c r="FSF344" s="29"/>
      <c r="FSG344" s="29"/>
      <c r="FSH344" s="29"/>
      <c r="FSI344" s="29"/>
      <c r="FSJ344" s="29"/>
      <c r="FSK344" s="29"/>
      <c r="FSL344" s="29"/>
      <c r="FSM344" s="29"/>
      <c r="FSN344" s="29"/>
      <c r="FSO344" s="29"/>
      <c r="FSP344" s="29"/>
      <c r="FSQ344" s="29"/>
      <c r="FSR344" s="29"/>
      <c r="FSS344" s="29"/>
      <c r="FST344" s="29"/>
      <c r="FSU344" s="29"/>
      <c r="FSV344" s="29"/>
      <c r="FSW344" s="29"/>
      <c r="FSX344" s="29"/>
      <c r="FSY344" s="29"/>
      <c r="FSZ344" s="29"/>
      <c r="FTA344" s="29"/>
      <c r="FTB344" s="29"/>
      <c r="FTC344" s="29"/>
      <c r="FTD344" s="29"/>
      <c r="FTE344" s="29"/>
      <c r="FTF344" s="29"/>
      <c r="FTG344" s="29"/>
      <c r="FTH344" s="29"/>
      <c r="FTI344" s="29"/>
      <c r="FTJ344" s="29"/>
      <c r="FTK344" s="29"/>
      <c r="FTL344" s="29"/>
      <c r="FTM344" s="29"/>
      <c r="FTN344" s="29"/>
      <c r="FTO344" s="29"/>
      <c r="FTP344" s="29"/>
      <c r="FTQ344" s="29"/>
      <c r="FTR344" s="29"/>
      <c r="FTS344" s="29"/>
      <c r="FTT344" s="29"/>
      <c r="FTU344" s="29"/>
      <c r="FTV344" s="29"/>
      <c r="FTW344" s="29"/>
      <c r="FTX344" s="29"/>
      <c r="FTY344" s="29"/>
      <c r="FTZ344" s="29"/>
      <c r="FUA344" s="29"/>
      <c r="FUB344" s="29"/>
      <c r="FUC344" s="29"/>
      <c r="FUD344" s="29"/>
      <c r="FUE344" s="29"/>
      <c r="FUF344" s="29"/>
      <c r="FUG344" s="29"/>
      <c r="FUH344" s="29"/>
      <c r="FUI344" s="29"/>
      <c r="FUJ344" s="29"/>
      <c r="FUK344" s="29"/>
      <c r="FUL344" s="29"/>
      <c r="FUM344" s="29"/>
      <c r="FUN344" s="29"/>
      <c r="FUO344" s="29"/>
      <c r="FUP344" s="29"/>
      <c r="FUQ344" s="29"/>
      <c r="FUR344" s="29"/>
      <c r="FUS344" s="29"/>
      <c r="FUT344" s="29"/>
      <c r="FUU344" s="29"/>
      <c r="FUV344" s="29"/>
      <c r="FUW344" s="29"/>
      <c r="FUX344" s="29"/>
      <c r="FUY344" s="29"/>
      <c r="FUZ344" s="29"/>
      <c r="FVA344" s="29"/>
      <c r="FVB344" s="29"/>
      <c r="FVC344" s="29"/>
      <c r="FVD344" s="29"/>
      <c r="FVE344" s="29"/>
      <c r="FVF344" s="29"/>
      <c r="FVG344" s="29"/>
      <c r="FVH344" s="29"/>
      <c r="FVI344" s="29"/>
      <c r="FVJ344" s="29"/>
      <c r="FVK344" s="29"/>
      <c r="FVL344" s="29"/>
      <c r="FVM344" s="29"/>
      <c r="FVN344" s="29"/>
      <c r="FVO344" s="29"/>
      <c r="FVP344" s="29"/>
      <c r="FVQ344" s="29"/>
      <c r="FVR344" s="29"/>
      <c r="FVS344" s="29"/>
      <c r="FVT344" s="29"/>
      <c r="FVU344" s="29"/>
      <c r="FVV344" s="29"/>
      <c r="FVW344" s="29"/>
      <c r="FVX344" s="29"/>
      <c r="FVY344" s="29"/>
      <c r="FVZ344" s="29"/>
      <c r="FWA344" s="29"/>
      <c r="FWB344" s="29"/>
      <c r="FWC344" s="29"/>
      <c r="FWD344" s="29"/>
      <c r="FWE344" s="29"/>
      <c r="FWF344" s="29"/>
      <c r="FWG344" s="29"/>
      <c r="FWH344" s="29"/>
      <c r="FWI344" s="29"/>
      <c r="FWJ344" s="29"/>
      <c r="FWK344" s="29"/>
      <c r="FWL344" s="29"/>
      <c r="FWM344" s="29"/>
      <c r="FWN344" s="29"/>
      <c r="FWO344" s="29"/>
      <c r="FWP344" s="29"/>
      <c r="FWQ344" s="29"/>
      <c r="FWR344" s="29"/>
      <c r="FWS344" s="29"/>
      <c r="FWT344" s="29"/>
      <c r="FWU344" s="29"/>
      <c r="FWV344" s="29"/>
      <c r="FWW344" s="29"/>
      <c r="FWX344" s="29"/>
      <c r="FWY344" s="29"/>
      <c r="FWZ344" s="29"/>
      <c r="FXA344" s="29"/>
      <c r="FXB344" s="29"/>
      <c r="FXC344" s="29"/>
      <c r="FXD344" s="29"/>
      <c r="FXE344" s="29"/>
      <c r="FXF344" s="29"/>
      <c r="FXG344" s="29"/>
      <c r="FXH344" s="29"/>
      <c r="FXI344" s="29"/>
      <c r="FXJ344" s="29"/>
      <c r="FXK344" s="29"/>
      <c r="FXL344" s="29"/>
      <c r="FXM344" s="29"/>
      <c r="FXN344" s="29"/>
      <c r="FXO344" s="29"/>
      <c r="FXP344" s="29"/>
      <c r="FXQ344" s="29"/>
      <c r="FXR344" s="29"/>
      <c r="FXS344" s="29"/>
      <c r="FXT344" s="29"/>
      <c r="FXU344" s="29"/>
      <c r="FXV344" s="29"/>
      <c r="FXW344" s="29"/>
      <c r="FXX344" s="29"/>
      <c r="FXY344" s="29"/>
      <c r="FXZ344" s="29"/>
      <c r="FYA344" s="29"/>
      <c r="FYB344" s="29"/>
      <c r="FYC344" s="29"/>
      <c r="FYD344" s="29"/>
      <c r="FYE344" s="29"/>
      <c r="FYF344" s="29"/>
      <c r="FYG344" s="29"/>
      <c r="FYH344" s="29"/>
      <c r="FYI344" s="29"/>
      <c r="FYJ344" s="29"/>
      <c r="FYK344" s="29"/>
      <c r="FYL344" s="29"/>
      <c r="FYM344" s="29"/>
      <c r="FYN344" s="29"/>
      <c r="FYO344" s="29"/>
      <c r="FYP344" s="29"/>
      <c r="FYQ344" s="29"/>
      <c r="FYR344" s="29"/>
      <c r="FYS344" s="29"/>
      <c r="FYT344" s="29"/>
      <c r="FYU344" s="29"/>
      <c r="FYV344" s="29"/>
      <c r="FYW344" s="29"/>
      <c r="FYX344" s="29"/>
      <c r="FYY344" s="29"/>
      <c r="FYZ344" s="29"/>
      <c r="FZA344" s="29"/>
      <c r="FZB344" s="29"/>
      <c r="FZC344" s="29"/>
      <c r="FZD344" s="29"/>
      <c r="FZE344" s="29"/>
      <c r="FZF344" s="29"/>
      <c r="FZG344" s="29"/>
      <c r="FZH344" s="29"/>
      <c r="FZI344" s="29"/>
      <c r="FZJ344" s="29"/>
      <c r="FZK344" s="29"/>
      <c r="FZL344" s="29"/>
      <c r="FZM344" s="29"/>
      <c r="FZN344" s="29"/>
      <c r="FZO344" s="29"/>
      <c r="FZP344" s="29"/>
      <c r="FZQ344" s="29"/>
      <c r="FZR344" s="29"/>
      <c r="FZS344" s="29"/>
      <c r="FZT344" s="29"/>
      <c r="FZU344" s="29"/>
      <c r="FZV344" s="29"/>
      <c r="FZW344" s="29"/>
      <c r="FZX344" s="29"/>
      <c r="FZY344" s="29"/>
      <c r="FZZ344" s="29"/>
      <c r="GAA344" s="29"/>
      <c r="GAB344" s="29"/>
      <c r="GAC344" s="29"/>
      <c r="GAD344" s="29"/>
      <c r="GAE344" s="29"/>
      <c r="GAF344" s="29"/>
      <c r="GAG344" s="29"/>
      <c r="GAH344" s="29"/>
      <c r="GAI344" s="29"/>
      <c r="GAJ344" s="29"/>
      <c r="GAK344" s="29"/>
      <c r="GAL344" s="29"/>
      <c r="GAM344" s="29"/>
      <c r="GAN344" s="29"/>
      <c r="GAO344" s="29"/>
      <c r="GAP344" s="29"/>
      <c r="GAQ344" s="29"/>
      <c r="GAR344" s="29"/>
      <c r="GAS344" s="29"/>
      <c r="GAT344" s="29"/>
      <c r="GAU344" s="29"/>
      <c r="GAV344" s="29"/>
      <c r="GAW344" s="29"/>
      <c r="GAX344" s="29"/>
      <c r="GAY344" s="29"/>
      <c r="GAZ344" s="29"/>
      <c r="GBA344" s="29"/>
      <c r="GBB344" s="29"/>
      <c r="GBC344" s="29"/>
      <c r="GBD344" s="29"/>
      <c r="GBE344" s="29"/>
      <c r="GBF344" s="29"/>
      <c r="GBG344" s="29"/>
      <c r="GBH344" s="29"/>
      <c r="GBI344" s="29"/>
      <c r="GBJ344" s="29"/>
      <c r="GBK344" s="29"/>
      <c r="GBL344" s="29"/>
      <c r="GBM344" s="29"/>
      <c r="GBN344" s="29"/>
      <c r="GBO344" s="29"/>
      <c r="GBP344" s="29"/>
      <c r="GBQ344" s="29"/>
      <c r="GBR344" s="29"/>
      <c r="GBS344" s="29"/>
      <c r="GBT344" s="29"/>
      <c r="GBU344" s="29"/>
      <c r="GBV344" s="29"/>
      <c r="GBW344" s="29"/>
      <c r="GBX344" s="29"/>
      <c r="GBY344" s="29"/>
      <c r="GBZ344" s="29"/>
      <c r="GCA344" s="29"/>
      <c r="GCB344" s="29"/>
      <c r="GCC344" s="29"/>
      <c r="GCD344" s="29"/>
      <c r="GCE344" s="29"/>
      <c r="GCF344" s="29"/>
      <c r="GCG344" s="29"/>
      <c r="GCH344" s="29"/>
      <c r="GCI344" s="29"/>
      <c r="GCJ344" s="29"/>
      <c r="GCK344" s="29"/>
      <c r="GCL344" s="29"/>
      <c r="GCM344" s="29"/>
      <c r="GCN344" s="29"/>
      <c r="GCO344" s="29"/>
      <c r="GCP344" s="29"/>
      <c r="GCQ344" s="29"/>
      <c r="GCR344" s="29"/>
      <c r="GCS344" s="29"/>
      <c r="GCT344" s="29"/>
      <c r="GCU344" s="29"/>
      <c r="GCV344" s="29"/>
      <c r="GCW344" s="29"/>
      <c r="GCX344" s="29"/>
      <c r="GCY344" s="29"/>
      <c r="GCZ344" s="29"/>
      <c r="GDA344" s="29"/>
      <c r="GDB344" s="29"/>
      <c r="GDC344" s="29"/>
      <c r="GDD344" s="29"/>
      <c r="GDE344" s="29"/>
      <c r="GDF344" s="29"/>
      <c r="GDG344" s="29"/>
      <c r="GDH344" s="29"/>
      <c r="GDI344" s="29"/>
      <c r="GDJ344" s="29"/>
      <c r="GDK344" s="29"/>
      <c r="GDL344" s="29"/>
      <c r="GDM344" s="29"/>
      <c r="GDN344" s="29"/>
      <c r="GDO344" s="29"/>
      <c r="GDP344" s="29"/>
      <c r="GDQ344" s="29"/>
      <c r="GDR344" s="29"/>
      <c r="GDS344" s="29"/>
      <c r="GDT344" s="29"/>
      <c r="GDU344" s="29"/>
      <c r="GDV344" s="29"/>
      <c r="GDW344" s="29"/>
      <c r="GDX344" s="29"/>
      <c r="GDY344" s="29"/>
      <c r="GDZ344" s="29"/>
      <c r="GEA344" s="29"/>
      <c r="GEB344" s="29"/>
      <c r="GEC344" s="29"/>
      <c r="GED344" s="29"/>
      <c r="GEE344" s="29"/>
      <c r="GEF344" s="29"/>
      <c r="GEG344" s="29"/>
      <c r="GEH344" s="29"/>
      <c r="GEI344" s="29"/>
      <c r="GEJ344" s="29"/>
      <c r="GEK344" s="29"/>
      <c r="GEL344" s="29"/>
      <c r="GEM344" s="29"/>
      <c r="GEN344" s="29"/>
      <c r="GEO344" s="29"/>
      <c r="GEP344" s="29"/>
      <c r="GEQ344" s="29"/>
      <c r="GER344" s="29"/>
      <c r="GES344" s="29"/>
      <c r="GET344" s="29"/>
      <c r="GEU344" s="29"/>
      <c r="GEV344" s="29"/>
      <c r="GEW344" s="29"/>
      <c r="GEX344" s="29"/>
      <c r="GEY344" s="29"/>
      <c r="GEZ344" s="29"/>
      <c r="GFA344" s="29"/>
      <c r="GFB344" s="29"/>
      <c r="GFC344" s="29"/>
      <c r="GFD344" s="29"/>
      <c r="GFE344" s="29"/>
      <c r="GFF344" s="29"/>
      <c r="GFG344" s="29"/>
      <c r="GFH344" s="29"/>
      <c r="GFI344" s="29"/>
      <c r="GFJ344" s="29"/>
      <c r="GFK344" s="29"/>
      <c r="GFL344" s="29"/>
      <c r="GFM344" s="29"/>
      <c r="GFN344" s="29"/>
      <c r="GFO344" s="29"/>
      <c r="GFP344" s="29"/>
      <c r="GFQ344" s="29"/>
      <c r="GFR344" s="29"/>
      <c r="GFS344" s="29"/>
      <c r="GFT344" s="29"/>
      <c r="GFU344" s="29"/>
      <c r="GFV344" s="29"/>
      <c r="GFW344" s="29"/>
      <c r="GFX344" s="29"/>
      <c r="GFY344" s="29"/>
      <c r="GFZ344" s="29"/>
      <c r="GGA344" s="29"/>
      <c r="GGB344" s="29"/>
      <c r="GGC344" s="29"/>
      <c r="GGD344" s="29"/>
      <c r="GGE344" s="29"/>
      <c r="GGF344" s="29"/>
      <c r="GGG344" s="29"/>
      <c r="GGH344" s="29"/>
      <c r="GGI344" s="29"/>
      <c r="GGJ344" s="29"/>
      <c r="GGK344" s="29"/>
      <c r="GGL344" s="29"/>
      <c r="GGM344" s="29"/>
      <c r="GGN344" s="29"/>
      <c r="GGO344" s="29"/>
      <c r="GGP344" s="29"/>
      <c r="GGQ344" s="29"/>
      <c r="GGR344" s="29"/>
      <c r="GGS344" s="29"/>
      <c r="GGT344" s="29"/>
      <c r="GGU344" s="29"/>
      <c r="GGV344" s="29"/>
      <c r="GGW344" s="29"/>
      <c r="GGX344" s="29"/>
      <c r="GGY344" s="29"/>
      <c r="GGZ344" s="29"/>
      <c r="GHA344" s="29"/>
      <c r="GHB344" s="29"/>
      <c r="GHC344" s="29"/>
      <c r="GHD344" s="29"/>
      <c r="GHE344" s="29"/>
      <c r="GHF344" s="29"/>
      <c r="GHG344" s="29"/>
      <c r="GHH344" s="29"/>
      <c r="GHI344" s="29"/>
      <c r="GHJ344" s="29"/>
      <c r="GHK344" s="29"/>
      <c r="GHL344" s="29"/>
      <c r="GHM344" s="29"/>
      <c r="GHN344" s="29"/>
      <c r="GHO344" s="29"/>
      <c r="GHP344" s="29"/>
      <c r="GHQ344" s="29"/>
      <c r="GHR344" s="29"/>
      <c r="GHS344" s="29"/>
      <c r="GHT344" s="29"/>
      <c r="GHU344" s="29"/>
      <c r="GHV344" s="29"/>
      <c r="GHW344" s="29"/>
      <c r="GHX344" s="29"/>
      <c r="GHY344" s="29"/>
      <c r="GHZ344" s="29"/>
      <c r="GIA344" s="29"/>
      <c r="GIB344" s="29"/>
      <c r="GIC344" s="29"/>
      <c r="GID344" s="29"/>
      <c r="GIE344" s="29"/>
      <c r="GIF344" s="29"/>
      <c r="GIG344" s="29"/>
      <c r="GIH344" s="29"/>
      <c r="GII344" s="29"/>
      <c r="GIJ344" s="29"/>
      <c r="GIK344" s="29"/>
      <c r="GIL344" s="29"/>
      <c r="GIM344" s="29"/>
      <c r="GIN344" s="29"/>
      <c r="GIO344" s="29"/>
      <c r="GIP344" s="29"/>
      <c r="GIQ344" s="29"/>
      <c r="GIR344" s="29"/>
      <c r="GIS344" s="29"/>
      <c r="GIT344" s="29"/>
      <c r="GIU344" s="29"/>
      <c r="GIV344" s="29"/>
      <c r="GIW344" s="29"/>
      <c r="GIX344" s="29"/>
      <c r="GIY344" s="29"/>
      <c r="GIZ344" s="29"/>
      <c r="GJA344" s="29"/>
      <c r="GJB344" s="29"/>
      <c r="GJC344" s="29"/>
      <c r="GJD344" s="29"/>
      <c r="GJE344" s="29"/>
      <c r="GJF344" s="29"/>
      <c r="GJG344" s="29"/>
      <c r="GJH344" s="29"/>
      <c r="GJI344" s="29"/>
      <c r="GJJ344" s="29"/>
      <c r="GJK344" s="29"/>
      <c r="GJL344" s="29"/>
      <c r="GJM344" s="29"/>
      <c r="GJN344" s="29"/>
      <c r="GJO344" s="29"/>
      <c r="GJP344" s="29"/>
      <c r="GJQ344" s="29"/>
      <c r="GJR344" s="29"/>
      <c r="GJS344" s="29"/>
      <c r="GJT344" s="29"/>
      <c r="GJU344" s="29"/>
      <c r="GJV344" s="29"/>
      <c r="GJW344" s="29"/>
      <c r="GJX344" s="29"/>
      <c r="GJY344" s="29"/>
      <c r="GJZ344" s="29"/>
      <c r="GKA344" s="29"/>
      <c r="GKB344" s="29"/>
      <c r="GKC344" s="29"/>
      <c r="GKD344" s="29"/>
      <c r="GKE344" s="29"/>
      <c r="GKF344" s="29"/>
      <c r="GKG344" s="29"/>
      <c r="GKH344" s="29"/>
      <c r="GKI344" s="29"/>
      <c r="GKJ344" s="29"/>
      <c r="GKK344" s="29"/>
      <c r="GKL344" s="29"/>
      <c r="GKM344" s="29"/>
      <c r="GKN344" s="29"/>
      <c r="GKO344" s="29"/>
      <c r="GKP344" s="29"/>
      <c r="GKQ344" s="29"/>
      <c r="GKR344" s="29"/>
      <c r="GKS344" s="29"/>
      <c r="GKT344" s="29"/>
      <c r="GKU344" s="29"/>
      <c r="GKV344" s="29"/>
      <c r="GKW344" s="29"/>
      <c r="GKX344" s="29"/>
      <c r="GKY344" s="29"/>
      <c r="GKZ344" s="29"/>
      <c r="GLA344" s="29"/>
      <c r="GLB344" s="29"/>
      <c r="GLC344" s="29"/>
      <c r="GLD344" s="29"/>
      <c r="GLE344" s="29"/>
      <c r="GLF344" s="29"/>
      <c r="GLG344" s="29"/>
      <c r="GLH344" s="29"/>
      <c r="GLI344" s="29"/>
      <c r="GLJ344" s="29"/>
      <c r="GLK344" s="29"/>
      <c r="GLL344" s="29"/>
      <c r="GLM344" s="29"/>
      <c r="GLN344" s="29"/>
      <c r="GLO344" s="29"/>
      <c r="GLP344" s="29"/>
      <c r="GLQ344" s="29"/>
      <c r="GLR344" s="29"/>
      <c r="GLS344" s="29"/>
      <c r="GLT344" s="29"/>
      <c r="GLU344" s="29"/>
      <c r="GLV344" s="29"/>
      <c r="GLW344" s="29"/>
      <c r="GLX344" s="29"/>
      <c r="GLY344" s="29"/>
      <c r="GLZ344" s="29"/>
      <c r="GMA344" s="29"/>
      <c r="GMB344" s="29"/>
      <c r="GMC344" s="29"/>
      <c r="GMD344" s="29"/>
      <c r="GME344" s="29"/>
      <c r="GMF344" s="29"/>
      <c r="GMG344" s="29"/>
      <c r="GMH344" s="29"/>
      <c r="GMI344" s="29"/>
      <c r="GMJ344" s="29"/>
      <c r="GMK344" s="29"/>
      <c r="GML344" s="29"/>
      <c r="GMM344" s="29"/>
      <c r="GMN344" s="29"/>
      <c r="GMO344" s="29"/>
      <c r="GMP344" s="29"/>
      <c r="GMQ344" s="29"/>
      <c r="GMR344" s="29"/>
      <c r="GMS344" s="29"/>
      <c r="GMT344" s="29"/>
      <c r="GMU344" s="29"/>
      <c r="GMV344" s="29"/>
      <c r="GMW344" s="29"/>
      <c r="GMX344" s="29"/>
      <c r="GMY344" s="29"/>
      <c r="GMZ344" s="29"/>
      <c r="GNA344" s="29"/>
      <c r="GNB344" s="29"/>
      <c r="GNC344" s="29"/>
      <c r="GND344" s="29"/>
      <c r="GNE344" s="29"/>
      <c r="GNF344" s="29"/>
      <c r="GNG344" s="29"/>
      <c r="GNH344" s="29"/>
      <c r="GNI344" s="29"/>
      <c r="GNJ344" s="29"/>
      <c r="GNK344" s="29"/>
      <c r="GNL344" s="29"/>
      <c r="GNM344" s="29"/>
      <c r="GNN344" s="29"/>
      <c r="GNO344" s="29"/>
      <c r="GNP344" s="29"/>
      <c r="GNQ344" s="29"/>
      <c r="GNR344" s="29"/>
      <c r="GNS344" s="29"/>
      <c r="GNT344" s="29"/>
      <c r="GNU344" s="29"/>
      <c r="GNV344" s="29"/>
      <c r="GNW344" s="29"/>
      <c r="GNX344" s="29"/>
      <c r="GNY344" s="29"/>
      <c r="GNZ344" s="29"/>
      <c r="GOA344" s="29"/>
      <c r="GOB344" s="29"/>
      <c r="GOC344" s="29"/>
      <c r="GOD344" s="29"/>
      <c r="GOE344" s="29"/>
      <c r="GOF344" s="29"/>
      <c r="GOG344" s="29"/>
      <c r="GOH344" s="29"/>
      <c r="GOI344" s="29"/>
      <c r="GOJ344" s="29"/>
      <c r="GOK344" s="29"/>
      <c r="GOL344" s="29"/>
      <c r="GOM344" s="29"/>
      <c r="GON344" s="29"/>
      <c r="GOO344" s="29"/>
      <c r="GOP344" s="29"/>
      <c r="GOQ344" s="29"/>
      <c r="GOR344" s="29"/>
      <c r="GOS344" s="29"/>
      <c r="GOT344" s="29"/>
      <c r="GOU344" s="29"/>
      <c r="GOV344" s="29"/>
      <c r="GOW344" s="29"/>
      <c r="GOX344" s="29"/>
      <c r="GOY344" s="29"/>
      <c r="GOZ344" s="29"/>
      <c r="GPA344" s="29"/>
      <c r="GPB344" s="29"/>
      <c r="GPC344" s="29"/>
      <c r="GPD344" s="29"/>
      <c r="GPE344" s="29"/>
      <c r="GPF344" s="29"/>
      <c r="GPG344" s="29"/>
      <c r="GPH344" s="29"/>
      <c r="GPI344" s="29"/>
      <c r="GPJ344" s="29"/>
      <c r="GPK344" s="29"/>
      <c r="GPL344" s="29"/>
      <c r="GPM344" s="29"/>
      <c r="GPN344" s="29"/>
      <c r="GPO344" s="29"/>
      <c r="GPP344" s="29"/>
      <c r="GPQ344" s="29"/>
      <c r="GPR344" s="29"/>
      <c r="GPS344" s="29"/>
      <c r="GPT344" s="29"/>
      <c r="GPU344" s="29"/>
      <c r="GPV344" s="29"/>
      <c r="GPW344" s="29"/>
      <c r="GPX344" s="29"/>
      <c r="GPY344" s="29"/>
      <c r="GPZ344" s="29"/>
      <c r="GQA344" s="29"/>
      <c r="GQB344" s="29"/>
      <c r="GQC344" s="29"/>
      <c r="GQD344" s="29"/>
      <c r="GQE344" s="29"/>
      <c r="GQF344" s="29"/>
      <c r="GQG344" s="29"/>
      <c r="GQH344" s="29"/>
      <c r="GQI344" s="29"/>
      <c r="GQJ344" s="29"/>
      <c r="GQK344" s="29"/>
      <c r="GQL344" s="29"/>
      <c r="GQM344" s="29"/>
      <c r="GQN344" s="29"/>
      <c r="GQO344" s="29"/>
      <c r="GQP344" s="29"/>
      <c r="GQQ344" s="29"/>
      <c r="GQR344" s="29"/>
      <c r="GQS344" s="29"/>
      <c r="GQT344" s="29"/>
      <c r="GQU344" s="29"/>
      <c r="GQV344" s="29"/>
      <c r="GQW344" s="29"/>
      <c r="GQX344" s="29"/>
      <c r="GQY344" s="29"/>
      <c r="GQZ344" s="29"/>
      <c r="GRA344" s="29"/>
      <c r="GRB344" s="29"/>
      <c r="GRC344" s="29"/>
      <c r="GRD344" s="29"/>
      <c r="GRE344" s="29"/>
      <c r="GRF344" s="29"/>
      <c r="GRG344" s="29"/>
      <c r="GRH344" s="29"/>
      <c r="GRI344" s="29"/>
      <c r="GRJ344" s="29"/>
      <c r="GRK344" s="29"/>
      <c r="GRL344" s="29"/>
      <c r="GRM344" s="29"/>
      <c r="GRN344" s="29"/>
      <c r="GRO344" s="29"/>
      <c r="GRP344" s="29"/>
      <c r="GRQ344" s="29"/>
      <c r="GRR344" s="29"/>
      <c r="GRS344" s="29"/>
      <c r="GRT344" s="29"/>
      <c r="GRU344" s="29"/>
      <c r="GRV344" s="29"/>
      <c r="GRW344" s="29"/>
      <c r="GRX344" s="29"/>
      <c r="GRY344" s="29"/>
      <c r="GRZ344" s="29"/>
      <c r="GSA344" s="29"/>
      <c r="GSB344" s="29"/>
      <c r="GSC344" s="29"/>
      <c r="GSD344" s="29"/>
      <c r="GSE344" s="29"/>
      <c r="GSF344" s="29"/>
      <c r="GSG344" s="29"/>
      <c r="GSH344" s="29"/>
      <c r="GSI344" s="29"/>
      <c r="GSJ344" s="29"/>
      <c r="GSK344" s="29"/>
      <c r="GSL344" s="29"/>
      <c r="GSM344" s="29"/>
      <c r="GSN344" s="29"/>
      <c r="GSO344" s="29"/>
      <c r="GSP344" s="29"/>
      <c r="GSQ344" s="29"/>
      <c r="GSR344" s="29"/>
      <c r="GSS344" s="29"/>
      <c r="GST344" s="29"/>
      <c r="GSU344" s="29"/>
      <c r="GSV344" s="29"/>
      <c r="GSW344" s="29"/>
      <c r="GSX344" s="29"/>
      <c r="GSY344" s="29"/>
      <c r="GSZ344" s="29"/>
      <c r="GTA344" s="29"/>
      <c r="GTB344" s="29"/>
      <c r="GTC344" s="29"/>
      <c r="GTD344" s="29"/>
      <c r="GTE344" s="29"/>
      <c r="GTF344" s="29"/>
      <c r="GTG344" s="29"/>
      <c r="GTH344" s="29"/>
      <c r="GTI344" s="29"/>
      <c r="GTJ344" s="29"/>
      <c r="GTK344" s="29"/>
      <c r="GTL344" s="29"/>
      <c r="GTM344" s="29"/>
      <c r="GTN344" s="29"/>
      <c r="GTO344" s="29"/>
      <c r="GTP344" s="29"/>
      <c r="GTQ344" s="29"/>
      <c r="GTR344" s="29"/>
      <c r="GTS344" s="29"/>
      <c r="GTT344" s="29"/>
      <c r="GTU344" s="29"/>
      <c r="GTV344" s="29"/>
      <c r="GTW344" s="29"/>
      <c r="GTX344" s="29"/>
      <c r="GTY344" s="29"/>
      <c r="GTZ344" s="29"/>
      <c r="GUA344" s="29"/>
      <c r="GUB344" s="29"/>
      <c r="GUC344" s="29"/>
      <c r="GUD344" s="29"/>
      <c r="GUE344" s="29"/>
      <c r="GUF344" s="29"/>
      <c r="GUG344" s="29"/>
      <c r="GUH344" s="29"/>
      <c r="GUI344" s="29"/>
      <c r="GUJ344" s="29"/>
      <c r="GUK344" s="29"/>
      <c r="GUL344" s="29"/>
      <c r="GUM344" s="29"/>
      <c r="GUN344" s="29"/>
      <c r="GUO344" s="29"/>
      <c r="GUP344" s="29"/>
      <c r="GUQ344" s="29"/>
      <c r="GUR344" s="29"/>
      <c r="GUS344" s="29"/>
      <c r="GUT344" s="29"/>
      <c r="GUU344" s="29"/>
      <c r="GUV344" s="29"/>
      <c r="GUW344" s="29"/>
      <c r="GUX344" s="29"/>
      <c r="GUY344" s="29"/>
      <c r="GUZ344" s="29"/>
      <c r="GVA344" s="29"/>
      <c r="GVB344" s="29"/>
      <c r="GVC344" s="29"/>
      <c r="GVD344" s="29"/>
      <c r="GVE344" s="29"/>
      <c r="GVF344" s="29"/>
      <c r="GVG344" s="29"/>
      <c r="GVH344" s="29"/>
      <c r="GVI344" s="29"/>
      <c r="GVJ344" s="29"/>
      <c r="GVK344" s="29"/>
      <c r="GVL344" s="29"/>
      <c r="GVM344" s="29"/>
      <c r="GVN344" s="29"/>
      <c r="GVO344" s="29"/>
      <c r="GVP344" s="29"/>
      <c r="GVQ344" s="29"/>
      <c r="GVR344" s="29"/>
      <c r="GVS344" s="29"/>
      <c r="GVT344" s="29"/>
      <c r="GVU344" s="29"/>
      <c r="GVV344" s="29"/>
      <c r="GVW344" s="29"/>
      <c r="GVX344" s="29"/>
      <c r="GVY344" s="29"/>
      <c r="GVZ344" s="29"/>
      <c r="GWA344" s="29"/>
      <c r="GWB344" s="29"/>
      <c r="GWC344" s="29"/>
      <c r="GWD344" s="29"/>
      <c r="GWE344" s="29"/>
      <c r="GWF344" s="29"/>
      <c r="GWG344" s="29"/>
      <c r="GWH344" s="29"/>
      <c r="GWI344" s="29"/>
      <c r="GWJ344" s="29"/>
      <c r="GWK344" s="29"/>
      <c r="GWL344" s="29"/>
      <c r="GWM344" s="29"/>
      <c r="GWN344" s="29"/>
      <c r="GWO344" s="29"/>
      <c r="GWP344" s="29"/>
      <c r="GWQ344" s="29"/>
      <c r="GWR344" s="29"/>
      <c r="GWS344" s="29"/>
      <c r="GWT344" s="29"/>
      <c r="GWU344" s="29"/>
      <c r="GWV344" s="29"/>
      <c r="GWW344" s="29"/>
      <c r="GWX344" s="29"/>
      <c r="GWY344" s="29"/>
      <c r="GWZ344" s="29"/>
      <c r="GXA344" s="29"/>
      <c r="GXB344" s="29"/>
      <c r="GXC344" s="29"/>
      <c r="GXD344" s="29"/>
      <c r="GXE344" s="29"/>
      <c r="GXF344" s="29"/>
      <c r="GXG344" s="29"/>
      <c r="GXH344" s="29"/>
      <c r="GXI344" s="29"/>
      <c r="GXJ344" s="29"/>
      <c r="GXK344" s="29"/>
      <c r="GXL344" s="29"/>
      <c r="GXM344" s="29"/>
      <c r="GXN344" s="29"/>
      <c r="GXO344" s="29"/>
      <c r="GXP344" s="29"/>
      <c r="GXQ344" s="29"/>
      <c r="GXR344" s="29"/>
      <c r="GXS344" s="29"/>
      <c r="GXT344" s="29"/>
      <c r="GXU344" s="29"/>
      <c r="GXV344" s="29"/>
      <c r="GXW344" s="29"/>
      <c r="GXX344" s="29"/>
      <c r="GXY344" s="29"/>
      <c r="GXZ344" s="29"/>
      <c r="GYA344" s="29"/>
      <c r="GYB344" s="29"/>
      <c r="GYC344" s="29"/>
      <c r="GYD344" s="29"/>
      <c r="GYE344" s="29"/>
      <c r="GYF344" s="29"/>
      <c r="GYG344" s="29"/>
      <c r="GYH344" s="29"/>
      <c r="GYI344" s="29"/>
      <c r="GYJ344" s="29"/>
      <c r="GYK344" s="29"/>
      <c r="GYL344" s="29"/>
      <c r="GYM344" s="29"/>
      <c r="GYN344" s="29"/>
      <c r="GYO344" s="29"/>
      <c r="GYP344" s="29"/>
      <c r="GYQ344" s="29"/>
      <c r="GYR344" s="29"/>
      <c r="GYS344" s="29"/>
      <c r="GYT344" s="29"/>
      <c r="GYU344" s="29"/>
      <c r="GYV344" s="29"/>
      <c r="GYW344" s="29"/>
      <c r="GYX344" s="29"/>
      <c r="GYY344" s="29"/>
      <c r="GYZ344" s="29"/>
      <c r="GZA344" s="29"/>
      <c r="GZB344" s="29"/>
      <c r="GZC344" s="29"/>
      <c r="GZD344" s="29"/>
      <c r="GZE344" s="29"/>
      <c r="GZF344" s="29"/>
      <c r="GZG344" s="29"/>
      <c r="GZH344" s="29"/>
      <c r="GZI344" s="29"/>
      <c r="GZJ344" s="29"/>
      <c r="GZK344" s="29"/>
      <c r="GZL344" s="29"/>
      <c r="GZM344" s="29"/>
      <c r="GZN344" s="29"/>
      <c r="GZO344" s="29"/>
      <c r="GZP344" s="29"/>
      <c r="GZQ344" s="29"/>
      <c r="GZR344" s="29"/>
      <c r="GZS344" s="29"/>
      <c r="GZT344" s="29"/>
      <c r="GZU344" s="29"/>
      <c r="GZV344" s="29"/>
      <c r="GZW344" s="29"/>
      <c r="GZX344" s="29"/>
      <c r="GZY344" s="29"/>
      <c r="GZZ344" s="29"/>
      <c r="HAA344" s="29"/>
      <c r="HAB344" s="29"/>
      <c r="HAC344" s="29"/>
      <c r="HAD344" s="29"/>
      <c r="HAE344" s="29"/>
      <c r="HAF344" s="29"/>
      <c r="HAG344" s="29"/>
      <c r="HAH344" s="29"/>
      <c r="HAI344" s="29"/>
      <c r="HAJ344" s="29"/>
      <c r="HAK344" s="29"/>
      <c r="HAL344" s="29"/>
      <c r="HAM344" s="29"/>
      <c r="HAN344" s="29"/>
      <c r="HAO344" s="29"/>
      <c r="HAP344" s="29"/>
      <c r="HAQ344" s="29"/>
      <c r="HAR344" s="29"/>
      <c r="HAS344" s="29"/>
      <c r="HAT344" s="29"/>
      <c r="HAU344" s="29"/>
      <c r="HAV344" s="29"/>
      <c r="HAW344" s="29"/>
      <c r="HAX344" s="29"/>
      <c r="HAY344" s="29"/>
      <c r="HAZ344" s="29"/>
      <c r="HBA344" s="29"/>
      <c r="HBB344" s="29"/>
      <c r="HBC344" s="29"/>
      <c r="HBD344" s="29"/>
      <c r="HBE344" s="29"/>
      <c r="HBF344" s="29"/>
      <c r="HBG344" s="29"/>
      <c r="HBH344" s="29"/>
      <c r="HBI344" s="29"/>
      <c r="HBJ344" s="29"/>
      <c r="HBK344" s="29"/>
      <c r="HBL344" s="29"/>
      <c r="HBM344" s="29"/>
      <c r="HBN344" s="29"/>
      <c r="HBO344" s="29"/>
      <c r="HBP344" s="29"/>
      <c r="HBQ344" s="29"/>
      <c r="HBR344" s="29"/>
      <c r="HBS344" s="29"/>
      <c r="HBT344" s="29"/>
      <c r="HBU344" s="29"/>
      <c r="HBV344" s="29"/>
      <c r="HBW344" s="29"/>
      <c r="HBX344" s="29"/>
      <c r="HBY344" s="29"/>
      <c r="HBZ344" s="29"/>
      <c r="HCA344" s="29"/>
      <c r="HCB344" s="29"/>
      <c r="HCC344" s="29"/>
      <c r="HCD344" s="29"/>
      <c r="HCE344" s="29"/>
      <c r="HCF344" s="29"/>
      <c r="HCG344" s="29"/>
      <c r="HCH344" s="29"/>
      <c r="HCI344" s="29"/>
      <c r="HCJ344" s="29"/>
      <c r="HCK344" s="29"/>
      <c r="HCL344" s="29"/>
      <c r="HCM344" s="29"/>
      <c r="HCN344" s="29"/>
      <c r="HCO344" s="29"/>
      <c r="HCP344" s="29"/>
      <c r="HCQ344" s="29"/>
      <c r="HCR344" s="29"/>
      <c r="HCS344" s="29"/>
      <c r="HCT344" s="29"/>
      <c r="HCU344" s="29"/>
      <c r="HCV344" s="29"/>
      <c r="HCW344" s="29"/>
      <c r="HCX344" s="29"/>
      <c r="HCY344" s="29"/>
      <c r="HCZ344" s="29"/>
      <c r="HDA344" s="29"/>
      <c r="HDB344" s="29"/>
      <c r="HDC344" s="29"/>
      <c r="HDD344" s="29"/>
      <c r="HDE344" s="29"/>
      <c r="HDF344" s="29"/>
      <c r="HDG344" s="29"/>
      <c r="HDH344" s="29"/>
      <c r="HDI344" s="29"/>
      <c r="HDJ344" s="29"/>
      <c r="HDK344" s="29"/>
      <c r="HDL344" s="29"/>
      <c r="HDM344" s="29"/>
      <c r="HDN344" s="29"/>
      <c r="HDO344" s="29"/>
      <c r="HDP344" s="29"/>
      <c r="HDQ344" s="29"/>
      <c r="HDR344" s="29"/>
      <c r="HDS344" s="29"/>
      <c r="HDT344" s="29"/>
      <c r="HDU344" s="29"/>
      <c r="HDV344" s="29"/>
      <c r="HDW344" s="29"/>
      <c r="HDX344" s="29"/>
      <c r="HDY344" s="29"/>
      <c r="HDZ344" s="29"/>
      <c r="HEA344" s="29"/>
      <c r="HEB344" s="29"/>
      <c r="HEC344" s="29"/>
      <c r="HED344" s="29"/>
      <c r="HEE344" s="29"/>
      <c r="HEF344" s="29"/>
      <c r="HEG344" s="29"/>
      <c r="HEH344" s="29"/>
      <c r="HEI344" s="29"/>
      <c r="HEJ344" s="29"/>
      <c r="HEK344" s="29"/>
      <c r="HEL344" s="29"/>
      <c r="HEM344" s="29"/>
      <c r="HEN344" s="29"/>
      <c r="HEO344" s="29"/>
      <c r="HEP344" s="29"/>
      <c r="HEQ344" s="29"/>
      <c r="HER344" s="29"/>
      <c r="HES344" s="29"/>
      <c r="HET344" s="29"/>
      <c r="HEU344" s="29"/>
      <c r="HEV344" s="29"/>
      <c r="HEW344" s="29"/>
      <c r="HEX344" s="29"/>
      <c r="HEY344" s="29"/>
      <c r="HEZ344" s="29"/>
      <c r="HFA344" s="29"/>
      <c r="HFB344" s="29"/>
      <c r="HFC344" s="29"/>
      <c r="HFD344" s="29"/>
      <c r="HFE344" s="29"/>
      <c r="HFF344" s="29"/>
      <c r="HFG344" s="29"/>
      <c r="HFH344" s="29"/>
      <c r="HFI344" s="29"/>
      <c r="HFJ344" s="29"/>
      <c r="HFK344" s="29"/>
      <c r="HFL344" s="29"/>
      <c r="HFM344" s="29"/>
      <c r="HFN344" s="29"/>
      <c r="HFO344" s="29"/>
      <c r="HFP344" s="29"/>
      <c r="HFQ344" s="29"/>
      <c r="HFR344" s="29"/>
      <c r="HFS344" s="29"/>
      <c r="HFT344" s="29"/>
      <c r="HFU344" s="29"/>
      <c r="HFV344" s="29"/>
      <c r="HFW344" s="29"/>
      <c r="HFX344" s="29"/>
      <c r="HFY344" s="29"/>
      <c r="HFZ344" s="29"/>
      <c r="HGA344" s="29"/>
      <c r="HGB344" s="29"/>
      <c r="HGC344" s="29"/>
      <c r="HGD344" s="29"/>
      <c r="HGE344" s="29"/>
      <c r="HGF344" s="29"/>
      <c r="HGG344" s="29"/>
      <c r="HGH344" s="29"/>
      <c r="HGI344" s="29"/>
      <c r="HGJ344" s="29"/>
      <c r="HGK344" s="29"/>
      <c r="HGL344" s="29"/>
      <c r="HGM344" s="29"/>
      <c r="HGN344" s="29"/>
      <c r="HGO344" s="29"/>
      <c r="HGP344" s="29"/>
      <c r="HGQ344" s="29"/>
      <c r="HGR344" s="29"/>
      <c r="HGS344" s="29"/>
      <c r="HGT344" s="29"/>
      <c r="HGU344" s="29"/>
      <c r="HGV344" s="29"/>
      <c r="HGW344" s="29"/>
      <c r="HGX344" s="29"/>
      <c r="HGY344" s="29"/>
      <c r="HGZ344" s="29"/>
      <c r="HHA344" s="29"/>
      <c r="HHB344" s="29"/>
      <c r="HHC344" s="29"/>
      <c r="HHD344" s="29"/>
      <c r="HHE344" s="29"/>
      <c r="HHF344" s="29"/>
      <c r="HHG344" s="29"/>
      <c r="HHH344" s="29"/>
      <c r="HHI344" s="29"/>
      <c r="HHJ344" s="29"/>
      <c r="HHK344" s="29"/>
      <c r="HHL344" s="29"/>
      <c r="HHM344" s="29"/>
      <c r="HHN344" s="29"/>
      <c r="HHO344" s="29"/>
      <c r="HHP344" s="29"/>
      <c r="HHQ344" s="29"/>
      <c r="HHR344" s="29"/>
      <c r="HHS344" s="29"/>
      <c r="HHT344" s="29"/>
      <c r="HHU344" s="29"/>
      <c r="HHV344" s="29"/>
      <c r="HHW344" s="29"/>
      <c r="HHX344" s="29"/>
      <c r="HHY344" s="29"/>
      <c r="HHZ344" s="29"/>
      <c r="HIA344" s="29"/>
      <c r="HIB344" s="29"/>
      <c r="HIC344" s="29"/>
      <c r="HID344" s="29"/>
      <c r="HIE344" s="29"/>
      <c r="HIF344" s="29"/>
      <c r="HIG344" s="29"/>
      <c r="HIH344" s="29"/>
      <c r="HII344" s="29"/>
      <c r="HIJ344" s="29"/>
      <c r="HIK344" s="29"/>
      <c r="HIL344" s="29"/>
      <c r="HIM344" s="29"/>
      <c r="HIN344" s="29"/>
      <c r="HIO344" s="29"/>
      <c r="HIP344" s="29"/>
      <c r="HIQ344" s="29"/>
      <c r="HIR344" s="29"/>
      <c r="HIS344" s="29"/>
      <c r="HIT344" s="29"/>
      <c r="HIU344" s="29"/>
      <c r="HIV344" s="29"/>
      <c r="HIW344" s="29"/>
      <c r="HIX344" s="29"/>
      <c r="HIY344" s="29"/>
      <c r="HIZ344" s="29"/>
      <c r="HJA344" s="29"/>
      <c r="HJB344" s="29"/>
      <c r="HJC344" s="29"/>
      <c r="HJD344" s="29"/>
      <c r="HJE344" s="29"/>
      <c r="HJF344" s="29"/>
      <c r="HJG344" s="29"/>
      <c r="HJH344" s="29"/>
      <c r="HJI344" s="29"/>
      <c r="HJJ344" s="29"/>
      <c r="HJK344" s="29"/>
      <c r="HJL344" s="29"/>
      <c r="HJM344" s="29"/>
      <c r="HJN344" s="29"/>
      <c r="HJO344" s="29"/>
      <c r="HJP344" s="29"/>
      <c r="HJQ344" s="29"/>
      <c r="HJR344" s="29"/>
      <c r="HJS344" s="29"/>
      <c r="HJT344" s="29"/>
      <c r="HJU344" s="29"/>
      <c r="HJV344" s="29"/>
      <c r="HJW344" s="29"/>
      <c r="HJX344" s="29"/>
      <c r="HJY344" s="29"/>
      <c r="HJZ344" s="29"/>
      <c r="HKA344" s="29"/>
      <c r="HKB344" s="29"/>
      <c r="HKC344" s="29"/>
      <c r="HKD344" s="29"/>
      <c r="HKE344" s="29"/>
      <c r="HKF344" s="29"/>
      <c r="HKG344" s="29"/>
      <c r="HKH344" s="29"/>
      <c r="HKI344" s="29"/>
      <c r="HKJ344" s="29"/>
      <c r="HKK344" s="29"/>
      <c r="HKL344" s="29"/>
      <c r="HKM344" s="29"/>
      <c r="HKN344" s="29"/>
      <c r="HKO344" s="29"/>
      <c r="HKP344" s="29"/>
      <c r="HKQ344" s="29"/>
      <c r="HKR344" s="29"/>
      <c r="HKS344" s="29"/>
      <c r="HKT344" s="29"/>
      <c r="HKU344" s="29"/>
      <c r="HKV344" s="29"/>
      <c r="HKW344" s="29"/>
      <c r="HKX344" s="29"/>
      <c r="HKY344" s="29"/>
      <c r="HKZ344" s="29"/>
      <c r="HLA344" s="29"/>
      <c r="HLB344" s="29"/>
      <c r="HLC344" s="29"/>
      <c r="HLD344" s="29"/>
      <c r="HLE344" s="29"/>
      <c r="HLF344" s="29"/>
      <c r="HLG344" s="29"/>
      <c r="HLH344" s="29"/>
      <c r="HLI344" s="29"/>
      <c r="HLJ344" s="29"/>
      <c r="HLK344" s="29"/>
      <c r="HLL344" s="29"/>
      <c r="HLM344" s="29"/>
      <c r="HLN344" s="29"/>
      <c r="HLO344" s="29"/>
      <c r="HLP344" s="29"/>
      <c r="HLQ344" s="29"/>
      <c r="HLR344" s="29"/>
      <c r="HLS344" s="29"/>
      <c r="HLT344" s="29"/>
      <c r="HLU344" s="29"/>
      <c r="HLV344" s="29"/>
      <c r="HLW344" s="29"/>
      <c r="HLX344" s="29"/>
      <c r="HLY344" s="29"/>
      <c r="HLZ344" s="29"/>
      <c r="HMA344" s="29"/>
      <c r="HMB344" s="29"/>
      <c r="HMC344" s="29"/>
      <c r="HMD344" s="29"/>
      <c r="HME344" s="29"/>
      <c r="HMF344" s="29"/>
      <c r="HMG344" s="29"/>
      <c r="HMH344" s="29"/>
      <c r="HMI344" s="29"/>
      <c r="HMJ344" s="29"/>
      <c r="HMK344" s="29"/>
      <c r="HML344" s="29"/>
      <c r="HMM344" s="29"/>
      <c r="HMN344" s="29"/>
      <c r="HMO344" s="29"/>
      <c r="HMP344" s="29"/>
      <c r="HMQ344" s="29"/>
      <c r="HMR344" s="29"/>
      <c r="HMS344" s="29"/>
      <c r="HMT344" s="29"/>
      <c r="HMU344" s="29"/>
      <c r="HMV344" s="29"/>
      <c r="HMW344" s="29"/>
      <c r="HMX344" s="29"/>
      <c r="HMY344" s="29"/>
      <c r="HMZ344" s="29"/>
      <c r="HNA344" s="29"/>
      <c r="HNB344" s="29"/>
      <c r="HNC344" s="29"/>
      <c r="HND344" s="29"/>
      <c r="HNE344" s="29"/>
      <c r="HNF344" s="29"/>
      <c r="HNG344" s="29"/>
      <c r="HNH344" s="29"/>
      <c r="HNI344" s="29"/>
      <c r="HNJ344" s="29"/>
      <c r="HNK344" s="29"/>
      <c r="HNL344" s="29"/>
      <c r="HNM344" s="29"/>
      <c r="HNN344" s="29"/>
      <c r="HNO344" s="29"/>
      <c r="HNP344" s="29"/>
      <c r="HNQ344" s="29"/>
      <c r="HNR344" s="29"/>
      <c r="HNS344" s="29"/>
      <c r="HNT344" s="29"/>
      <c r="HNU344" s="29"/>
      <c r="HNV344" s="29"/>
      <c r="HNW344" s="29"/>
      <c r="HNX344" s="29"/>
      <c r="HNY344" s="29"/>
      <c r="HNZ344" s="29"/>
      <c r="HOA344" s="29"/>
      <c r="HOB344" s="29"/>
      <c r="HOC344" s="29"/>
      <c r="HOD344" s="29"/>
      <c r="HOE344" s="29"/>
      <c r="HOF344" s="29"/>
      <c r="HOG344" s="29"/>
      <c r="HOH344" s="29"/>
      <c r="HOI344" s="29"/>
      <c r="HOJ344" s="29"/>
      <c r="HOK344" s="29"/>
      <c r="HOL344" s="29"/>
      <c r="HOM344" s="29"/>
      <c r="HON344" s="29"/>
      <c r="HOO344" s="29"/>
      <c r="HOP344" s="29"/>
      <c r="HOQ344" s="29"/>
      <c r="HOR344" s="29"/>
      <c r="HOS344" s="29"/>
      <c r="HOT344" s="29"/>
      <c r="HOU344" s="29"/>
      <c r="HOV344" s="29"/>
      <c r="HOW344" s="29"/>
      <c r="HOX344" s="29"/>
      <c r="HOY344" s="29"/>
      <c r="HOZ344" s="29"/>
      <c r="HPA344" s="29"/>
      <c r="HPB344" s="29"/>
      <c r="HPC344" s="29"/>
      <c r="HPD344" s="29"/>
      <c r="HPE344" s="29"/>
      <c r="HPF344" s="29"/>
      <c r="HPG344" s="29"/>
      <c r="HPH344" s="29"/>
      <c r="HPI344" s="29"/>
      <c r="HPJ344" s="29"/>
      <c r="HPK344" s="29"/>
      <c r="HPL344" s="29"/>
      <c r="HPM344" s="29"/>
      <c r="HPN344" s="29"/>
      <c r="HPO344" s="29"/>
      <c r="HPP344" s="29"/>
      <c r="HPQ344" s="29"/>
      <c r="HPR344" s="29"/>
      <c r="HPS344" s="29"/>
      <c r="HPT344" s="29"/>
      <c r="HPU344" s="29"/>
      <c r="HPV344" s="29"/>
      <c r="HPW344" s="29"/>
      <c r="HPX344" s="29"/>
      <c r="HPY344" s="29"/>
      <c r="HPZ344" s="29"/>
      <c r="HQA344" s="29"/>
      <c r="HQB344" s="29"/>
      <c r="HQC344" s="29"/>
      <c r="HQD344" s="29"/>
      <c r="HQE344" s="29"/>
      <c r="HQF344" s="29"/>
      <c r="HQG344" s="29"/>
      <c r="HQH344" s="29"/>
      <c r="HQI344" s="29"/>
      <c r="HQJ344" s="29"/>
      <c r="HQK344" s="29"/>
      <c r="HQL344" s="29"/>
      <c r="HQM344" s="29"/>
      <c r="HQN344" s="29"/>
      <c r="HQO344" s="29"/>
      <c r="HQP344" s="29"/>
      <c r="HQQ344" s="29"/>
      <c r="HQR344" s="29"/>
      <c r="HQS344" s="29"/>
      <c r="HQT344" s="29"/>
      <c r="HQU344" s="29"/>
      <c r="HQV344" s="29"/>
      <c r="HQW344" s="29"/>
      <c r="HQX344" s="29"/>
      <c r="HQY344" s="29"/>
      <c r="HQZ344" s="29"/>
      <c r="HRA344" s="29"/>
      <c r="HRB344" s="29"/>
      <c r="HRC344" s="29"/>
      <c r="HRD344" s="29"/>
      <c r="HRE344" s="29"/>
      <c r="HRF344" s="29"/>
      <c r="HRG344" s="29"/>
      <c r="HRH344" s="29"/>
      <c r="HRI344" s="29"/>
      <c r="HRJ344" s="29"/>
      <c r="HRK344" s="29"/>
      <c r="HRL344" s="29"/>
      <c r="HRM344" s="29"/>
      <c r="HRN344" s="29"/>
      <c r="HRO344" s="29"/>
      <c r="HRP344" s="29"/>
      <c r="HRQ344" s="29"/>
      <c r="HRR344" s="29"/>
      <c r="HRS344" s="29"/>
      <c r="HRT344" s="29"/>
      <c r="HRU344" s="29"/>
      <c r="HRV344" s="29"/>
      <c r="HRW344" s="29"/>
      <c r="HRX344" s="29"/>
      <c r="HRY344" s="29"/>
      <c r="HRZ344" s="29"/>
      <c r="HSA344" s="29"/>
      <c r="HSB344" s="29"/>
      <c r="HSC344" s="29"/>
      <c r="HSD344" s="29"/>
      <c r="HSE344" s="29"/>
      <c r="HSF344" s="29"/>
      <c r="HSG344" s="29"/>
      <c r="HSH344" s="29"/>
      <c r="HSI344" s="29"/>
      <c r="HSJ344" s="29"/>
      <c r="HSK344" s="29"/>
      <c r="HSL344" s="29"/>
      <c r="HSM344" s="29"/>
      <c r="HSN344" s="29"/>
      <c r="HSO344" s="29"/>
      <c r="HSP344" s="29"/>
      <c r="HSQ344" s="29"/>
      <c r="HSR344" s="29"/>
      <c r="HSS344" s="29"/>
      <c r="HST344" s="29"/>
      <c r="HSU344" s="29"/>
      <c r="HSV344" s="29"/>
      <c r="HSW344" s="29"/>
      <c r="HSX344" s="29"/>
      <c r="HSY344" s="29"/>
      <c r="HSZ344" s="29"/>
      <c r="HTA344" s="29"/>
      <c r="HTB344" s="29"/>
      <c r="HTC344" s="29"/>
      <c r="HTD344" s="29"/>
      <c r="HTE344" s="29"/>
      <c r="HTF344" s="29"/>
      <c r="HTG344" s="29"/>
      <c r="HTH344" s="29"/>
      <c r="HTI344" s="29"/>
      <c r="HTJ344" s="29"/>
      <c r="HTK344" s="29"/>
      <c r="HTL344" s="29"/>
      <c r="HTM344" s="29"/>
      <c r="HTN344" s="29"/>
      <c r="HTO344" s="29"/>
      <c r="HTP344" s="29"/>
      <c r="HTQ344" s="29"/>
      <c r="HTR344" s="29"/>
      <c r="HTS344" s="29"/>
      <c r="HTT344" s="29"/>
      <c r="HTU344" s="29"/>
      <c r="HTV344" s="29"/>
      <c r="HTW344" s="29"/>
      <c r="HTX344" s="29"/>
      <c r="HTY344" s="29"/>
      <c r="HTZ344" s="29"/>
      <c r="HUA344" s="29"/>
      <c r="HUB344" s="29"/>
      <c r="HUC344" s="29"/>
      <c r="HUD344" s="29"/>
      <c r="HUE344" s="29"/>
      <c r="HUF344" s="29"/>
      <c r="HUG344" s="29"/>
      <c r="HUH344" s="29"/>
      <c r="HUI344" s="29"/>
      <c r="HUJ344" s="29"/>
      <c r="HUK344" s="29"/>
      <c r="HUL344" s="29"/>
      <c r="HUM344" s="29"/>
      <c r="HUN344" s="29"/>
      <c r="HUO344" s="29"/>
      <c r="HUP344" s="29"/>
      <c r="HUQ344" s="29"/>
      <c r="HUR344" s="29"/>
      <c r="HUS344" s="29"/>
      <c r="HUT344" s="29"/>
      <c r="HUU344" s="29"/>
      <c r="HUV344" s="29"/>
      <c r="HUW344" s="29"/>
      <c r="HUX344" s="29"/>
      <c r="HUY344" s="29"/>
      <c r="HUZ344" s="29"/>
      <c r="HVA344" s="29"/>
      <c r="HVB344" s="29"/>
      <c r="HVC344" s="29"/>
      <c r="HVD344" s="29"/>
      <c r="HVE344" s="29"/>
      <c r="HVF344" s="29"/>
      <c r="HVG344" s="29"/>
      <c r="HVH344" s="29"/>
      <c r="HVI344" s="29"/>
      <c r="HVJ344" s="29"/>
      <c r="HVK344" s="29"/>
      <c r="HVL344" s="29"/>
      <c r="HVM344" s="29"/>
      <c r="HVN344" s="29"/>
      <c r="HVO344" s="29"/>
      <c r="HVP344" s="29"/>
      <c r="HVQ344" s="29"/>
      <c r="HVR344" s="29"/>
      <c r="HVS344" s="29"/>
      <c r="HVT344" s="29"/>
      <c r="HVU344" s="29"/>
      <c r="HVV344" s="29"/>
      <c r="HVW344" s="29"/>
      <c r="HVX344" s="29"/>
      <c r="HVY344" s="29"/>
      <c r="HVZ344" s="29"/>
      <c r="HWA344" s="29"/>
      <c r="HWB344" s="29"/>
      <c r="HWC344" s="29"/>
      <c r="HWD344" s="29"/>
      <c r="HWE344" s="29"/>
      <c r="HWF344" s="29"/>
      <c r="HWG344" s="29"/>
      <c r="HWH344" s="29"/>
      <c r="HWI344" s="29"/>
      <c r="HWJ344" s="29"/>
      <c r="HWK344" s="29"/>
      <c r="HWL344" s="29"/>
      <c r="HWM344" s="29"/>
      <c r="HWN344" s="29"/>
      <c r="HWO344" s="29"/>
      <c r="HWP344" s="29"/>
      <c r="HWQ344" s="29"/>
      <c r="HWR344" s="29"/>
      <c r="HWS344" s="29"/>
      <c r="HWT344" s="29"/>
      <c r="HWU344" s="29"/>
      <c r="HWV344" s="29"/>
      <c r="HWW344" s="29"/>
      <c r="HWX344" s="29"/>
      <c r="HWY344" s="29"/>
      <c r="HWZ344" s="29"/>
      <c r="HXA344" s="29"/>
      <c r="HXB344" s="29"/>
      <c r="HXC344" s="29"/>
      <c r="HXD344" s="29"/>
      <c r="HXE344" s="29"/>
      <c r="HXF344" s="29"/>
      <c r="HXG344" s="29"/>
      <c r="HXH344" s="29"/>
      <c r="HXI344" s="29"/>
      <c r="HXJ344" s="29"/>
      <c r="HXK344" s="29"/>
      <c r="HXL344" s="29"/>
      <c r="HXM344" s="29"/>
      <c r="HXN344" s="29"/>
      <c r="HXO344" s="29"/>
      <c r="HXP344" s="29"/>
      <c r="HXQ344" s="29"/>
      <c r="HXR344" s="29"/>
      <c r="HXS344" s="29"/>
      <c r="HXT344" s="29"/>
      <c r="HXU344" s="29"/>
      <c r="HXV344" s="29"/>
      <c r="HXW344" s="29"/>
      <c r="HXX344" s="29"/>
      <c r="HXY344" s="29"/>
      <c r="HXZ344" s="29"/>
      <c r="HYA344" s="29"/>
      <c r="HYB344" s="29"/>
      <c r="HYC344" s="29"/>
      <c r="HYD344" s="29"/>
      <c r="HYE344" s="29"/>
      <c r="HYF344" s="29"/>
      <c r="HYG344" s="29"/>
      <c r="HYH344" s="29"/>
      <c r="HYI344" s="29"/>
      <c r="HYJ344" s="29"/>
      <c r="HYK344" s="29"/>
      <c r="HYL344" s="29"/>
      <c r="HYM344" s="29"/>
      <c r="HYN344" s="29"/>
      <c r="HYO344" s="29"/>
      <c r="HYP344" s="29"/>
      <c r="HYQ344" s="29"/>
      <c r="HYR344" s="29"/>
      <c r="HYS344" s="29"/>
      <c r="HYT344" s="29"/>
      <c r="HYU344" s="29"/>
      <c r="HYV344" s="29"/>
      <c r="HYW344" s="29"/>
      <c r="HYX344" s="29"/>
      <c r="HYY344" s="29"/>
      <c r="HYZ344" s="29"/>
      <c r="HZA344" s="29"/>
      <c r="HZB344" s="29"/>
      <c r="HZC344" s="29"/>
      <c r="HZD344" s="29"/>
      <c r="HZE344" s="29"/>
      <c r="HZF344" s="29"/>
      <c r="HZG344" s="29"/>
      <c r="HZH344" s="29"/>
      <c r="HZI344" s="29"/>
      <c r="HZJ344" s="29"/>
      <c r="HZK344" s="29"/>
      <c r="HZL344" s="29"/>
      <c r="HZM344" s="29"/>
      <c r="HZN344" s="29"/>
      <c r="HZO344" s="29"/>
      <c r="HZP344" s="29"/>
      <c r="HZQ344" s="29"/>
      <c r="HZR344" s="29"/>
      <c r="HZS344" s="29"/>
      <c r="HZT344" s="29"/>
      <c r="HZU344" s="29"/>
      <c r="HZV344" s="29"/>
      <c r="HZW344" s="29"/>
      <c r="HZX344" s="29"/>
      <c r="HZY344" s="29"/>
      <c r="HZZ344" s="29"/>
      <c r="IAA344" s="29"/>
      <c r="IAB344" s="29"/>
      <c r="IAC344" s="29"/>
      <c r="IAD344" s="29"/>
      <c r="IAE344" s="29"/>
      <c r="IAF344" s="29"/>
      <c r="IAG344" s="29"/>
      <c r="IAH344" s="29"/>
      <c r="IAI344" s="29"/>
      <c r="IAJ344" s="29"/>
      <c r="IAK344" s="29"/>
      <c r="IAL344" s="29"/>
      <c r="IAM344" s="29"/>
      <c r="IAN344" s="29"/>
      <c r="IAO344" s="29"/>
      <c r="IAP344" s="29"/>
      <c r="IAQ344" s="29"/>
      <c r="IAR344" s="29"/>
      <c r="IAS344" s="29"/>
      <c r="IAT344" s="29"/>
      <c r="IAU344" s="29"/>
      <c r="IAV344" s="29"/>
      <c r="IAW344" s="29"/>
      <c r="IAX344" s="29"/>
      <c r="IAY344" s="29"/>
      <c r="IAZ344" s="29"/>
      <c r="IBA344" s="29"/>
      <c r="IBB344" s="29"/>
      <c r="IBC344" s="29"/>
      <c r="IBD344" s="29"/>
      <c r="IBE344" s="29"/>
      <c r="IBF344" s="29"/>
      <c r="IBG344" s="29"/>
      <c r="IBH344" s="29"/>
      <c r="IBI344" s="29"/>
      <c r="IBJ344" s="29"/>
      <c r="IBK344" s="29"/>
      <c r="IBL344" s="29"/>
      <c r="IBM344" s="29"/>
      <c r="IBN344" s="29"/>
      <c r="IBO344" s="29"/>
      <c r="IBP344" s="29"/>
      <c r="IBQ344" s="29"/>
      <c r="IBR344" s="29"/>
      <c r="IBS344" s="29"/>
      <c r="IBT344" s="29"/>
      <c r="IBU344" s="29"/>
      <c r="IBV344" s="29"/>
      <c r="IBW344" s="29"/>
      <c r="IBX344" s="29"/>
      <c r="IBY344" s="29"/>
      <c r="IBZ344" s="29"/>
      <c r="ICA344" s="29"/>
      <c r="ICB344" s="29"/>
      <c r="ICC344" s="29"/>
      <c r="ICD344" s="29"/>
      <c r="ICE344" s="29"/>
      <c r="ICF344" s="29"/>
      <c r="ICG344" s="29"/>
      <c r="ICH344" s="29"/>
      <c r="ICI344" s="29"/>
      <c r="ICJ344" s="29"/>
      <c r="ICK344" s="29"/>
      <c r="ICL344" s="29"/>
      <c r="ICM344" s="29"/>
      <c r="ICN344" s="29"/>
      <c r="ICO344" s="29"/>
      <c r="ICP344" s="29"/>
      <c r="ICQ344" s="29"/>
      <c r="ICR344" s="29"/>
      <c r="ICS344" s="29"/>
      <c r="ICT344" s="29"/>
      <c r="ICU344" s="29"/>
      <c r="ICV344" s="29"/>
      <c r="ICW344" s="29"/>
      <c r="ICX344" s="29"/>
      <c r="ICY344" s="29"/>
      <c r="ICZ344" s="29"/>
      <c r="IDA344" s="29"/>
      <c r="IDB344" s="29"/>
      <c r="IDC344" s="29"/>
      <c r="IDD344" s="29"/>
      <c r="IDE344" s="29"/>
      <c r="IDF344" s="29"/>
      <c r="IDG344" s="29"/>
      <c r="IDH344" s="29"/>
      <c r="IDI344" s="29"/>
      <c r="IDJ344" s="29"/>
      <c r="IDK344" s="29"/>
      <c r="IDL344" s="29"/>
      <c r="IDM344" s="29"/>
      <c r="IDN344" s="29"/>
      <c r="IDO344" s="29"/>
      <c r="IDP344" s="29"/>
      <c r="IDQ344" s="29"/>
      <c r="IDR344" s="29"/>
      <c r="IDS344" s="29"/>
      <c r="IDT344" s="29"/>
      <c r="IDU344" s="29"/>
      <c r="IDV344" s="29"/>
      <c r="IDW344" s="29"/>
      <c r="IDX344" s="29"/>
      <c r="IDY344" s="29"/>
      <c r="IDZ344" s="29"/>
      <c r="IEA344" s="29"/>
      <c r="IEB344" s="29"/>
      <c r="IEC344" s="29"/>
      <c r="IED344" s="29"/>
      <c r="IEE344" s="29"/>
      <c r="IEF344" s="29"/>
      <c r="IEG344" s="29"/>
      <c r="IEH344" s="29"/>
      <c r="IEI344" s="29"/>
      <c r="IEJ344" s="29"/>
      <c r="IEK344" s="29"/>
      <c r="IEL344" s="29"/>
      <c r="IEM344" s="29"/>
      <c r="IEN344" s="29"/>
      <c r="IEO344" s="29"/>
      <c r="IEP344" s="29"/>
      <c r="IEQ344" s="29"/>
      <c r="IER344" s="29"/>
      <c r="IES344" s="29"/>
      <c r="IET344" s="29"/>
      <c r="IEU344" s="29"/>
      <c r="IEV344" s="29"/>
      <c r="IEW344" s="29"/>
      <c r="IEX344" s="29"/>
      <c r="IEY344" s="29"/>
      <c r="IEZ344" s="29"/>
      <c r="IFA344" s="29"/>
      <c r="IFB344" s="29"/>
      <c r="IFC344" s="29"/>
      <c r="IFD344" s="29"/>
      <c r="IFE344" s="29"/>
      <c r="IFF344" s="29"/>
      <c r="IFG344" s="29"/>
      <c r="IFH344" s="29"/>
      <c r="IFI344" s="29"/>
      <c r="IFJ344" s="29"/>
      <c r="IFK344" s="29"/>
      <c r="IFL344" s="29"/>
      <c r="IFM344" s="29"/>
      <c r="IFN344" s="29"/>
      <c r="IFO344" s="29"/>
      <c r="IFP344" s="29"/>
      <c r="IFQ344" s="29"/>
      <c r="IFR344" s="29"/>
      <c r="IFS344" s="29"/>
      <c r="IFT344" s="29"/>
      <c r="IFU344" s="29"/>
      <c r="IFV344" s="29"/>
      <c r="IFW344" s="29"/>
      <c r="IFX344" s="29"/>
      <c r="IFY344" s="29"/>
      <c r="IFZ344" s="29"/>
      <c r="IGA344" s="29"/>
      <c r="IGB344" s="29"/>
      <c r="IGC344" s="29"/>
      <c r="IGD344" s="29"/>
      <c r="IGE344" s="29"/>
      <c r="IGF344" s="29"/>
      <c r="IGG344" s="29"/>
      <c r="IGH344" s="29"/>
      <c r="IGI344" s="29"/>
      <c r="IGJ344" s="29"/>
      <c r="IGK344" s="29"/>
      <c r="IGL344" s="29"/>
      <c r="IGM344" s="29"/>
      <c r="IGN344" s="29"/>
      <c r="IGO344" s="29"/>
      <c r="IGP344" s="29"/>
      <c r="IGQ344" s="29"/>
      <c r="IGR344" s="29"/>
      <c r="IGS344" s="29"/>
      <c r="IGT344" s="29"/>
      <c r="IGU344" s="29"/>
      <c r="IGV344" s="29"/>
      <c r="IGW344" s="29"/>
      <c r="IGX344" s="29"/>
      <c r="IGY344" s="29"/>
      <c r="IGZ344" s="29"/>
      <c r="IHA344" s="29"/>
      <c r="IHB344" s="29"/>
      <c r="IHC344" s="29"/>
      <c r="IHD344" s="29"/>
      <c r="IHE344" s="29"/>
      <c r="IHF344" s="29"/>
      <c r="IHG344" s="29"/>
      <c r="IHH344" s="29"/>
      <c r="IHI344" s="29"/>
      <c r="IHJ344" s="29"/>
      <c r="IHK344" s="29"/>
      <c r="IHL344" s="29"/>
      <c r="IHM344" s="29"/>
      <c r="IHN344" s="29"/>
      <c r="IHO344" s="29"/>
      <c r="IHP344" s="29"/>
      <c r="IHQ344" s="29"/>
      <c r="IHR344" s="29"/>
      <c r="IHS344" s="29"/>
      <c r="IHT344" s="29"/>
      <c r="IHU344" s="29"/>
      <c r="IHV344" s="29"/>
      <c r="IHW344" s="29"/>
      <c r="IHX344" s="29"/>
      <c r="IHY344" s="29"/>
      <c r="IHZ344" s="29"/>
      <c r="IIA344" s="29"/>
      <c r="IIB344" s="29"/>
      <c r="IIC344" s="29"/>
      <c r="IID344" s="29"/>
      <c r="IIE344" s="29"/>
      <c r="IIF344" s="29"/>
      <c r="IIG344" s="29"/>
      <c r="IIH344" s="29"/>
      <c r="III344" s="29"/>
      <c r="IIJ344" s="29"/>
      <c r="IIK344" s="29"/>
      <c r="IIL344" s="29"/>
      <c r="IIM344" s="29"/>
      <c r="IIN344" s="29"/>
      <c r="IIO344" s="29"/>
      <c r="IIP344" s="29"/>
      <c r="IIQ344" s="29"/>
      <c r="IIR344" s="29"/>
      <c r="IIS344" s="29"/>
      <c r="IIT344" s="29"/>
      <c r="IIU344" s="29"/>
      <c r="IIV344" s="29"/>
      <c r="IIW344" s="29"/>
      <c r="IIX344" s="29"/>
      <c r="IIY344" s="29"/>
      <c r="IIZ344" s="29"/>
      <c r="IJA344" s="29"/>
      <c r="IJB344" s="29"/>
      <c r="IJC344" s="29"/>
      <c r="IJD344" s="29"/>
      <c r="IJE344" s="29"/>
      <c r="IJF344" s="29"/>
      <c r="IJG344" s="29"/>
      <c r="IJH344" s="29"/>
      <c r="IJI344" s="29"/>
      <c r="IJJ344" s="29"/>
      <c r="IJK344" s="29"/>
      <c r="IJL344" s="29"/>
      <c r="IJM344" s="29"/>
      <c r="IJN344" s="29"/>
      <c r="IJO344" s="29"/>
      <c r="IJP344" s="29"/>
      <c r="IJQ344" s="29"/>
      <c r="IJR344" s="29"/>
      <c r="IJS344" s="29"/>
      <c r="IJT344" s="29"/>
      <c r="IJU344" s="29"/>
      <c r="IJV344" s="29"/>
      <c r="IJW344" s="29"/>
      <c r="IJX344" s="29"/>
      <c r="IJY344" s="29"/>
      <c r="IJZ344" s="29"/>
      <c r="IKA344" s="29"/>
      <c r="IKB344" s="29"/>
      <c r="IKC344" s="29"/>
      <c r="IKD344" s="29"/>
      <c r="IKE344" s="29"/>
      <c r="IKF344" s="29"/>
      <c r="IKG344" s="29"/>
      <c r="IKH344" s="29"/>
      <c r="IKI344" s="29"/>
      <c r="IKJ344" s="29"/>
      <c r="IKK344" s="29"/>
      <c r="IKL344" s="29"/>
      <c r="IKM344" s="29"/>
      <c r="IKN344" s="29"/>
      <c r="IKO344" s="29"/>
      <c r="IKP344" s="29"/>
      <c r="IKQ344" s="29"/>
      <c r="IKR344" s="29"/>
      <c r="IKS344" s="29"/>
      <c r="IKT344" s="29"/>
      <c r="IKU344" s="29"/>
      <c r="IKV344" s="29"/>
      <c r="IKW344" s="29"/>
      <c r="IKX344" s="29"/>
      <c r="IKY344" s="29"/>
      <c r="IKZ344" s="29"/>
      <c r="ILA344" s="29"/>
      <c r="ILB344" s="29"/>
      <c r="ILC344" s="29"/>
      <c r="ILD344" s="29"/>
      <c r="ILE344" s="29"/>
      <c r="ILF344" s="29"/>
      <c r="ILG344" s="29"/>
      <c r="ILH344" s="29"/>
      <c r="ILI344" s="29"/>
      <c r="ILJ344" s="29"/>
      <c r="ILK344" s="29"/>
      <c r="ILL344" s="29"/>
      <c r="ILM344" s="29"/>
      <c r="ILN344" s="29"/>
      <c r="ILO344" s="29"/>
      <c r="ILP344" s="29"/>
      <c r="ILQ344" s="29"/>
      <c r="ILR344" s="29"/>
      <c r="ILS344" s="29"/>
      <c r="ILT344" s="29"/>
      <c r="ILU344" s="29"/>
      <c r="ILV344" s="29"/>
      <c r="ILW344" s="29"/>
      <c r="ILX344" s="29"/>
      <c r="ILY344" s="29"/>
      <c r="ILZ344" s="29"/>
      <c r="IMA344" s="29"/>
      <c r="IMB344" s="29"/>
      <c r="IMC344" s="29"/>
      <c r="IMD344" s="29"/>
      <c r="IME344" s="29"/>
      <c r="IMF344" s="29"/>
      <c r="IMG344" s="29"/>
      <c r="IMH344" s="29"/>
      <c r="IMI344" s="29"/>
      <c r="IMJ344" s="29"/>
      <c r="IMK344" s="29"/>
      <c r="IML344" s="29"/>
      <c r="IMM344" s="29"/>
      <c r="IMN344" s="29"/>
      <c r="IMO344" s="29"/>
      <c r="IMP344" s="29"/>
      <c r="IMQ344" s="29"/>
      <c r="IMR344" s="29"/>
      <c r="IMS344" s="29"/>
      <c r="IMT344" s="29"/>
      <c r="IMU344" s="29"/>
      <c r="IMV344" s="29"/>
      <c r="IMW344" s="29"/>
      <c r="IMX344" s="29"/>
      <c r="IMY344" s="29"/>
      <c r="IMZ344" s="29"/>
      <c r="INA344" s="29"/>
      <c r="INB344" s="29"/>
      <c r="INC344" s="29"/>
      <c r="IND344" s="29"/>
      <c r="INE344" s="29"/>
      <c r="INF344" s="29"/>
      <c r="ING344" s="29"/>
      <c r="INH344" s="29"/>
      <c r="INI344" s="29"/>
      <c r="INJ344" s="29"/>
      <c r="INK344" s="29"/>
      <c r="INL344" s="29"/>
      <c r="INM344" s="29"/>
      <c r="INN344" s="29"/>
      <c r="INO344" s="29"/>
      <c r="INP344" s="29"/>
      <c r="INQ344" s="29"/>
      <c r="INR344" s="29"/>
      <c r="INS344" s="29"/>
      <c r="INT344" s="29"/>
      <c r="INU344" s="29"/>
      <c r="INV344" s="29"/>
      <c r="INW344" s="29"/>
      <c r="INX344" s="29"/>
      <c r="INY344" s="29"/>
      <c r="INZ344" s="29"/>
      <c r="IOA344" s="29"/>
      <c r="IOB344" s="29"/>
      <c r="IOC344" s="29"/>
      <c r="IOD344" s="29"/>
      <c r="IOE344" s="29"/>
      <c r="IOF344" s="29"/>
      <c r="IOG344" s="29"/>
      <c r="IOH344" s="29"/>
      <c r="IOI344" s="29"/>
      <c r="IOJ344" s="29"/>
      <c r="IOK344" s="29"/>
      <c r="IOL344" s="29"/>
      <c r="IOM344" s="29"/>
      <c r="ION344" s="29"/>
      <c r="IOO344" s="29"/>
      <c r="IOP344" s="29"/>
      <c r="IOQ344" s="29"/>
      <c r="IOR344" s="29"/>
      <c r="IOS344" s="29"/>
      <c r="IOT344" s="29"/>
      <c r="IOU344" s="29"/>
      <c r="IOV344" s="29"/>
      <c r="IOW344" s="29"/>
      <c r="IOX344" s="29"/>
      <c r="IOY344" s="29"/>
      <c r="IOZ344" s="29"/>
      <c r="IPA344" s="29"/>
      <c r="IPB344" s="29"/>
      <c r="IPC344" s="29"/>
      <c r="IPD344" s="29"/>
      <c r="IPE344" s="29"/>
      <c r="IPF344" s="29"/>
      <c r="IPG344" s="29"/>
      <c r="IPH344" s="29"/>
      <c r="IPI344" s="29"/>
      <c r="IPJ344" s="29"/>
      <c r="IPK344" s="29"/>
      <c r="IPL344" s="29"/>
      <c r="IPM344" s="29"/>
      <c r="IPN344" s="29"/>
      <c r="IPO344" s="29"/>
      <c r="IPP344" s="29"/>
      <c r="IPQ344" s="29"/>
      <c r="IPR344" s="29"/>
      <c r="IPS344" s="29"/>
      <c r="IPT344" s="29"/>
      <c r="IPU344" s="29"/>
      <c r="IPV344" s="29"/>
      <c r="IPW344" s="29"/>
      <c r="IPX344" s="29"/>
      <c r="IPY344" s="29"/>
      <c r="IPZ344" s="29"/>
      <c r="IQA344" s="29"/>
      <c r="IQB344" s="29"/>
      <c r="IQC344" s="29"/>
      <c r="IQD344" s="29"/>
      <c r="IQE344" s="29"/>
      <c r="IQF344" s="29"/>
      <c r="IQG344" s="29"/>
      <c r="IQH344" s="29"/>
      <c r="IQI344" s="29"/>
      <c r="IQJ344" s="29"/>
      <c r="IQK344" s="29"/>
      <c r="IQL344" s="29"/>
      <c r="IQM344" s="29"/>
      <c r="IQN344" s="29"/>
      <c r="IQO344" s="29"/>
      <c r="IQP344" s="29"/>
      <c r="IQQ344" s="29"/>
      <c r="IQR344" s="29"/>
      <c r="IQS344" s="29"/>
      <c r="IQT344" s="29"/>
      <c r="IQU344" s="29"/>
      <c r="IQV344" s="29"/>
      <c r="IQW344" s="29"/>
      <c r="IQX344" s="29"/>
      <c r="IQY344" s="29"/>
      <c r="IQZ344" s="29"/>
      <c r="IRA344" s="29"/>
      <c r="IRB344" s="29"/>
      <c r="IRC344" s="29"/>
      <c r="IRD344" s="29"/>
      <c r="IRE344" s="29"/>
      <c r="IRF344" s="29"/>
      <c r="IRG344" s="29"/>
      <c r="IRH344" s="29"/>
      <c r="IRI344" s="29"/>
      <c r="IRJ344" s="29"/>
      <c r="IRK344" s="29"/>
      <c r="IRL344" s="29"/>
      <c r="IRM344" s="29"/>
      <c r="IRN344" s="29"/>
      <c r="IRO344" s="29"/>
      <c r="IRP344" s="29"/>
      <c r="IRQ344" s="29"/>
      <c r="IRR344" s="29"/>
      <c r="IRS344" s="29"/>
      <c r="IRT344" s="29"/>
      <c r="IRU344" s="29"/>
      <c r="IRV344" s="29"/>
      <c r="IRW344" s="29"/>
      <c r="IRX344" s="29"/>
      <c r="IRY344" s="29"/>
      <c r="IRZ344" s="29"/>
      <c r="ISA344" s="29"/>
      <c r="ISB344" s="29"/>
      <c r="ISC344" s="29"/>
      <c r="ISD344" s="29"/>
      <c r="ISE344" s="29"/>
      <c r="ISF344" s="29"/>
      <c r="ISG344" s="29"/>
      <c r="ISH344" s="29"/>
      <c r="ISI344" s="29"/>
      <c r="ISJ344" s="29"/>
      <c r="ISK344" s="29"/>
      <c r="ISL344" s="29"/>
      <c r="ISM344" s="29"/>
      <c r="ISN344" s="29"/>
      <c r="ISO344" s="29"/>
      <c r="ISP344" s="29"/>
      <c r="ISQ344" s="29"/>
      <c r="ISR344" s="29"/>
      <c r="ISS344" s="29"/>
      <c r="IST344" s="29"/>
      <c r="ISU344" s="29"/>
      <c r="ISV344" s="29"/>
      <c r="ISW344" s="29"/>
      <c r="ISX344" s="29"/>
      <c r="ISY344" s="29"/>
      <c r="ISZ344" s="29"/>
      <c r="ITA344" s="29"/>
      <c r="ITB344" s="29"/>
      <c r="ITC344" s="29"/>
      <c r="ITD344" s="29"/>
      <c r="ITE344" s="29"/>
      <c r="ITF344" s="29"/>
      <c r="ITG344" s="29"/>
      <c r="ITH344" s="29"/>
      <c r="ITI344" s="29"/>
      <c r="ITJ344" s="29"/>
      <c r="ITK344" s="29"/>
      <c r="ITL344" s="29"/>
      <c r="ITM344" s="29"/>
      <c r="ITN344" s="29"/>
      <c r="ITO344" s="29"/>
      <c r="ITP344" s="29"/>
      <c r="ITQ344" s="29"/>
      <c r="ITR344" s="29"/>
      <c r="ITS344" s="29"/>
      <c r="ITT344" s="29"/>
      <c r="ITU344" s="29"/>
      <c r="ITV344" s="29"/>
      <c r="ITW344" s="29"/>
      <c r="ITX344" s="29"/>
      <c r="ITY344" s="29"/>
      <c r="ITZ344" s="29"/>
      <c r="IUA344" s="29"/>
      <c r="IUB344" s="29"/>
      <c r="IUC344" s="29"/>
      <c r="IUD344" s="29"/>
      <c r="IUE344" s="29"/>
      <c r="IUF344" s="29"/>
      <c r="IUG344" s="29"/>
      <c r="IUH344" s="29"/>
      <c r="IUI344" s="29"/>
      <c r="IUJ344" s="29"/>
      <c r="IUK344" s="29"/>
      <c r="IUL344" s="29"/>
      <c r="IUM344" s="29"/>
      <c r="IUN344" s="29"/>
      <c r="IUO344" s="29"/>
      <c r="IUP344" s="29"/>
      <c r="IUQ344" s="29"/>
      <c r="IUR344" s="29"/>
      <c r="IUS344" s="29"/>
      <c r="IUT344" s="29"/>
      <c r="IUU344" s="29"/>
      <c r="IUV344" s="29"/>
      <c r="IUW344" s="29"/>
      <c r="IUX344" s="29"/>
      <c r="IUY344" s="29"/>
      <c r="IUZ344" s="29"/>
      <c r="IVA344" s="29"/>
      <c r="IVB344" s="29"/>
      <c r="IVC344" s="29"/>
      <c r="IVD344" s="29"/>
      <c r="IVE344" s="29"/>
      <c r="IVF344" s="29"/>
      <c r="IVG344" s="29"/>
      <c r="IVH344" s="29"/>
      <c r="IVI344" s="29"/>
      <c r="IVJ344" s="29"/>
      <c r="IVK344" s="29"/>
      <c r="IVL344" s="29"/>
      <c r="IVM344" s="29"/>
      <c r="IVN344" s="29"/>
      <c r="IVO344" s="29"/>
      <c r="IVP344" s="29"/>
      <c r="IVQ344" s="29"/>
      <c r="IVR344" s="29"/>
      <c r="IVS344" s="29"/>
      <c r="IVT344" s="29"/>
      <c r="IVU344" s="29"/>
      <c r="IVV344" s="29"/>
      <c r="IVW344" s="29"/>
      <c r="IVX344" s="29"/>
      <c r="IVY344" s="29"/>
      <c r="IVZ344" s="29"/>
      <c r="IWA344" s="29"/>
      <c r="IWB344" s="29"/>
      <c r="IWC344" s="29"/>
      <c r="IWD344" s="29"/>
      <c r="IWE344" s="29"/>
      <c r="IWF344" s="29"/>
      <c r="IWG344" s="29"/>
      <c r="IWH344" s="29"/>
      <c r="IWI344" s="29"/>
      <c r="IWJ344" s="29"/>
      <c r="IWK344" s="29"/>
      <c r="IWL344" s="29"/>
      <c r="IWM344" s="29"/>
      <c r="IWN344" s="29"/>
      <c r="IWO344" s="29"/>
      <c r="IWP344" s="29"/>
      <c r="IWQ344" s="29"/>
      <c r="IWR344" s="29"/>
      <c r="IWS344" s="29"/>
      <c r="IWT344" s="29"/>
      <c r="IWU344" s="29"/>
      <c r="IWV344" s="29"/>
      <c r="IWW344" s="29"/>
      <c r="IWX344" s="29"/>
      <c r="IWY344" s="29"/>
      <c r="IWZ344" s="29"/>
      <c r="IXA344" s="29"/>
      <c r="IXB344" s="29"/>
      <c r="IXC344" s="29"/>
      <c r="IXD344" s="29"/>
      <c r="IXE344" s="29"/>
      <c r="IXF344" s="29"/>
      <c r="IXG344" s="29"/>
      <c r="IXH344" s="29"/>
      <c r="IXI344" s="29"/>
      <c r="IXJ344" s="29"/>
      <c r="IXK344" s="29"/>
      <c r="IXL344" s="29"/>
      <c r="IXM344" s="29"/>
      <c r="IXN344" s="29"/>
      <c r="IXO344" s="29"/>
      <c r="IXP344" s="29"/>
      <c r="IXQ344" s="29"/>
      <c r="IXR344" s="29"/>
      <c r="IXS344" s="29"/>
      <c r="IXT344" s="29"/>
      <c r="IXU344" s="29"/>
      <c r="IXV344" s="29"/>
      <c r="IXW344" s="29"/>
      <c r="IXX344" s="29"/>
      <c r="IXY344" s="29"/>
      <c r="IXZ344" s="29"/>
      <c r="IYA344" s="29"/>
      <c r="IYB344" s="29"/>
      <c r="IYC344" s="29"/>
      <c r="IYD344" s="29"/>
      <c r="IYE344" s="29"/>
      <c r="IYF344" s="29"/>
      <c r="IYG344" s="29"/>
      <c r="IYH344" s="29"/>
      <c r="IYI344" s="29"/>
      <c r="IYJ344" s="29"/>
      <c r="IYK344" s="29"/>
      <c r="IYL344" s="29"/>
      <c r="IYM344" s="29"/>
      <c r="IYN344" s="29"/>
      <c r="IYO344" s="29"/>
      <c r="IYP344" s="29"/>
      <c r="IYQ344" s="29"/>
      <c r="IYR344" s="29"/>
      <c r="IYS344" s="29"/>
      <c r="IYT344" s="29"/>
      <c r="IYU344" s="29"/>
      <c r="IYV344" s="29"/>
      <c r="IYW344" s="29"/>
      <c r="IYX344" s="29"/>
      <c r="IYY344" s="29"/>
      <c r="IYZ344" s="29"/>
      <c r="IZA344" s="29"/>
      <c r="IZB344" s="29"/>
      <c r="IZC344" s="29"/>
      <c r="IZD344" s="29"/>
      <c r="IZE344" s="29"/>
      <c r="IZF344" s="29"/>
      <c r="IZG344" s="29"/>
      <c r="IZH344" s="29"/>
      <c r="IZI344" s="29"/>
      <c r="IZJ344" s="29"/>
      <c r="IZK344" s="29"/>
      <c r="IZL344" s="29"/>
      <c r="IZM344" s="29"/>
      <c r="IZN344" s="29"/>
      <c r="IZO344" s="29"/>
      <c r="IZP344" s="29"/>
      <c r="IZQ344" s="29"/>
      <c r="IZR344" s="29"/>
      <c r="IZS344" s="29"/>
      <c r="IZT344" s="29"/>
      <c r="IZU344" s="29"/>
      <c r="IZV344" s="29"/>
      <c r="IZW344" s="29"/>
      <c r="IZX344" s="29"/>
      <c r="IZY344" s="29"/>
      <c r="IZZ344" s="29"/>
      <c r="JAA344" s="29"/>
      <c r="JAB344" s="29"/>
      <c r="JAC344" s="29"/>
      <c r="JAD344" s="29"/>
      <c r="JAE344" s="29"/>
      <c r="JAF344" s="29"/>
      <c r="JAG344" s="29"/>
      <c r="JAH344" s="29"/>
      <c r="JAI344" s="29"/>
      <c r="JAJ344" s="29"/>
      <c r="JAK344" s="29"/>
      <c r="JAL344" s="29"/>
      <c r="JAM344" s="29"/>
      <c r="JAN344" s="29"/>
      <c r="JAO344" s="29"/>
      <c r="JAP344" s="29"/>
      <c r="JAQ344" s="29"/>
      <c r="JAR344" s="29"/>
      <c r="JAS344" s="29"/>
      <c r="JAT344" s="29"/>
      <c r="JAU344" s="29"/>
      <c r="JAV344" s="29"/>
      <c r="JAW344" s="29"/>
      <c r="JAX344" s="29"/>
      <c r="JAY344" s="29"/>
      <c r="JAZ344" s="29"/>
      <c r="JBA344" s="29"/>
      <c r="JBB344" s="29"/>
      <c r="JBC344" s="29"/>
      <c r="JBD344" s="29"/>
      <c r="JBE344" s="29"/>
      <c r="JBF344" s="29"/>
      <c r="JBG344" s="29"/>
      <c r="JBH344" s="29"/>
      <c r="JBI344" s="29"/>
      <c r="JBJ344" s="29"/>
      <c r="JBK344" s="29"/>
      <c r="JBL344" s="29"/>
      <c r="JBM344" s="29"/>
      <c r="JBN344" s="29"/>
      <c r="JBO344" s="29"/>
      <c r="JBP344" s="29"/>
      <c r="JBQ344" s="29"/>
      <c r="JBR344" s="29"/>
      <c r="JBS344" s="29"/>
      <c r="JBT344" s="29"/>
      <c r="JBU344" s="29"/>
      <c r="JBV344" s="29"/>
      <c r="JBW344" s="29"/>
      <c r="JBX344" s="29"/>
      <c r="JBY344" s="29"/>
      <c r="JBZ344" s="29"/>
      <c r="JCA344" s="29"/>
      <c r="JCB344" s="29"/>
      <c r="JCC344" s="29"/>
      <c r="JCD344" s="29"/>
      <c r="JCE344" s="29"/>
      <c r="JCF344" s="29"/>
      <c r="JCG344" s="29"/>
      <c r="JCH344" s="29"/>
      <c r="JCI344" s="29"/>
      <c r="JCJ344" s="29"/>
      <c r="JCK344" s="29"/>
      <c r="JCL344" s="29"/>
      <c r="JCM344" s="29"/>
      <c r="JCN344" s="29"/>
      <c r="JCO344" s="29"/>
      <c r="JCP344" s="29"/>
      <c r="JCQ344" s="29"/>
      <c r="JCR344" s="29"/>
      <c r="JCS344" s="29"/>
      <c r="JCT344" s="29"/>
      <c r="JCU344" s="29"/>
      <c r="JCV344" s="29"/>
      <c r="JCW344" s="29"/>
      <c r="JCX344" s="29"/>
      <c r="JCY344" s="29"/>
      <c r="JCZ344" s="29"/>
      <c r="JDA344" s="29"/>
      <c r="JDB344" s="29"/>
      <c r="JDC344" s="29"/>
      <c r="JDD344" s="29"/>
      <c r="JDE344" s="29"/>
      <c r="JDF344" s="29"/>
      <c r="JDG344" s="29"/>
      <c r="JDH344" s="29"/>
      <c r="JDI344" s="29"/>
      <c r="JDJ344" s="29"/>
      <c r="JDK344" s="29"/>
      <c r="JDL344" s="29"/>
      <c r="JDM344" s="29"/>
      <c r="JDN344" s="29"/>
      <c r="JDO344" s="29"/>
      <c r="JDP344" s="29"/>
      <c r="JDQ344" s="29"/>
      <c r="JDR344" s="29"/>
      <c r="JDS344" s="29"/>
      <c r="JDT344" s="29"/>
      <c r="JDU344" s="29"/>
      <c r="JDV344" s="29"/>
      <c r="JDW344" s="29"/>
      <c r="JDX344" s="29"/>
      <c r="JDY344" s="29"/>
      <c r="JDZ344" s="29"/>
      <c r="JEA344" s="29"/>
      <c r="JEB344" s="29"/>
      <c r="JEC344" s="29"/>
      <c r="JED344" s="29"/>
      <c r="JEE344" s="29"/>
      <c r="JEF344" s="29"/>
      <c r="JEG344" s="29"/>
      <c r="JEH344" s="29"/>
      <c r="JEI344" s="29"/>
      <c r="JEJ344" s="29"/>
      <c r="JEK344" s="29"/>
      <c r="JEL344" s="29"/>
      <c r="JEM344" s="29"/>
      <c r="JEN344" s="29"/>
      <c r="JEO344" s="29"/>
      <c r="JEP344" s="29"/>
      <c r="JEQ344" s="29"/>
      <c r="JER344" s="29"/>
      <c r="JES344" s="29"/>
      <c r="JET344" s="29"/>
      <c r="JEU344" s="29"/>
      <c r="JEV344" s="29"/>
      <c r="JEW344" s="29"/>
      <c r="JEX344" s="29"/>
      <c r="JEY344" s="29"/>
      <c r="JEZ344" s="29"/>
      <c r="JFA344" s="29"/>
      <c r="JFB344" s="29"/>
      <c r="JFC344" s="29"/>
      <c r="JFD344" s="29"/>
      <c r="JFE344" s="29"/>
      <c r="JFF344" s="29"/>
      <c r="JFG344" s="29"/>
      <c r="JFH344" s="29"/>
      <c r="JFI344" s="29"/>
      <c r="JFJ344" s="29"/>
      <c r="JFK344" s="29"/>
      <c r="JFL344" s="29"/>
      <c r="JFM344" s="29"/>
      <c r="JFN344" s="29"/>
      <c r="JFO344" s="29"/>
      <c r="JFP344" s="29"/>
      <c r="JFQ344" s="29"/>
      <c r="JFR344" s="29"/>
      <c r="JFS344" s="29"/>
      <c r="JFT344" s="29"/>
      <c r="JFU344" s="29"/>
      <c r="JFV344" s="29"/>
      <c r="JFW344" s="29"/>
      <c r="JFX344" s="29"/>
      <c r="JFY344" s="29"/>
      <c r="JFZ344" s="29"/>
      <c r="JGA344" s="29"/>
      <c r="JGB344" s="29"/>
      <c r="JGC344" s="29"/>
      <c r="JGD344" s="29"/>
      <c r="JGE344" s="29"/>
      <c r="JGF344" s="29"/>
      <c r="JGG344" s="29"/>
      <c r="JGH344" s="29"/>
      <c r="JGI344" s="29"/>
      <c r="JGJ344" s="29"/>
      <c r="JGK344" s="29"/>
      <c r="JGL344" s="29"/>
      <c r="JGM344" s="29"/>
      <c r="JGN344" s="29"/>
      <c r="JGO344" s="29"/>
      <c r="JGP344" s="29"/>
      <c r="JGQ344" s="29"/>
      <c r="JGR344" s="29"/>
      <c r="JGS344" s="29"/>
      <c r="JGT344" s="29"/>
      <c r="JGU344" s="29"/>
      <c r="JGV344" s="29"/>
      <c r="JGW344" s="29"/>
      <c r="JGX344" s="29"/>
      <c r="JGY344" s="29"/>
      <c r="JGZ344" s="29"/>
      <c r="JHA344" s="29"/>
      <c r="JHB344" s="29"/>
      <c r="JHC344" s="29"/>
      <c r="JHD344" s="29"/>
      <c r="JHE344" s="29"/>
      <c r="JHF344" s="29"/>
      <c r="JHG344" s="29"/>
      <c r="JHH344" s="29"/>
      <c r="JHI344" s="29"/>
      <c r="JHJ344" s="29"/>
      <c r="JHK344" s="29"/>
      <c r="JHL344" s="29"/>
      <c r="JHM344" s="29"/>
      <c r="JHN344" s="29"/>
      <c r="JHO344" s="29"/>
      <c r="JHP344" s="29"/>
      <c r="JHQ344" s="29"/>
      <c r="JHR344" s="29"/>
      <c r="JHS344" s="29"/>
      <c r="JHT344" s="29"/>
      <c r="JHU344" s="29"/>
      <c r="JHV344" s="29"/>
      <c r="JHW344" s="29"/>
      <c r="JHX344" s="29"/>
      <c r="JHY344" s="29"/>
      <c r="JHZ344" s="29"/>
      <c r="JIA344" s="29"/>
      <c r="JIB344" s="29"/>
      <c r="JIC344" s="29"/>
      <c r="JID344" s="29"/>
      <c r="JIE344" s="29"/>
      <c r="JIF344" s="29"/>
      <c r="JIG344" s="29"/>
      <c r="JIH344" s="29"/>
      <c r="JII344" s="29"/>
      <c r="JIJ344" s="29"/>
      <c r="JIK344" s="29"/>
      <c r="JIL344" s="29"/>
      <c r="JIM344" s="29"/>
      <c r="JIN344" s="29"/>
      <c r="JIO344" s="29"/>
      <c r="JIP344" s="29"/>
      <c r="JIQ344" s="29"/>
      <c r="JIR344" s="29"/>
      <c r="JIS344" s="29"/>
      <c r="JIT344" s="29"/>
      <c r="JIU344" s="29"/>
      <c r="JIV344" s="29"/>
      <c r="JIW344" s="29"/>
      <c r="JIX344" s="29"/>
      <c r="JIY344" s="29"/>
      <c r="JIZ344" s="29"/>
      <c r="JJA344" s="29"/>
      <c r="JJB344" s="29"/>
      <c r="JJC344" s="29"/>
      <c r="JJD344" s="29"/>
      <c r="JJE344" s="29"/>
      <c r="JJF344" s="29"/>
      <c r="JJG344" s="29"/>
      <c r="JJH344" s="29"/>
      <c r="JJI344" s="29"/>
      <c r="JJJ344" s="29"/>
      <c r="JJK344" s="29"/>
      <c r="JJL344" s="29"/>
      <c r="JJM344" s="29"/>
      <c r="JJN344" s="29"/>
      <c r="JJO344" s="29"/>
      <c r="JJP344" s="29"/>
      <c r="JJQ344" s="29"/>
      <c r="JJR344" s="29"/>
      <c r="JJS344" s="29"/>
      <c r="JJT344" s="29"/>
      <c r="JJU344" s="29"/>
      <c r="JJV344" s="29"/>
      <c r="JJW344" s="29"/>
      <c r="JJX344" s="29"/>
      <c r="JJY344" s="29"/>
      <c r="JJZ344" s="29"/>
      <c r="JKA344" s="29"/>
      <c r="JKB344" s="29"/>
      <c r="JKC344" s="29"/>
      <c r="JKD344" s="29"/>
      <c r="JKE344" s="29"/>
      <c r="JKF344" s="29"/>
      <c r="JKG344" s="29"/>
      <c r="JKH344" s="29"/>
      <c r="JKI344" s="29"/>
      <c r="JKJ344" s="29"/>
      <c r="JKK344" s="29"/>
      <c r="JKL344" s="29"/>
      <c r="JKM344" s="29"/>
      <c r="JKN344" s="29"/>
      <c r="JKO344" s="29"/>
      <c r="JKP344" s="29"/>
      <c r="JKQ344" s="29"/>
      <c r="JKR344" s="29"/>
      <c r="JKS344" s="29"/>
      <c r="JKT344" s="29"/>
      <c r="JKU344" s="29"/>
      <c r="JKV344" s="29"/>
      <c r="JKW344" s="29"/>
      <c r="JKX344" s="29"/>
      <c r="JKY344" s="29"/>
      <c r="JKZ344" s="29"/>
      <c r="JLA344" s="29"/>
      <c r="JLB344" s="29"/>
      <c r="JLC344" s="29"/>
      <c r="JLD344" s="29"/>
      <c r="JLE344" s="29"/>
      <c r="JLF344" s="29"/>
      <c r="JLG344" s="29"/>
      <c r="JLH344" s="29"/>
      <c r="JLI344" s="29"/>
      <c r="JLJ344" s="29"/>
      <c r="JLK344" s="29"/>
      <c r="JLL344" s="29"/>
      <c r="JLM344" s="29"/>
      <c r="JLN344" s="29"/>
      <c r="JLO344" s="29"/>
      <c r="JLP344" s="29"/>
      <c r="JLQ344" s="29"/>
      <c r="JLR344" s="29"/>
      <c r="JLS344" s="29"/>
      <c r="JLT344" s="29"/>
      <c r="JLU344" s="29"/>
      <c r="JLV344" s="29"/>
      <c r="JLW344" s="29"/>
      <c r="JLX344" s="29"/>
      <c r="JLY344" s="29"/>
      <c r="JLZ344" s="29"/>
      <c r="JMA344" s="29"/>
      <c r="JMB344" s="29"/>
      <c r="JMC344" s="29"/>
      <c r="JMD344" s="29"/>
      <c r="JME344" s="29"/>
      <c r="JMF344" s="29"/>
      <c r="JMG344" s="29"/>
      <c r="JMH344" s="29"/>
      <c r="JMI344" s="29"/>
      <c r="JMJ344" s="29"/>
      <c r="JMK344" s="29"/>
      <c r="JML344" s="29"/>
      <c r="JMM344" s="29"/>
      <c r="JMN344" s="29"/>
      <c r="JMO344" s="29"/>
      <c r="JMP344" s="29"/>
      <c r="JMQ344" s="29"/>
      <c r="JMR344" s="29"/>
      <c r="JMS344" s="29"/>
      <c r="JMT344" s="29"/>
      <c r="JMU344" s="29"/>
      <c r="JMV344" s="29"/>
      <c r="JMW344" s="29"/>
      <c r="JMX344" s="29"/>
      <c r="JMY344" s="29"/>
      <c r="JMZ344" s="29"/>
      <c r="JNA344" s="29"/>
      <c r="JNB344" s="29"/>
      <c r="JNC344" s="29"/>
      <c r="JND344" s="29"/>
      <c r="JNE344" s="29"/>
      <c r="JNF344" s="29"/>
      <c r="JNG344" s="29"/>
      <c r="JNH344" s="29"/>
      <c r="JNI344" s="29"/>
      <c r="JNJ344" s="29"/>
      <c r="JNK344" s="29"/>
      <c r="JNL344" s="29"/>
      <c r="JNM344" s="29"/>
      <c r="JNN344" s="29"/>
      <c r="JNO344" s="29"/>
      <c r="JNP344" s="29"/>
      <c r="JNQ344" s="29"/>
      <c r="JNR344" s="29"/>
      <c r="JNS344" s="29"/>
      <c r="JNT344" s="29"/>
      <c r="JNU344" s="29"/>
      <c r="JNV344" s="29"/>
      <c r="JNW344" s="29"/>
      <c r="JNX344" s="29"/>
      <c r="JNY344" s="29"/>
      <c r="JNZ344" s="29"/>
      <c r="JOA344" s="29"/>
      <c r="JOB344" s="29"/>
      <c r="JOC344" s="29"/>
      <c r="JOD344" s="29"/>
      <c r="JOE344" s="29"/>
      <c r="JOF344" s="29"/>
      <c r="JOG344" s="29"/>
      <c r="JOH344" s="29"/>
      <c r="JOI344" s="29"/>
      <c r="JOJ344" s="29"/>
      <c r="JOK344" s="29"/>
      <c r="JOL344" s="29"/>
      <c r="JOM344" s="29"/>
      <c r="JON344" s="29"/>
      <c r="JOO344" s="29"/>
      <c r="JOP344" s="29"/>
      <c r="JOQ344" s="29"/>
      <c r="JOR344" s="29"/>
      <c r="JOS344" s="29"/>
      <c r="JOT344" s="29"/>
      <c r="JOU344" s="29"/>
      <c r="JOV344" s="29"/>
      <c r="JOW344" s="29"/>
      <c r="JOX344" s="29"/>
      <c r="JOY344" s="29"/>
      <c r="JOZ344" s="29"/>
      <c r="JPA344" s="29"/>
      <c r="JPB344" s="29"/>
      <c r="JPC344" s="29"/>
      <c r="JPD344" s="29"/>
      <c r="JPE344" s="29"/>
      <c r="JPF344" s="29"/>
      <c r="JPG344" s="29"/>
      <c r="JPH344" s="29"/>
      <c r="JPI344" s="29"/>
      <c r="JPJ344" s="29"/>
      <c r="JPK344" s="29"/>
      <c r="JPL344" s="29"/>
      <c r="JPM344" s="29"/>
      <c r="JPN344" s="29"/>
      <c r="JPO344" s="29"/>
      <c r="JPP344" s="29"/>
      <c r="JPQ344" s="29"/>
      <c r="JPR344" s="29"/>
      <c r="JPS344" s="29"/>
      <c r="JPT344" s="29"/>
      <c r="JPU344" s="29"/>
      <c r="JPV344" s="29"/>
      <c r="JPW344" s="29"/>
      <c r="JPX344" s="29"/>
      <c r="JPY344" s="29"/>
      <c r="JPZ344" s="29"/>
      <c r="JQA344" s="29"/>
      <c r="JQB344" s="29"/>
      <c r="JQC344" s="29"/>
      <c r="JQD344" s="29"/>
      <c r="JQE344" s="29"/>
      <c r="JQF344" s="29"/>
      <c r="JQG344" s="29"/>
      <c r="JQH344" s="29"/>
      <c r="JQI344" s="29"/>
      <c r="JQJ344" s="29"/>
      <c r="JQK344" s="29"/>
      <c r="JQL344" s="29"/>
      <c r="JQM344" s="29"/>
      <c r="JQN344" s="29"/>
      <c r="JQO344" s="29"/>
      <c r="JQP344" s="29"/>
      <c r="JQQ344" s="29"/>
      <c r="JQR344" s="29"/>
      <c r="JQS344" s="29"/>
      <c r="JQT344" s="29"/>
      <c r="JQU344" s="29"/>
      <c r="JQV344" s="29"/>
      <c r="JQW344" s="29"/>
      <c r="JQX344" s="29"/>
      <c r="JQY344" s="29"/>
      <c r="JQZ344" s="29"/>
      <c r="JRA344" s="29"/>
      <c r="JRB344" s="29"/>
      <c r="JRC344" s="29"/>
      <c r="JRD344" s="29"/>
      <c r="JRE344" s="29"/>
      <c r="JRF344" s="29"/>
      <c r="JRG344" s="29"/>
      <c r="JRH344" s="29"/>
      <c r="JRI344" s="29"/>
      <c r="JRJ344" s="29"/>
      <c r="JRK344" s="29"/>
      <c r="JRL344" s="29"/>
      <c r="JRM344" s="29"/>
      <c r="JRN344" s="29"/>
      <c r="JRO344" s="29"/>
      <c r="JRP344" s="29"/>
      <c r="JRQ344" s="29"/>
      <c r="JRR344" s="29"/>
      <c r="JRS344" s="29"/>
      <c r="JRT344" s="29"/>
      <c r="JRU344" s="29"/>
      <c r="JRV344" s="29"/>
      <c r="JRW344" s="29"/>
      <c r="JRX344" s="29"/>
      <c r="JRY344" s="29"/>
      <c r="JRZ344" s="29"/>
      <c r="JSA344" s="29"/>
      <c r="JSB344" s="29"/>
      <c r="JSC344" s="29"/>
      <c r="JSD344" s="29"/>
      <c r="JSE344" s="29"/>
      <c r="JSF344" s="29"/>
      <c r="JSG344" s="29"/>
      <c r="JSH344" s="29"/>
      <c r="JSI344" s="29"/>
      <c r="JSJ344" s="29"/>
      <c r="JSK344" s="29"/>
      <c r="JSL344" s="29"/>
      <c r="JSM344" s="29"/>
      <c r="JSN344" s="29"/>
      <c r="JSO344" s="29"/>
      <c r="JSP344" s="29"/>
      <c r="JSQ344" s="29"/>
      <c r="JSR344" s="29"/>
      <c r="JSS344" s="29"/>
      <c r="JST344" s="29"/>
      <c r="JSU344" s="29"/>
      <c r="JSV344" s="29"/>
      <c r="JSW344" s="29"/>
      <c r="JSX344" s="29"/>
      <c r="JSY344" s="29"/>
      <c r="JSZ344" s="29"/>
      <c r="JTA344" s="29"/>
      <c r="JTB344" s="29"/>
      <c r="JTC344" s="29"/>
      <c r="JTD344" s="29"/>
      <c r="JTE344" s="29"/>
      <c r="JTF344" s="29"/>
      <c r="JTG344" s="29"/>
      <c r="JTH344" s="29"/>
      <c r="JTI344" s="29"/>
      <c r="JTJ344" s="29"/>
      <c r="JTK344" s="29"/>
      <c r="JTL344" s="29"/>
      <c r="JTM344" s="29"/>
      <c r="JTN344" s="29"/>
      <c r="JTO344" s="29"/>
      <c r="JTP344" s="29"/>
      <c r="JTQ344" s="29"/>
      <c r="JTR344" s="29"/>
      <c r="JTS344" s="29"/>
      <c r="JTT344" s="29"/>
      <c r="JTU344" s="29"/>
      <c r="JTV344" s="29"/>
      <c r="JTW344" s="29"/>
      <c r="JTX344" s="29"/>
      <c r="JTY344" s="29"/>
      <c r="JTZ344" s="29"/>
      <c r="JUA344" s="29"/>
      <c r="JUB344" s="29"/>
      <c r="JUC344" s="29"/>
      <c r="JUD344" s="29"/>
      <c r="JUE344" s="29"/>
      <c r="JUF344" s="29"/>
      <c r="JUG344" s="29"/>
      <c r="JUH344" s="29"/>
      <c r="JUI344" s="29"/>
      <c r="JUJ344" s="29"/>
      <c r="JUK344" s="29"/>
      <c r="JUL344" s="29"/>
      <c r="JUM344" s="29"/>
      <c r="JUN344" s="29"/>
      <c r="JUO344" s="29"/>
      <c r="JUP344" s="29"/>
      <c r="JUQ344" s="29"/>
      <c r="JUR344" s="29"/>
      <c r="JUS344" s="29"/>
      <c r="JUT344" s="29"/>
      <c r="JUU344" s="29"/>
      <c r="JUV344" s="29"/>
      <c r="JUW344" s="29"/>
      <c r="JUX344" s="29"/>
      <c r="JUY344" s="29"/>
      <c r="JUZ344" s="29"/>
      <c r="JVA344" s="29"/>
      <c r="JVB344" s="29"/>
      <c r="JVC344" s="29"/>
      <c r="JVD344" s="29"/>
      <c r="JVE344" s="29"/>
      <c r="JVF344" s="29"/>
      <c r="JVG344" s="29"/>
      <c r="JVH344" s="29"/>
      <c r="JVI344" s="29"/>
      <c r="JVJ344" s="29"/>
      <c r="JVK344" s="29"/>
      <c r="JVL344" s="29"/>
      <c r="JVM344" s="29"/>
      <c r="JVN344" s="29"/>
      <c r="JVO344" s="29"/>
      <c r="JVP344" s="29"/>
      <c r="JVQ344" s="29"/>
      <c r="JVR344" s="29"/>
      <c r="JVS344" s="29"/>
      <c r="JVT344" s="29"/>
      <c r="JVU344" s="29"/>
      <c r="JVV344" s="29"/>
      <c r="JVW344" s="29"/>
      <c r="JVX344" s="29"/>
      <c r="JVY344" s="29"/>
      <c r="JVZ344" s="29"/>
      <c r="JWA344" s="29"/>
      <c r="JWB344" s="29"/>
      <c r="JWC344" s="29"/>
      <c r="JWD344" s="29"/>
      <c r="JWE344" s="29"/>
      <c r="JWF344" s="29"/>
      <c r="JWG344" s="29"/>
      <c r="JWH344" s="29"/>
      <c r="JWI344" s="29"/>
      <c r="JWJ344" s="29"/>
      <c r="JWK344" s="29"/>
      <c r="JWL344" s="29"/>
      <c r="JWM344" s="29"/>
      <c r="JWN344" s="29"/>
      <c r="JWO344" s="29"/>
      <c r="JWP344" s="29"/>
      <c r="JWQ344" s="29"/>
      <c r="JWR344" s="29"/>
      <c r="JWS344" s="29"/>
      <c r="JWT344" s="29"/>
      <c r="JWU344" s="29"/>
      <c r="JWV344" s="29"/>
      <c r="JWW344" s="29"/>
      <c r="JWX344" s="29"/>
      <c r="JWY344" s="29"/>
      <c r="JWZ344" s="29"/>
      <c r="JXA344" s="29"/>
      <c r="JXB344" s="29"/>
      <c r="JXC344" s="29"/>
      <c r="JXD344" s="29"/>
      <c r="JXE344" s="29"/>
      <c r="JXF344" s="29"/>
      <c r="JXG344" s="29"/>
      <c r="JXH344" s="29"/>
      <c r="JXI344" s="29"/>
      <c r="JXJ344" s="29"/>
      <c r="JXK344" s="29"/>
      <c r="JXL344" s="29"/>
      <c r="JXM344" s="29"/>
      <c r="JXN344" s="29"/>
      <c r="JXO344" s="29"/>
      <c r="JXP344" s="29"/>
      <c r="JXQ344" s="29"/>
      <c r="JXR344" s="29"/>
      <c r="JXS344" s="29"/>
      <c r="JXT344" s="29"/>
      <c r="JXU344" s="29"/>
      <c r="JXV344" s="29"/>
      <c r="JXW344" s="29"/>
      <c r="JXX344" s="29"/>
      <c r="JXY344" s="29"/>
      <c r="JXZ344" s="29"/>
      <c r="JYA344" s="29"/>
      <c r="JYB344" s="29"/>
      <c r="JYC344" s="29"/>
      <c r="JYD344" s="29"/>
      <c r="JYE344" s="29"/>
      <c r="JYF344" s="29"/>
      <c r="JYG344" s="29"/>
      <c r="JYH344" s="29"/>
      <c r="JYI344" s="29"/>
      <c r="JYJ344" s="29"/>
      <c r="JYK344" s="29"/>
      <c r="JYL344" s="29"/>
      <c r="JYM344" s="29"/>
      <c r="JYN344" s="29"/>
      <c r="JYO344" s="29"/>
      <c r="JYP344" s="29"/>
      <c r="JYQ344" s="29"/>
      <c r="JYR344" s="29"/>
      <c r="JYS344" s="29"/>
      <c r="JYT344" s="29"/>
      <c r="JYU344" s="29"/>
      <c r="JYV344" s="29"/>
      <c r="JYW344" s="29"/>
      <c r="JYX344" s="29"/>
      <c r="JYY344" s="29"/>
      <c r="JYZ344" s="29"/>
      <c r="JZA344" s="29"/>
      <c r="JZB344" s="29"/>
      <c r="JZC344" s="29"/>
      <c r="JZD344" s="29"/>
      <c r="JZE344" s="29"/>
      <c r="JZF344" s="29"/>
      <c r="JZG344" s="29"/>
      <c r="JZH344" s="29"/>
      <c r="JZI344" s="29"/>
      <c r="JZJ344" s="29"/>
      <c r="JZK344" s="29"/>
      <c r="JZL344" s="29"/>
      <c r="JZM344" s="29"/>
      <c r="JZN344" s="29"/>
      <c r="JZO344" s="29"/>
      <c r="JZP344" s="29"/>
      <c r="JZQ344" s="29"/>
      <c r="JZR344" s="29"/>
      <c r="JZS344" s="29"/>
      <c r="JZT344" s="29"/>
      <c r="JZU344" s="29"/>
      <c r="JZV344" s="29"/>
      <c r="JZW344" s="29"/>
      <c r="JZX344" s="29"/>
      <c r="JZY344" s="29"/>
      <c r="JZZ344" s="29"/>
      <c r="KAA344" s="29"/>
      <c r="KAB344" s="29"/>
      <c r="KAC344" s="29"/>
      <c r="KAD344" s="29"/>
      <c r="KAE344" s="29"/>
      <c r="KAF344" s="29"/>
      <c r="KAG344" s="29"/>
      <c r="KAH344" s="29"/>
      <c r="KAI344" s="29"/>
      <c r="KAJ344" s="29"/>
      <c r="KAK344" s="29"/>
      <c r="KAL344" s="29"/>
      <c r="KAM344" s="29"/>
      <c r="KAN344" s="29"/>
      <c r="KAO344" s="29"/>
      <c r="KAP344" s="29"/>
      <c r="KAQ344" s="29"/>
      <c r="KAR344" s="29"/>
      <c r="KAS344" s="29"/>
      <c r="KAT344" s="29"/>
      <c r="KAU344" s="29"/>
      <c r="KAV344" s="29"/>
      <c r="KAW344" s="29"/>
      <c r="KAX344" s="29"/>
      <c r="KAY344" s="29"/>
      <c r="KAZ344" s="29"/>
      <c r="KBA344" s="29"/>
      <c r="KBB344" s="29"/>
      <c r="KBC344" s="29"/>
      <c r="KBD344" s="29"/>
      <c r="KBE344" s="29"/>
      <c r="KBF344" s="29"/>
      <c r="KBG344" s="29"/>
      <c r="KBH344" s="29"/>
      <c r="KBI344" s="29"/>
      <c r="KBJ344" s="29"/>
      <c r="KBK344" s="29"/>
      <c r="KBL344" s="29"/>
      <c r="KBM344" s="29"/>
      <c r="KBN344" s="29"/>
      <c r="KBO344" s="29"/>
      <c r="KBP344" s="29"/>
      <c r="KBQ344" s="29"/>
      <c r="KBR344" s="29"/>
      <c r="KBS344" s="29"/>
      <c r="KBT344" s="29"/>
      <c r="KBU344" s="29"/>
      <c r="KBV344" s="29"/>
      <c r="KBW344" s="29"/>
      <c r="KBX344" s="29"/>
      <c r="KBY344" s="29"/>
      <c r="KBZ344" s="29"/>
      <c r="KCA344" s="29"/>
      <c r="KCB344" s="29"/>
      <c r="KCC344" s="29"/>
      <c r="KCD344" s="29"/>
      <c r="KCE344" s="29"/>
      <c r="KCF344" s="29"/>
      <c r="KCG344" s="29"/>
      <c r="KCH344" s="29"/>
      <c r="KCI344" s="29"/>
      <c r="KCJ344" s="29"/>
      <c r="KCK344" s="29"/>
      <c r="KCL344" s="29"/>
      <c r="KCM344" s="29"/>
      <c r="KCN344" s="29"/>
      <c r="KCO344" s="29"/>
      <c r="KCP344" s="29"/>
      <c r="KCQ344" s="29"/>
      <c r="KCR344" s="29"/>
      <c r="KCS344" s="29"/>
      <c r="KCT344" s="29"/>
      <c r="KCU344" s="29"/>
      <c r="KCV344" s="29"/>
      <c r="KCW344" s="29"/>
      <c r="KCX344" s="29"/>
      <c r="KCY344" s="29"/>
      <c r="KCZ344" s="29"/>
      <c r="KDA344" s="29"/>
      <c r="KDB344" s="29"/>
      <c r="KDC344" s="29"/>
      <c r="KDD344" s="29"/>
      <c r="KDE344" s="29"/>
      <c r="KDF344" s="29"/>
      <c r="KDG344" s="29"/>
      <c r="KDH344" s="29"/>
      <c r="KDI344" s="29"/>
      <c r="KDJ344" s="29"/>
      <c r="KDK344" s="29"/>
      <c r="KDL344" s="29"/>
      <c r="KDM344" s="29"/>
      <c r="KDN344" s="29"/>
      <c r="KDO344" s="29"/>
      <c r="KDP344" s="29"/>
      <c r="KDQ344" s="29"/>
      <c r="KDR344" s="29"/>
      <c r="KDS344" s="29"/>
      <c r="KDT344" s="29"/>
      <c r="KDU344" s="29"/>
      <c r="KDV344" s="29"/>
      <c r="KDW344" s="29"/>
      <c r="KDX344" s="29"/>
      <c r="KDY344" s="29"/>
      <c r="KDZ344" s="29"/>
      <c r="KEA344" s="29"/>
      <c r="KEB344" s="29"/>
      <c r="KEC344" s="29"/>
      <c r="KED344" s="29"/>
      <c r="KEE344" s="29"/>
      <c r="KEF344" s="29"/>
      <c r="KEG344" s="29"/>
      <c r="KEH344" s="29"/>
      <c r="KEI344" s="29"/>
      <c r="KEJ344" s="29"/>
      <c r="KEK344" s="29"/>
      <c r="KEL344" s="29"/>
      <c r="KEM344" s="29"/>
      <c r="KEN344" s="29"/>
      <c r="KEO344" s="29"/>
      <c r="KEP344" s="29"/>
      <c r="KEQ344" s="29"/>
      <c r="KER344" s="29"/>
      <c r="KES344" s="29"/>
      <c r="KET344" s="29"/>
      <c r="KEU344" s="29"/>
      <c r="KEV344" s="29"/>
      <c r="KEW344" s="29"/>
      <c r="KEX344" s="29"/>
      <c r="KEY344" s="29"/>
      <c r="KEZ344" s="29"/>
      <c r="KFA344" s="29"/>
      <c r="KFB344" s="29"/>
      <c r="KFC344" s="29"/>
      <c r="KFD344" s="29"/>
      <c r="KFE344" s="29"/>
      <c r="KFF344" s="29"/>
      <c r="KFG344" s="29"/>
      <c r="KFH344" s="29"/>
      <c r="KFI344" s="29"/>
      <c r="KFJ344" s="29"/>
      <c r="KFK344" s="29"/>
      <c r="KFL344" s="29"/>
      <c r="KFM344" s="29"/>
      <c r="KFN344" s="29"/>
      <c r="KFO344" s="29"/>
      <c r="KFP344" s="29"/>
      <c r="KFQ344" s="29"/>
      <c r="KFR344" s="29"/>
      <c r="KFS344" s="29"/>
      <c r="KFT344" s="29"/>
      <c r="KFU344" s="29"/>
      <c r="KFV344" s="29"/>
      <c r="KFW344" s="29"/>
      <c r="KFX344" s="29"/>
      <c r="KFY344" s="29"/>
      <c r="KFZ344" s="29"/>
      <c r="KGA344" s="29"/>
      <c r="KGB344" s="29"/>
      <c r="KGC344" s="29"/>
      <c r="KGD344" s="29"/>
      <c r="KGE344" s="29"/>
      <c r="KGF344" s="29"/>
      <c r="KGG344" s="29"/>
      <c r="KGH344" s="29"/>
      <c r="KGI344" s="29"/>
      <c r="KGJ344" s="29"/>
      <c r="KGK344" s="29"/>
      <c r="KGL344" s="29"/>
      <c r="KGM344" s="29"/>
      <c r="KGN344" s="29"/>
      <c r="KGO344" s="29"/>
      <c r="KGP344" s="29"/>
      <c r="KGQ344" s="29"/>
      <c r="KGR344" s="29"/>
      <c r="KGS344" s="29"/>
      <c r="KGT344" s="29"/>
      <c r="KGU344" s="29"/>
      <c r="KGV344" s="29"/>
      <c r="KGW344" s="29"/>
      <c r="KGX344" s="29"/>
      <c r="KGY344" s="29"/>
      <c r="KGZ344" s="29"/>
      <c r="KHA344" s="29"/>
      <c r="KHB344" s="29"/>
      <c r="KHC344" s="29"/>
      <c r="KHD344" s="29"/>
      <c r="KHE344" s="29"/>
      <c r="KHF344" s="29"/>
      <c r="KHG344" s="29"/>
      <c r="KHH344" s="29"/>
      <c r="KHI344" s="29"/>
      <c r="KHJ344" s="29"/>
      <c r="KHK344" s="29"/>
      <c r="KHL344" s="29"/>
      <c r="KHM344" s="29"/>
      <c r="KHN344" s="29"/>
      <c r="KHO344" s="29"/>
      <c r="KHP344" s="29"/>
      <c r="KHQ344" s="29"/>
      <c r="KHR344" s="29"/>
      <c r="KHS344" s="29"/>
      <c r="KHT344" s="29"/>
      <c r="KHU344" s="29"/>
      <c r="KHV344" s="29"/>
      <c r="KHW344" s="29"/>
      <c r="KHX344" s="29"/>
      <c r="KHY344" s="29"/>
      <c r="KHZ344" s="29"/>
      <c r="KIA344" s="29"/>
      <c r="KIB344" s="29"/>
      <c r="KIC344" s="29"/>
      <c r="KID344" s="29"/>
      <c r="KIE344" s="29"/>
      <c r="KIF344" s="29"/>
      <c r="KIG344" s="29"/>
      <c r="KIH344" s="29"/>
      <c r="KII344" s="29"/>
      <c r="KIJ344" s="29"/>
      <c r="KIK344" s="29"/>
      <c r="KIL344" s="29"/>
      <c r="KIM344" s="29"/>
      <c r="KIN344" s="29"/>
      <c r="KIO344" s="29"/>
      <c r="KIP344" s="29"/>
      <c r="KIQ344" s="29"/>
      <c r="KIR344" s="29"/>
      <c r="KIS344" s="29"/>
      <c r="KIT344" s="29"/>
      <c r="KIU344" s="29"/>
      <c r="KIV344" s="29"/>
      <c r="KIW344" s="29"/>
      <c r="KIX344" s="29"/>
      <c r="KIY344" s="29"/>
      <c r="KIZ344" s="29"/>
      <c r="KJA344" s="29"/>
      <c r="KJB344" s="29"/>
      <c r="KJC344" s="29"/>
      <c r="KJD344" s="29"/>
      <c r="KJE344" s="29"/>
      <c r="KJF344" s="29"/>
      <c r="KJG344" s="29"/>
      <c r="KJH344" s="29"/>
      <c r="KJI344" s="29"/>
      <c r="KJJ344" s="29"/>
      <c r="KJK344" s="29"/>
      <c r="KJL344" s="29"/>
      <c r="KJM344" s="29"/>
      <c r="KJN344" s="29"/>
      <c r="KJO344" s="29"/>
      <c r="KJP344" s="29"/>
      <c r="KJQ344" s="29"/>
      <c r="KJR344" s="29"/>
      <c r="KJS344" s="29"/>
      <c r="KJT344" s="29"/>
      <c r="KJU344" s="29"/>
      <c r="KJV344" s="29"/>
      <c r="KJW344" s="29"/>
      <c r="KJX344" s="29"/>
      <c r="KJY344" s="29"/>
      <c r="KJZ344" s="29"/>
      <c r="KKA344" s="29"/>
      <c r="KKB344" s="29"/>
      <c r="KKC344" s="29"/>
      <c r="KKD344" s="29"/>
      <c r="KKE344" s="29"/>
      <c r="KKF344" s="29"/>
      <c r="KKG344" s="29"/>
      <c r="KKH344" s="29"/>
      <c r="KKI344" s="29"/>
      <c r="KKJ344" s="29"/>
      <c r="KKK344" s="29"/>
      <c r="KKL344" s="29"/>
      <c r="KKM344" s="29"/>
      <c r="KKN344" s="29"/>
      <c r="KKO344" s="29"/>
      <c r="KKP344" s="29"/>
      <c r="KKQ344" s="29"/>
      <c r="KKR344" s="29"/>
      <c r="KKS344" s="29"/>
      <c r="KKT344" s="29"/>
      <c r="KKU344" s="29"/>
      <c r="KKV344" s="29"/>
      <c r="KKW344" s="29"/>
      <c r="KKX344" s="29"/>
      <c r="KKY344" s="29"/>
      <c r="KKZ344" s="29"/>
      <c r="KLA344" s="29"/>
      <c r="KLB344" s="29"/>
      <c r="KLC344" s="29"/>
      <c r="KLD344" s="29"/>
      <c r="KLE344" s="29"/>
      <c r="KLF344" s="29"/>
      <c r="KLG344" s="29"/>
      <c r="KLH344" s="29"/>
      <c r="KLI344" s="29"/>
      <c r="KLJ344" s="29"/>
      <c r="KLK344" s="29"/>
      <c r="KLL344" s="29"/>
      <c r="KLM344" s="29"/>
      <c r="KLN344" s="29"/>
      <c r="KLO344" s="29"/>
      <c r="KLP344" s="29"/>
      <c r="KLQ344" s="29"/>
      <c r="KLR344" s="29"/>
      <c r="KLS344" s="29"/>
      <c r="KLT344" s="29"/>
      <c r="KLU344" s="29"/>
      <c r="KLV344" s="29"/>
      <c r="KLW344" s="29"/>
      <c r="KLX344" s="29"/>
      <c r="KLY344" s="29"/>
      <c r="KLZ344" s="29"/>
      <c r="KMA344" s="29"/>
      <c r="KMB344" s="29"/>
      <c r="KMC344" s="29"/>
      <c r="KMD344" s="29"/>
      <c r="KME344" s="29"/>
      <c r="KMF344" s="29"/>
      <c r="KMG344" s="29"/>
      <c r="KMH344" s="29"/>
      <c r="KMI344" s="29"/>
      <c r="KMJ344" s="29"/>
      <c r="KMK344" s="29"/>
      <c r="KML344" s="29"/>
      <c r="KMM344" s="29"/>
      <c r="KMN344" s="29"/>
      <c r="KMO344" s="29"/>
      <c r="KMP344" s="29"/>
      <c r="KMQ344" s="29"/>
      <c r="KMR344" s="29"/>
      <c r="KMS344" s="29"/>
      <c r="KMT344" s="29"/>
      <c r="KMU344" s="29"/>
      <c r="KMV344" s="29"/>
      <c r="KMW344" s="29"/>
      <c r="KMX344" s="29"/>
      <c r="KMY344" s="29"/>
      <c r="KMZ344" s="29"/>
      <c r="KNA344" s="29"/>
      <c r="KNB344" s="29"/>
      <c r="KNC344" s="29"/>
      <c r="KND344" s="29"/>
      <c r="KNE344" s="29"/>
      <c r="KNF344" s="29"/>
      <c r="KNG344" s="29"/>
      <c r="KNH344" s="29"/>
      <c r="KNI344" s="29"/>
      <c r="KNJ344" s="29"/>
      <c r="KNK344" s="29"/>
      <c r="KNL344" s="29"/>
      <c r="KNM344" s="29"/>
      <c r="KNN344" s="29"/>
      <c r="KNO344" s="29"/>
      <c r="KNP344" s="29"/>
      <c r="KNQ344" s="29"/>
      <c r="KNR344" s="29"/>
      <c r="KNS344" s="29"/>
      <c r="KNT344" s="29"/>
      <c r="KNU344" s="29"/>
      <c r="KNV344" s="29"/>
      <c r="KNW344" s="29"/>
      <c r="KNX344" s="29"/>
      <c r="KNY344" s="29"/>
      <c r="KNZ344" s="29"/>
      <c r="KOA344" s="29"/>
      <c r="KOB344" s="29"/>
      <c r="KOC344" s="29"/>
      <c r="KOD344" s="29"/>
      <c r="KOE344" s="29"/>
      <c r="KOF344" s="29"/>
      <c r="KOG344" s="29"/>
      <c r="KOH344" s="29"/>
      <c r="KOI344" s="29"/>
      <c r="KOJ344" s="29"/>
      <c r="KOK344" s="29"/>
      <c r="KOL344" s="29"/>
      <c r="KOM344" s="29"/>
      <c r="KON344" s="29"/>
      <c r="KOO344" s="29"/>
      <c r="KOP344" s="29"/>
      <c r="KOQ344" s="29"/>
      <c r="KOR344" s="29"/>
      <c r="KOS344" s="29"/>
      <c r="KOT344" s="29"/>
      <c r="KOU344" s="29"/>
      <c r="KOV344" s="29"/>
      <c r="KOW344" s="29"/>
      <c r="KOX344" s="29"/>
      <c r="KOY344" s="29"/>
      <c r="KOZ344" s="29"/>
      <c r="KPA344" s="29"/>
      <c r="KPB344" s="29"/>
      <c r="KPC344" s="29"/>
      <c r="KPD344" s="29"/>
      <c r="KPE344" s="29"/>
      <c r="KPF344" s="29"/>
      <c r="KPG344" s="29"/>
      <c r="KPH344" s="29"/>
      <c r="KPI344" s="29"/>
      <c r="KPJ344" s="29"/>
      <c r="KPK344" s="29"/>
      <c r="KPL344" s="29"/>
      <c r="KPM344" s="29"/>
      <c r="KPN344" s="29"/>
      <c r="KPO344" s="29"/>
      <c r="KPP344" s="29"/>
      <c r="KPQ344" s="29"/>
      <c r="KPR344" s="29"/>
      <c r="KPS344" s="29"/>
      <c r="KPT344" s="29"/>
      <c r="KPU344" s="29"/>
      <c r="KPV344" s="29"/>
      <c r="KPW344" s="29"/>
      <c r="KPX344" s="29"/>
      <c r="KPY344" s="29"/>
      <c r="KPZ344" s="29"/>
      <c r="KQA344" s="29"/>
      <c r="KQB344" s="29"/>
      <c r="KQC344" s="29"/>
      <c r="KQD344" s="29"/>
      <c r="KQE344" s="29"/>
      <c r="KQF344" s="29"/>
      <c r="KQG344" s="29"/>
      <c r="KQH344" s="29"/>
      <c r="KQI344" s="29"/>
      <c r="KQJ344" s="29"/>
      <c r="KQK344" s="29"/>
      <c r="KQL344" s="29"/>
      <c r="KQM344" s="29"/>
      <c r="KQN344" s="29"/>
      <c r="KQO344" s="29"/>
      <c r="KQP344" s="29"/>
      <c r="KQQ344" s="29"/>
      <c r="KQR344" s="29"/>
      <c r="KQS344" s="29"/>
      <c r="KQT344" s="29"/>
      <c r="KQU344" s="29"/>
      <c r="KQV344" s="29"/>
      <c r="KQW344" s="29"/>
      <c r="KQX344" s="29"/>
      <c r="KQY344" s="29"/>
      <c r="KQZ344" s="29"/>
      <c r="KRA344" s="29"/>
      <c r="KRB344" s="29"/>
      <c r="KRC344" s="29"/>
      <c r="KRD344" s="29"/>
      <c r="KRE344" s="29"/>
      <c r="KRF344" s="29"/>
      <c r="KRG344" s="29"/>
      <c r="KRH344" s="29"/>
      <c r="KRI344" s="29"/>
      <c r="KRJ344" s="29"/>
      <c r="KRK344" s="29"/>
      <c r="KRL344" s="29"/>
      <c r="KRM344" s="29"/>
      <c r="KRN344" s="29"/>
      <c r="KRO344" s="29"/>
      <c r="KRP344" s="29"/>
      <c r="KRQ344" s="29"/>
      <c r="KRR344" s="29"/>
      <c r="KRS344" s="29"/>
      <c r="KRT344" s="29"/>
      <c r="KRU344" s="29"/>
      <c r="KRV344" s="29"/>
      <c r="KRW344" s="29"/>
      <c r="KRX344" s="29"/>
      <c r="KRY344" s="29"/>
      <c r="KRZ344" s="29"/>
      <c r="KSA344" s="29"/>
      <c r="KSB344" s="29"/>
      <c r="KSC344" s="29"/>
      <c r="KSD344" s="29"/>
      <c r="KSE344" s="29"/>
      <c r="KSF344" s="29"/>
      <c r="KSG344" s="29"/>
      <c r="KSH344" s="29"/>
      <c r="KSI344" s="29"/>
      <c r="KSJ344" s="29"/>
      <c r="KSK344" s="29"/>
      <c r="KSL344" s="29"/>
      <c r="KSM344" s="29"/>
      <c r="KSN344" s="29"/>
      <c r="KSO344" s="29"/>
      <c r="KSP344" s="29"/>
      <c r="KSQ344" s="29"/>
      <c r="KSR344" s="29"/>
      <c r="KSS344" s="29"/>
      <c r="KST344" s="29"/>
      <c r="KSU344" s="29"/>
      <c r="KSV344" s="29"/>
      <c r="KSW344" s="29"/>
      <c r="KSX344" s="29"/>
      <c r="KSY344" s="29"/>
      <c r="KSZ344" s="29"/>
      <c r="KTA344" s="29"/>
      <c r="KTB344" s="29"/>
      <c r="KTC344" s="29"/>
      <c r="KTD344" s="29"/>
      <c r="KTE344" s="29"/>
      <c r="KTF344" s="29"/>
      <c r="KTG344" s="29"/>
      <c r="KTH344" s="29"/>
      <c r="KTI344" s="29"/>
      <c r="KTJ344" s="29"/>
      <c r="KTK344" s="29"/>
      <c r="KTL344" s="29"/>
      <c r="KTM344" s="29"/>
      <c r="KTN344" s="29"/>
      <c r="KTO344" s="29"/>
      <c r="KTP344" s="29"/>
      <c r="KTQ344" s="29"/>
      <c r="KTR344" s="29"/>
      <c r="KTS344" s="29"/>
      <c r="KTT344" s="29"/>
      <c r="KTU344" s="29"/>
      <c r="KTV344" s="29"/>
      <c r="KTW344" s="29"/>
      <c r="KTX344" s="29"/>
      <c r="KTY344" s="29"/>
      <c r="KTZ344" s="29"/>
      <c r="KUA344" s="29"/>
      <c r="KUB344" s="29"/>
      <c r="KUC344" s="29"/>
      <c r="KUD344" s="29"/>
      <c r="KUE344" s="29"/>
      <c r="KUF344" s="29"/>
      <c r="KUG344" s="29"/>
      <c r="KUH344" s="29"/>
      <c r="KUI344" s="29"/>
      <c r="KUJ344" s="29"/>
      <c r="KUK344" s="29"/>
      <c r="KUL344" s="29"/>
      <c r="KUM344" s="29"/>
      <c r="KUN344" s="29"/>
      <c r="KUO344" s="29"/>
      <c r="KUP344" s="29"/>
      <c r="KUQ344" s="29"/>
      <c r="KUR344" s="29"/>
      <c r="KUS344" s="29"/>
      <c r="KUT344" s="29"/>
      <c r="KUU344" s="29"/>
      <c r="KUV344" s="29"/>
      <c r="KUW344" s="29"/>
      <c r="KUX344" s="29"/>
      <c r="KUY344" s="29"/>
      <c r="KUZ344" s="29"/>
      <c r="KVA344" s="29"/>
      <c r="KVB344" s="29"/>
      <c r="KVC344" s="29"/>
      <c r="KVD344" s="29"/>
      <c r="KVE344" s="29"/>
      <c r="KVF344" s="29"/>
      <c r="KVG344" s="29"/>
      <c r="KVH344" s="29"/>
      <c r="KVI344" s="29"/>
      <c r="KVJ344" s="29"/>
      <c r="KVK344" s="29"/>
      <c r="KVL344" s="29"/>
      <c r="KVM344" s="29"/>
      <c r="KVN344" s="29"/>
      <c r="KVO344" s="29"/>
      <c r="KVP344" s="29"/>
      <c r="KVQ344" s="29"/>
      <c r="KVR344" s="29"/>
      <c r="KVS344" s="29"/>
      <c r="KVT344" s="29"/>
      <c r="KVU344" s="29"/>
      <c r="KVV344" s="29"/>
      <c r="KVW344" s="29"/>
      <c r="KVX344" s="29"/>
      <c r="KVY344" s="29"/>
      <c r="KVZ344" s="29"/>
      <c r="KWA344" s="29"/>
      <c r="KWB344" s="29"/>
      <c r="KWC344" s="29"/>
      <c r="KWD344" s="29"/>
      <c r="KWE344" s="29"/>
      <c r="KWF344" s="29"/>
      <c r="KWG344" s="29"/>
      <c r="KWH344" s="29"/>
      <c r="KWI344" s="29"/>
      <c r="KWJ344" s="29"/>
      <c r="KWK344" s="29"/>
      <c r="KWL344" s="29"/>
      <c r="KWM344" s="29"/>
      <c r="KWN344" s="29"/>
      <c r="KWO344" s="29"/>
      <c r="KWP344" s="29"/>
      <c r="KWQ344" s="29"/>
      <c r="KWR344" s="29"/>
      <c r="KWS344" s="29"/>
      <c r="KWT344" s="29"/>
      <c r="KWU344" s="29"/>
      <c r="KWV344" s="29"/>
      <c r="KWW344" s="29"/>
      <c r="KWX344" s="29"/>
      <c r="KWY344" s="29"/>
      <c r="KWZ344" s="29"/>
      <c r="KXA344" s="29"/>
      <c r="KXB344" s="29"/>
      <c r="KXC344" s="29"/>
      <c r="KXD344" s="29"/>
      <c r="KXE344" s="29"/>
      <c r="KXF344" s="29"/>
      <c r="KXG344" s="29"/>
      <c r="KXH344" s="29"/>
      <c r="KXI344" s="29"/>
      <c r="KXJ344" s="29"/>
      <c r="KXK344" s="29"/>
      <c r="KXL344" s="29"/>
      <c r="KXM344" s="29"/>
      <c r="KXN344" s="29"/>
      <c r="KXO344" s="29"/>
      <c r="KXP344" s="29"/>
      <c r="KXQ344" s="29"/>
      <c r="KXR344" s="29"/>
      <c r="KXS344" s="29"/>
      <c r="KXT344" s="29"/>
      <c r="KXU344" s="29"/>
      <c r="KXV344" s="29"/>
      <c r="KXW344" s="29"/>
      <c r="KXX344" s="29"/>
      <c r="KXY344" s="29"/>
      <c r="KXZ344" s="29"/>
      <c r="KYA344" s="29"/>
      <c r="KYB344" s="29"/>
      <c r="KYC344" s="29"/>
      <c r="KYD344" s="29"/>
      <c r="KYE344" s="29"/>
      <c r="KYF344" s="29"/>
      <c r="KYG344" s="29"/>
      <c r="KYH344" s="29"/>
      <c r="KYI344" s="29"/>
      <c r="KYJ344" s="29"/>
      <c r="KYK344" s="29"/>
      <c r="KYL344" s="29"/>
      <c r="KYM344" s="29"/>
      <c r="KYN344" s="29"/>
      <c r="KYO344" s="29"/>
      <c r="KYP344" s="29"/>
      <c r="KYQ344" s="29"/>
      <c r="KYR344" s="29"/>
      <c r="KYS344" s="29"/>
      <c r="KYT344" s="29"/>
      <c r="KYU344" s="29"/>
      <c r="KYV344" s="29"/>
      <c r="KYW344" s="29"/>
      <c r="KYX344" s="29"/>
      <c r="KYY344" s="29"/>
      <c r="KYZ344" s="29"/>
      <c r="KZA344" s="29"/>
      <c r="KZB344" s="29"/>
      <c r="KZC344" s="29"/>
      <c r="KZD344" s="29"/>
      <c r="KZE344" s="29"/>
      <c r="KZF344" s="29"/>
      <c r="KZG344" s="29"/>
      <c r="KZH344" s="29"/>
      <c r="KZI344" s="29"/>
      <c r="KZJ344" s="29"/>
      <c r="KZK344" s="29"/>
      <c r="KZL344" s="29"/>
      <c r="KZM344" s="29"/>
      <c r="KZN344" s="29"/>
      <c r="KZO344" s="29"/>
      <c r="KZP344" s="29"/>
      <c r="KZQ344" s="29"/>
      <c r="KZR344" s="29"/>
      <c r="KZS344" s="29"/>
      <c r="KZT344" s="29"/>
      <c r="KZU344" s="29"/>
      <c r="KZV344" s="29"/>
      <c r="KZW344" s="29"/>
      <c r="KZX344" s="29"/>
      <c r="KZY344" s="29"/>
      <c r="KZZ344" s="29"/>
      <c r="LAA344" s="29"/>
      <c r="LAB344" s="29"/>
      <c r="LAC344" s="29"/>
      <c r="LAD344" s="29"/>
      <c r="LAE344" s="29"/>
      <c r="LAF344" s="29"/>
      <c r="LAG344" s="29"/>
      <c r="LAH344" s="29"/>
      <c r="LAI344" s="29"/>
      <c r="LAJ344" s="29"/>
      <c r="LAK344" s="29"/>
      <c r="LAL344" s="29"/>
      <c r="LAM344" s="29"/>
      <c r="LAN344" s="29"/>
      <c r="LAO344" s="29"/>
      <c r="LAP344" s="29"/>
      <c r="LAQ344" s="29"/>
      <c r="LAR344" s="29"/>
      <c r="LAS344" s="29"/>
      <c r="LAT344" s="29"/>
      <c r="LAU344" s="29"/>
      <c r="LAV344" s="29"/>
      <c r="LAW344" s="29"/>
      <c r="LAX344" s="29"/>
      <c r="LAY344" s="29"/>
      <c r="LAZ344" s="29"/>
      <c r="LBA344" s="29"/>
      <c r="LBB344" s="29"/>
      <c r="LBC344" s="29"/>
      <c r="LBD344" s="29"/>
      <c r="LBE344" s="29"/>
      <c r="LBF344" s="29"/>
      <c r="LBG344" s="29"/>
      <c r="LBH344" s="29"/>
      <c r="LBI344" s="29"/>
      <c r="LBJ344" s="29"/>
      <c r="LBK344" s="29"/>
      <c r="LBL344" s="29"/>
      <c r="LBM344" s="29"/>
      <c r="LBN344" s="29"/>
      <c r="LBO344" s="29"/>
      <c r="LBP344" s="29"/>
      <c r="LBQ344" s="29"/>
      <c r="LBR344" s="29"/>
      <c r="LBS344" s="29"/>
      <c r="LBT344" s="29"/>
      <c r="LBU344" s="29"/>
      <c r="LBV344" s="29"/>
      <c r="LBW344" s="29"/>
      <c r="LBX344" s="29"/>
      <c r="LBY344" s="29"/>
      <c r="LBZ344" s="29"/>
      <c r="LCA344" s="29"/>
      <c r="LCB344" s="29"/>
      <c r="LCC344" s="29"/>
      <c r="LCD344" s="29"/>
      <c r="LCE344" s="29"/>
      <c r="LCF344" s="29"/>
      <c r="LCG344" s="29"/>
      <c r="LCH344" s="29"/>
      <c r="LCI344" s="29"/>
      <c r="LCJ344" s="29"/>
      <c r="LCK344" s="29"/>
      <c r="LCL344" s="29"/>
      <c r="LCM344" s="29"/>
      <c r="LCN344" s="29"/>
      <c r="LCO344" s="29"/>
      <c r="LCP344" s="29"/>
      <c r="LCQ344" s="29"/>
      <c r="LCR344" s="29"/>
      <c r="LCS344" s="29"/>
      <c r="LCT344" s="29"/>
      <c r="LCU344" s="29"/>
      <c r="LCV344" s="29"/>
      <c r="LCW344" s="29"/>
      <c r="LCX344" s="29"/>
      <c r="LCY344" s="29"/>
      <c r="LCZ344" s="29"/>
      <c r="LDA344" s="29"/>
      <c r="LDB344" s="29"/>
      <c r="LDC344" s="29"/>
      <c r="LDD344" s="29"/>
      <c r="LDE344" s="29"/>
      <c r="LDF344" s="29"/>
      <c r="LDG344" s="29"/>
      <c r="LDH344" s="29"/>
      <c r="LDI344" s="29"/>
      <c r="LDJ344" s="29"/>
      <c r="LDK344" s="29"/>
      <c r="LDL344" s="29"/>
      <c r="LDM344" s="29"/>
      <c r="LDN344" s="29"/>
      <c r="LDO344" s="29"/>
      <c r="LDP344" s="29"/>
      <c r="LDQ344" s="29"/>
      <c r="LDR344" s="29"/>
      <c r="LDS344" s="29"/>
      <c r="LDT344" s="29"/>
      <c r="LDU344" s="29"/>
      <c r="LDV344" s="29"/>
      <c r="LDW344" s="29"/>
      <c r="LDX344" s="29"/>
      <c r="LDY344" s="29"/>
      <c r="LDZ344" s="29"/>
      <c r="LEA344" s="29"/>
      <c r="LEB344" s="29"/>
      <c r="LEC344" s="29"/>
      <c r="LED344" s="29"/>
      <c r="LEE344" s="29"/>
      <c r="LEF344" s="29"/>
      <c r="LEG344" s="29"/>
      <c r="LEH344" s="29"/>
      <c r="LEI344" s="29"/>
      <c r="LEJ344" s="29"/>
      <c r="LEK344" s="29"/>
      <c r="LEL344" s="29"/>
      <c r="LEM344" s="29"/>
      <c r="LEN344" s="29"/>
      <c r="LEO344" s="29"/>
      <c r="LEP344" s="29"/>
      <c r="LEQ344" s="29"/>
      <c r="LER344" s="29"/>
      <c r="LES344" s="29"/>
      <c r="LET344" s="29"/>
      <c r="LEU344" s="29"/>
      <c r="LEV344" s="29"/>
      <c r="LEW344" s="29"/>
      <c r="LEX344" s="29"/>
      <c r="LEY344" s="29"/>
      <c r="LEZ344" s="29"/>
      <c r="LFA344" s="29"/>
      <c r="LFB344" s="29"/>
      <c r="LFC344" s="29"/>
      <c r="LFD344" s="29"/>
      <c r="LFE344" s="29"/>
      <c r="LFF344" s="29"/>
      <c r="LFG344" s="29"/>
      <c r="LFH344" s="29"/>
      <c r="LFI344" s="29"/>
      <c r="LFJ344" s="29"/>
      <c r="LFK344" s="29"/>
      <c r="LFL344" s="29"/>
      <c r="LFM344" s="29"/>
      <c r="LFN344" s="29"/>
      <c r="LFO344" s="29"/>
      <c r="LFP344" s="29"/>
      <c r="LFQ344" s="29"/>
      <c r="LFR344" s="29"/>
      <c r="LFS344" s="29"/>
      <c r="LFT344" s="29"/>
      <c r="LFU344" s="29"/>
      <c r="LFV344" s="29"/>
      <c r="LFW344" s="29"/>
      <c r="LFX344" s="29"/>
      <c r="LFY344" s="29"/>
      <c r="LFZ344" s="29"/>
      <c r="LGA344" s="29"/>
      <c r="LGB344" s="29"/>
      <c r="LGC344" s="29"/>
      <c r="LGD344" s="29"/>
      <c r="LGE344" s="29"/>
      <c r="LGF344" s="29"/>
      <c r="LGG344" s="29"/>
      <c r="LGH344" s="29"/>
      <c r="LGI344" s="29"/>
      <c r="LGJ344" s="29"/>
      <c r="LGK344" s="29"/>
      <c r="LGL344" s="29"/>
      <c r="LGM344" s="29"/>
      <c r="LGN344" s="29"/>
      <c r="LGO344" s="29"/>
      <c r="LGP344" s="29"/>
      <c r="LGQ344" s="29"/>
      <c r="LGR344" s="29"/>
      <c r="LGS344" s="29"/>
      <c r="LGT344" s="29"/>
      <c r="LGU344" s="29"/>
      <c r="LGV344" s="29"/>
      <c r="LGW344" s="29"/>
      <c r="LGX344" s="29"/>
      <c r="LGY344" s="29"/>
      <c r="LGZ344" s="29"/>
      <c r="LHA344" s="29"/>
      <c r="LHB344" s="29"/>
      <c r="LHC344" s="29"/>
      <c r="LHD344" s="29"/>
      <c r="LHE344" s="29"/>
      <c r="LHF344" s="29"/>
      <c r="LHG344" s="29"/>
      <c r="LHH344" s="29"/>
      <c r="LHI344" s="29"/>
      <c r="LHJ344" s="29"/>
      <c r="LHK344" s="29"/>
      <c r="LHL344" s="29"/>
      <c r="LHM344" s="29"/>
      <c r="LHN344" s="29"/>
      <c r="LHO344" s="29"/>
      <c r="LHP344" s="29"/>
      <c r="LHQ344" s="29"/>
      <c r="LHR344" s="29"/>
      <c r="LHS344" s="29"/>
      <c r="LHT344" s="29"/>
      <c r="LHU344" s="29"/>
      <c r="LHV344" s="29"/>
      <c r="LHW344" s="29"/>
      <c r="LHX344" s="29"/>
      <c r="LHY344" s="29"/>
      <c r="LHZ344" s="29"/>
      <c r="LIA344" s="29"/>
      <c r="LIB344" s="29"/>
      <c r="LIC344" s="29"/>
      <c r="LID344" s="29"/>
      <c r="LIE344" s="29"/>
      <c r="LIF344" s="29"/>
      <c r="LIG344" s="29"/>
      <c r="LIH344" s="29"/>
      <c r="LII344" s="29"/>
      <c r="LIJ344" s="29"/>
      <c r="LIK344" s="29"/>
      <c r="LIL344" s="29"/>
      <c r="LIM344" s="29"/>
      <c r="LIN344" s="29"/>
      <c r="LIO344" s="29"/>
      <c r="LIP344" s="29"/>
      <c r="LIQ344" s="29"/>
      <c r="LIR344" s="29"/>
      <c r="LIS344" s="29"/>
      <c r="LIT344" s="29"/>
      <c r="LIU344" s="29"/>
      <c r="LIV344" s="29"/>
      <c r="LIW344" s="29"/>
      <c r="LIX344" s="29"/>
      <c r="LIY344" s="29"/>
      <c r="LIZ344" s="29"/>
      <c r="LJA344" s="29"/>
      <c r="LJB344" s="29"/>
      <c r="LJC344" s="29"/>
      <c r="LJD344" s="29"/>
      <c r="LJE344" s="29"/>
      <c r="LJF344" s="29"/>
      <c r="LJG344" s="29"/>
      <c r="LJH344" s="29"/>
      <c r="LJI344" s="29"/>
      <c r="LJJ344" s="29"/>
      <c r="LJK344" s="29"/>
      <c r="LJL344" s="29"/>
      <c r="LJM344" s="29"/>
      <c r="LJN344" s="29"/>
      <c r="LJO344" s="29"/>
      <c r="LJP344" s="29"/>
      <c r="LJQ344" s="29"/>
      <c r="LJR344" s="29"/>
      <c r="LJS344" s="29"/>
      <c r="LJT344" s="29"/>
      <c r="LJU344" s="29"/>
      <c r="LJV344" s="29"/>
      <c r="LJW344" s="29"/>
      <c r="LJX344" s="29"/>
      <c r="LJY344" s="29"/>
      <c r="LJZ344" s="29"/>
      <c r="LKA344" s="29"/>
      <c r="LKB344" s="29"/>
      <c r="LKC344" s="29"/>
      <c r="LKD344" s="29"/>
      <c r="LKE344" s="29"/>
      <c r="LKF344" s="29"/>
      <c r="LKG344" s="29"/>
      <c r="LKH344" s="29"/>
      <c r="LKI344" s="29"/>
      <c r="LKJ344" s="29"/>
      <c r="LKK344" s="29"/>
      <c r="LKL344" s="29"/>
      <c r="LKM344" s="29"/>
      <c r="LKN344" s="29"/>
      <c r="LKO344" s="29"/>
      <c r="LKP344" s="29"/>
      <c r="LKQ344" s="29"/>
      <c r="LKR344" s="29"/>
      <c r="LKS344" s="29"/>
      <c r="LKT344" s="29"/>
      <c r="LKU344" s="29"/>
      <c r="LKV344" s="29"/>
      <c r="LKW344" s="29"/>
      <c r="LKX344" s="29"/>
      <c r="LKY344" s="29"/>
      <c r="LKZ344" s="29"/>
      <c r="LLA344" s="29"/>
      <c r="LLB344" s="29"/>
      <c r="LLC344" s="29"/>
      <c r="LLD344" s="29"/>
      <c r="LLE344" s="29"/>
      <c r="LLF344" s="29"/>
      <c r="LLG344" s="29"/>
      <c r="LLH344" s="29"/>
      <c r="LLI344" s="29"/>
      <c r="LLJ344" s="29"/>
      <c r="LLK344" s="29"/>
      <c r="LLL344" s="29"/>
      <c r="LLM344" s="29"/>
      <c r="LLN344" s="29"/>
      <c r="LLO344" s="29"/>
      <c r="LLP344" s="29"/>
      <c r="LLQ344" s="29"/>
      <c r="LLR344" s="29"/>
      <c r="LLS344" s="29"/>
      <c r="LLT344" s="29"/>
      <c r="LLU344" s="29"/>
      <c r="LLV344" s="29"/>
      <c r="LLW344" s="29"/>
      <c r="LLX344" s="29"/>
      <c r="LLY344" s="29"/>
      <c r="LLZ344" s="29"/>
      <c r="LMA344" s="29"/>
      <c r="LMB344" s="29"/>
      <c r="LMC344" s="29"/>
      <c r="LMD344" s="29"/>
      <c r="LME344" s="29"/>
      <c r="LMF344" s="29"/>
      <c r="LMG344" s="29"/>
      <c r="LMH344" s="29"/>
      <c r="LMI344" s="29"/>
      <c r="LMJ344" s="29"/>
      <c r="LMK344" s="29"/>
      <c r="LML344" s="29"/>
      <c r="LMM344" s="29"/>
      <c r="LMN344" s="29"/>
      <c r="LMO344" s="29"/>
      <c r="LMP344" s="29"/>
      <c r="LMQ344" s="29"/>
      <c r="LMR344" s="29"/>
      <c r="LMS344" s="29"/>
      <c r="LMT344" s="29"/>
      <c r="LMU344" s="29"/>
      <c r="LMV344" s="29"/>
      <c r="LMW344" s="29"/>
      <c r="LMX344" s="29"/>
      <c r="LMY344" s="29"/>
      <c r="LMZ344" s="29"/>
      <c r="LNA344" s="29"/>
      <c r="LNB344" s="29"/>
      <c r="LNC344" s="29"/>
      <c r="LND344" s="29"/>
      <c r="LNE344" s="29"/>
      <c r="LNF344" s="29"/>
      <c r="LNG344" s="29"/>
      <c r="LNH344" s="29"/>
      <c r="LNI344" s="29"/>
      <c r="LNJ344" s="29"/>
      <c r="LNK344" s="29"/>
      <c r="LNL344" s="29"/>
      <c r="LNM344" s="29"/>
      <c r="LNN344" s="29"/>
      <c r="LNO344" s="29"/>
      <c r="LNP344" s="29"/>
      <c r="LNQ344" s="29"/>
      <c r="LNR344" s="29"/>
      <c r="LNS344" s="29"/>
      <c r="LNT344" s="29"/>
      <c r="LNU344" s="29"/>
      <c r="LNV344" s="29"/>
      <c r="LNW344" s="29"/>
      <c r="LNX344" s="29"/>
      <c r="LNY344" s="29"/>
      <c r="LNZ344" s="29"/>
      <c r="LOA344" s="29"/>
      <c r="LOB344" s="29"/>
      <c r="LOC344" s="29"/>
      <c r="LOD344" s="29"/>
      <c r="LOE344" s="29"/>
      <c r="LOF344" s="29"/>
      <c r="LOG344" s="29"/>
      <c r="LOH344" s="29"/>
      <c r="LOI344" s="29"/>
      <c r="LOJ344" s="29"/>
      <c r="LOK344" s="29"/>
      <c r="LOL344" s="29"/>
      <c r="LOM344" s="29"/>
      <c r="LON344" s="29"/>
      <c r="LOO344" s="29"/>
      <c r="LOP344" s="29"/>
      <c r="LOQ344" s="29"/>
      <c r="LOR344" s="29"/>
      <c r="LOS344" s="29"/>
      <c r="LOT344" s="29"/>
      <c r="LOU344" s="29"/>
      <c r="LOV344" s="29"/>
      <c r="LOW344" s="29"/>
      <c r="LOX344" s="29"/>
      <c r="LOY344" s="29"/>
      <c r="LOZ344" s="29"/>
      <c r="LPA344" s="29"/>
      <c r="LPB344" s="29"/>
      <c r="LPC344" s="29"/>
      <c r="LPD344" s="29"/>
      <c r="LPE344" s="29"/>
      <c r="LPF344" s="29"/>
      <c r="LPG344" s="29"/>
      <c r="LPH344" s="29"/>
      <c r="LPI344" s="29"/>
      <c r="LPJ344" s="29"/>
      <c r="LPK344" s="29"/>
      <c r="LPL344" s="29"/>
      <c r="LPM344" s="29"/>
      <c r="LPN344" s="29"/>
      <c r="LPO344" s="29"/>
      <c r="LPP344" s="29"/>
      <c r="LPQ344" s="29"/>
      <c r="LPR344" s="29"/>
      <c r="LPS344" s="29"/>
      <c r="LPT344" s="29"/>
      <c r="LPU344" s="29"/>
      <c r="LPV344" s="29"/>
      <c r="LPW344" s="29"/>
      <c r="LPX344" s="29"/>
      <c r="LPY344" s="29"/>
      <c r="LPZ344" s="29"/>
      <c r="LQA344" s="29"/>
      <c r="LQB344" s="29"/>
      <c r="LQC344" s="29"/>
      <c r="LQD344" s="29"/>
      <c r="LQE344" s="29"/>
      <c r="LQF344" s="29"/>
      <c r="LQG344" s="29"/>
      <c r="LQH344" s="29"/>
      <c r="LQI344" s="29"/>
      <c r="LQJ344" s="29"/>
      <c r="LQK344" s="29"/>
      <c r="LQL344" s="29"/>
      <c r="LQM344" s="29"/>
      <c r="LQN344" s="29"/>
      <c r="LQO344" s="29"/>
      <c r="LQP344" s="29"/>
      <c r="LQQ344" s="29"/>
      <c r="LQR344" s="29"/>
      <c r="LQS344" s="29"/>
      <c r="LQT344" s="29"/>
      <c r="LQU344" s="29"/>
      <c r="LQV344" s="29"/>
      <c r="LQW344" s="29"/>
      <c r="LQX344" s="29"/>
      <c r="LQY344" s="29"/>
      <c r="LQZ344" s="29"/>
      <c r="LRA344" s="29"/>
      <c r="LRB344" s="29"/>
      <c r="LRC344" s="29"/>
      <c r="LRD344" s="29"/>
      <c r="LRE344" s="29"/>
      <c r="LRF344" s="29"/>
      <c r="LRG344" s="29"/>
      <c r="LRH344" s="29"/>
      <c r="LRI344" s="29"/>
      <c r="LRJ344" s="29"/>
      <c r="LRK344" s="29"/>
      <c r="LRL344" s="29"/>
      <c r="LRM344" s="29"/>
      <c r="LRN344" s="29"/>
      <c r="LRO344" s="29"/>
      <c r="LRP344" s="29"/>
      <c r="LRQ344" s="29"/>
      <c r="LRR344" s="29"/>
      <c r="LRS344" s="29"/>
      <c r="LRT344" s="29"/>
      <c r="LRU344" s="29"/>
      <c r="LRV344" s="29"/>
      <c r="LRW344" s="29"/>
      <c r="LRX344" s="29"/>
      <c r="LRY344" s="29"/>
      <c r="LRZ344" s="29"/>
      <c r="LSA344" s="29"/>
      <c r="LSB344" s="29"/>
      <c r="LSC344" s="29"/>
      <c r="LSD344" s="29"/>
      <c r="LSE344" s="29"/>
      <c r="LSF344" s="29"/>
      <c r="LSG344" s="29"/>
      <c r="LSH344" s="29"/>
      <c r="LSI344" s="29"/>
      <c r="LSJ344" s="29"/>
      <c r="LSK344" s="29"/>
      <c r="LSL344" s="29"/>
      <c r="LSM344" s="29"/>
      <c r="LSN344" s="29"/>
      <c r="LSO344" s="29"/>
      <c r="LSP344" s="29"/>
      <c r="LSQ344" s="29"/>
      <c r="LSR344" s="29"/>
      <c r="LSS344" s="29"/>
      <c r="LST344" s="29"/>
      <c r="LSU344" s="29"/>
      <c r="LSV344" s="29"/>
      <c r="LSW344" s="29"/>
      <c r="LSX344" s="29"/>
      <c r="LSY344" s="29"/>
      <c r="LSZ344" s="29"/>
      <c r="LTA344" s="29"/>
      <c r="LTB344" s="29"/>
      <c r="LTC344" s="29"/>
      <c r="LTD344" s="29"/>
      <c r="LTE344" s="29"/>
      <c r="LTF344" s="29"/>
      <c r="LTG344" s="29"/>
      <c r="LTH344" s="29"/>
      <c r="LTI344" s="29"/>
      <c r="LTJ344" s="29"/>
      <c r="LTK344" s="29"/>
      <c r="LTL344" s="29"/>
      <c r="LTM344" s="29"/>
      <c r="LTN344" s="29"/>
      <c r="LTO344" s="29"/>
      <c r="LTP344" s="29"/>
      <c r="LTQ344" s="29"/>
      <c r="LTR344" s="29"/>
      <c r="LTS344" s="29"/>
      <c r="LTT344" s="29"/>
      <c r="LTU344" s="29"/>
      <c r="LTV344" s="29"/>
      <c r="LTW344" s="29"/>
      <c r="LTX344" s="29"/>
      <c r="LTY344" s="29"/>
      <c r="LTZ344" s="29"/>
      <c r="LUA344" s="29"/>
      <c r="LUB344" s="29"/>
      <c r="LUC344" s="29"/>
      <c r="LUD344" s="29"/>
      <c r="LUE344" s="29"/>
      <c r="LUF344" s="29"/>
      <c r="LUG344" s="29"/>
      <c r="LUH344" s="29"/>
      <c r="LUI344" s="29"/>
      <c r="LUJ344" s="29"/>
      <c r="LUK344" s="29"/>
      <c r="LUL344" s="29"/>
      <c r="LUM344" s="29"/>
      <c r="LUN344" s="29"/>
      <c r="LUO344" s="29"/>
      <c r="LUP344" s="29"/>
      <c r="LUQ344" s="29"/>
      <c r="LUR344" s="29"/>
      <c r="LUS344" s="29"/>
      <c r="LUT344" s="29"/>
      <c r="LUU344" s="29"/>
      <c r="LUV344" s="29"/>
      <c r="LUW344" s="29"/>
      <c r="LUX344" s="29"/>
      <c r="LUY344" s="29"/>
      <c r="LUZ344" s="29"/>
      <c r="LVA344" s="29"/>
      <c r="LVB344" s="29"/>
      <c r="LVC344" s="29"/>
      <c r="LVD344" s="29"/>
      <c r="LVE344" s="29"/>
      <c r="LVF344" s="29"/>
      <c r="LVG344" s="29"/>
      <c r="LVH344" s="29"/>
      <c r="LVI344" s="29"/>
      <c r="LVJ344" s="29"/>
      <c r="LVK344" s="29"/>
      <c r="LVL344" s="29"/>
      <c r="LVM344" s="29"/>
      <c r="LVN344" s="29"/>
      <c r="LVO344" s="29"/>
      <c r="LVP344" s="29"/>
      <c r="LVQ344" s="29"/>
      <c r="LVR344" s="29"/>
      <c r="LVS344" s="29"/>
      <c r="LVT344" s="29"/>
      <c r="LVU344" s="29"/>
      <c r="LVV344" s="29"/>
      <c r="LVW344" s="29"/>
      <c r="LVX344" s="29"/>
      <c r="LVY344" s="29"/>
      <c r="LVZ344" s="29"/>
      <c r="LWA344" s="29"/>
      <c r="LWB344" s="29"/>
      <c r="LWC344" s="29"/>
      <c r="LWD344" s="29"/>
      <c r="LWE344" s="29"/>
      <c r="LWF344" s="29"/>
      <c r="LWG344" s="29"/>
      <c r="LWH344" s="29"/>
      <c r="LWI344" s="29"/>
      <c r="LWJ344" s="29"/>
      <c r="LWK344" s="29"/>
      <c r="LWL344" s="29"/>
      <c r="LWM344" s="29"/>
      <c r="LWN344" s="29"/>
      <c r="LWO344" s="29"/>
      <c r="LWP344" s="29"/>
      <c r="LWQ344" s="29"/>
      <c r="LWR344" s="29"/>
      <c r="LWS344" s="29"/>
      <c r="LWT344" s="29"/>
      <c r="LWU344" s="29"/>
      <c r="LWV344" s="29"/>
      <c r="LWW344" s="29"/>
      <c r="LWX344" s="29"/>
      <c r="LWY344" s="29"/>
      <c r="LWZ344" s="29"/>
      <c r="LXA344" s="29"/>
      <c r="LXB344" s="29"/>
      <c r="LXC344" s="29"/>
      <c r="LXD344" s="29"/>
      <c r="LXE344" s="29"/>
      <c r="LXF344" s="29"/>
      <c r="LXG344" s="29"/>
      <c r="LXH344" s="29"/>
      <c r="LXI344" s="29"/>
      <c r="LXJ344" s="29"/>
      <c r="LXK344" s="29"/>
      <c r="LXL344" s="29"/>
      <c r="LXM344" s="29"/>
      <c r="LXN344" s="29"/>
      <c r="LXO344" s="29"/>
      <c r="LXP344" s="29"/>
      <c r="LXQ344" s="29"/>
      <c r="LXR344" s="29"/>
      <c r="LXS344" s="29"/>
      <c r="LXT344" s="29"/>
      <c r="LXU344" s="29"/>
      <c r="LXV344" s="29"/>
      <c r="LXW344" s="29"/>
      <c r="LXX344" s="29"/>
      <c r="LXY344" s="29"/>
      <c r="LXZ344" s="29"/>
      <c r="LYA344" s="29"/>
      <c r="LYB344" s="29"/>
      <c r="LYC344" s="29"/>
      <c r="LYD344" s="29"/>
      <c r="LYE344" s="29"/>
      <c r="LYF344" s="29"/>
      <c r="LYG344" s="29"/>
      <c r="LYH344" s="29"/>
      <c r="LYI344" s="29"/>
      <c r="LYJ344" s="29"/>
      <c r="LYK344" s="29"/>
      <c r="LYL344" s="29"/>
      <c r="LYM344" s="29"/>
      <c r="LYN344" s="29"/>
      <c r="LYO344" s="29"/>
      <c r="LYP344" s="29"/>
      <c r="LYQ344" s="29"/>
      <c r="LYR344" s="29"/>
      <c r="LYS344" s="29"/>
      <c r="LYT344" s="29"/>
      <c r="LYU344" s="29"/>
      <c r="LYV344" s="29"/>
      <c r="LYW344" s="29"/>
      <c r="LYX344" s="29"/>
      <c r="LYY344" s="29"/>
      <c r="LYZ344" s="29"/>
      <c r="LZA344" s="29"/>
      <c r="LZB344" s="29"/>
      <c r="LZC344" s="29"/>
      <c r="LZD344" s="29"/>
      <c r="LZE344" s="29"/>
      <c r="LZF344" s="29"/>
      <c r="LZG344" s="29"/>
      <c r="LZH344" s="29"/>
      <c r="LZI344" s="29"/>
      <c r="LZJ344" s="29"/>
      <c r="LZK344" s="29"/>
      <c r="LZL344" s="29"/>
      <c r="LZM344" s="29"/>
      <c r="LZN344" s="29"/>
      <c r="LZO344" s="29"/>
      <c r="LZP344" s="29"/>
      <c r="LZQ344" s="29"/>
      <c r="LZR344" s="29"/>
      <c r="LZS344" s="29"/>
      <c r="LZT344" s="29"/>
      <c r="LZU344" s="29"/>
      <c r="LZV344" s="29"/>
      <c r="LZW344" s="29"/>
      <c r="LZX344" s="29"/>
      <c r="LZY344" s="29"/>
      <c r="LZZ344" s="29"/>
      <c r="MAA344" s="29"/>
      <c r="MAB344" s="29"/>
      <c r="MAC344" s="29"/>
      <c r="MAD344" s="29"/>
      <c r="MAE344" s="29"/>
      <c r="MAF344" s="29"/>
      <c r="MAG344" s="29"/>
      <c r="MAH344" s="29"/>
      <c r="MAI344" s="29"/>
      <c r="MAJ344" s="29"/>
      <c r="MAK344" s="29"/>
      <c r="MAL344" s="29"/>
      <c r="MAM344" s="29"/>
      <c r="MAN344" s="29"/>
      <c r="MAO344" s="29"/>
      <c r="MAP344" s="29"/>
      <c r="MAQ344" s="29"/>
      <c r="MAR344" s="29"/>
      <c r="MAS344" s="29"/>
      <c r="MAT344" s="29"/>
      <c r="MAU344" s="29"/>
      <c r="MAV344" s="29"/>
      <c r="MAW344" s="29"/>
      <c r="MAX344" s="29"/>
      <c r="MAY344" s="29"/>
      <c r="MAZ344" s="29"/>
      <c r="MBA344" s="29"/>
      <c r="MBB344" s="29"/>
      <c r="MBC344" s="29"/>
      <c r="MBD344" s="29"/>
      <c r="MBE344" s="29"/>
      <c r="MBF344" s="29"/>
      <c r="MBG344" s="29"/>
      <c r="MBH344" s="29"/>
      <c r="MBI344" s="29"/>
      <c r="MBJ344" s="29"/>
      <c r="MBK344" s="29"/>
      <c r="MBL344" s="29"/>
      <c r="MBM344" s="29"/>
      <c r="MBN344" s="29"/>
      <c r="MBO344" s="29"/>
      <c r="MBP344" s="29"/>
      <c r="MBQ344" s="29"/>
      <c r="MBR344" s="29"/>
      <c r="MBS344" s="29"/>
      <c r="MBT344" s="29"/>
      <c r="MBU344" s="29"/>
      <c r="MBV344" s="29"/>
      <c r="MBW344" s="29"/>
      <c r="MBX344" s="29"/>
      <c r="MBY344" s="29"/>
      <c r="MBZ344" s="29"/>
      <c r="MCA344" s="29"/>
      <c r="MCB344" s="29"/>
      <c r="MCC344" s="29"/>
      <c r="MCD344" s="29"/>
      <c r="MCE344" s="29"/>
      <c r="MCF344" s="29"/>
      <c r="MCG344" s="29"/>
      <c r="MCH344" s="29"/>
      <c r="MCI344" s="29"/>
      <c r="MCJ344" s="29"/>
      <c r="MCK344" s="29"/>
      <c r="MCL344" s="29"/>
      <c r="MCM344" s="29"/>
      <c r="MCN344" s="29"/>
      <c r="MCO344" s="29"/>
      <c r="MCP344" s="29"/>
      <c r="MCQ344" s="29"/>
      <c r="MCR344" s="29"/>
      <c r="MCS344" s="29"/>
      <c r="MCT344" s="29"/>
      <c r="MCU344" s="29"/>
      <c r="MCV344" s="29"/>
      <c r="MCW344" s="29"/>
      <c r="MCX344" s="29"/>
      <c r="MCY344" s="29"/>
      <c r="MCZ344" s="29"/>
      <c r="MDA344" s="29"/>
      <c r="MDB344" s="29"/>
      <c r="MDC344" s="29"/>
      <c r="MDD344" s="29"/>
      <c r="MDE344" s="29"/>
      <c r="MDF344" s="29"/>
      <c r="MDG344" s="29"/>
      <c r="MDH344" s="29"/>
      <c r="MDI344" s="29"/>
      <c r="MDJ344" s="29"/>
      <c r="MDK344" s="29"/>
      <c r="MDL344" s="29"/>
      <c r="MDM344" s="29"/>
      <c r="MDN344" s="29"/>
      <c r="MDO344" s="29"/>
      <c r="MDP344" s="29"/>
      <c r="MDQ344" s="29"/>
      <c r="MDR344" s="29"/>
      <c r="MDS344" s="29"/>
      <c r="MDT344" s="29"/>
      <c r="MDU344" s="29"/>
      <c r="MDV344" s="29"/>
      <c r="MDW344" s="29"/>
      <c r="MDX344" s="29"/>
      <c r="MDY344" s="29"/>
      <c r="MDZ344" s="29"/>
      <c r="MEA344" s="29"/>
      <c r="MEB344" s="29"/>
      <c r="MEC344" s="29"/>
      <c r="MED344" s="29"/>
      <c r="MEE344" s="29"/>
      <c r="MEF344" s="29"/>
      <c r="MEG344" s="29"/>
      <c r="MEH344" s="29"/>
      <c r="MEI344" s="29"/>
      <c r="MEJ344" s="29"/>
      <c r="MEK344" s="29"/>
      <c r="MEL344" s="29"/>
      <c r="MEM344" s="29"/>
      <c r="MEN344" s="29"/>
      <c r="MEO344" s="29"/>
      <c r="MEP344" s="29"/>
      <c r="MEQ344" s="29"/>
      <c r="MER344" s="29"/>
      <c r="MES344" s="29"/>
      <c r="MET344" s="29"/>
      <c r="MEU344" s="29"/>
      <c r="MEV344" s="29"/>
      <c r="MEW344" s="29"/>
      <c r="MEX344" s="29"/>
      <c r="MEY344" s="29"/>
      <c r="MEZ344" s="29"/>
      <c r="MFA344" s="29"/>
      <c r="MFB344" s="29"/>
      <c r="MFC344" s="29"/>
      <c r="MFD344" s="29"/>
      <c r="MFE344" s="29"/>
      <c r="MFF344" s="29"/>
      <c r="MFG344" s="29"/>
      <c r="MFH344" s="29"/>
      <c r="MFI344" s="29"/>
      <c r="MFJ344" s="29"/>
      <c r="MFK344" s="29"/>
      <c r="MFL344" s="29"/>
      <c r="MFM344" s="29"/>
      <c r="MFN344" s="29"/>
      <c r="MFO344" s="29"/>
      <c r="MFP344" s="29"/>
      <c r="MFQ344" s="29"/>
      <c r="MFR344" s="29"/>
      <c r="MFS344" s="29"/>
      <c r="MFT344" s="29"/>
      <c r="MFU344" s="29"/>
      <c r="MFV344" s="29"/>
      <c r="MFW344" s="29"/>
      <c r="MFX344" s="29"/>
      <c r="MFY344" s="29"/>
      <c r="MFZ344" s="29"/>
      <c r="MGA344" s="29"/>
      <c r="MGB344" s="29"/>
      <c r="MGC344" s="29"/>
      <c r="MGD344" s="29"/>
      <c r="MGE344" s="29"/>
      <c r="MGF344" s="29"/>
      <c r="MGG344" s="29"/>
      <c r="MGH344" s="29"/>
      <c r="MGI344" s="29"/>
      <c r="MGJ344" s="29"/>
      <c r="MGK344" s="29"/>
      <c r="MGL344" s="29"/>
      <c r="MGM344" s="29"/>
      <c r="MGN344" s="29"/>
      <c r="MGO344" s="29"/>
      <c r="MGP344" s="29"/>
      <c r="MGQ344" s="29"/>
      <c r="MGR344" s="29"/>
      <c r="MGS344" s="29"/>
      <c r="MGT344" s="29"/>
      <c r="MGU344" s="29"/>
      <c r="MGV344" s="29"/>
      <c r="MGW344" s="29"/>
      <c r="MGX344" s="29"/>
      <c r="MGY344" s="29"/>
      <c r="MGZ344" s="29"/>
      <c r="MHA344" s="29"/>
      <c r="MHB344" s="29"/>
      <c r="MHC344" s="29"/>
      <c r="MHD344" s="29"/>
      <c r="MHE344" s="29"/>
      <c r="MHF344" s="29"/>
      <c r="MHG344" s="29"/>
      <c r="MHH344" s="29"/>
      <c r="MHI344" s="29"/>
      <c r="MHJ344" s="29"/>
      <c r="MHK344" s="29"/>
      <c r="MHL344" s="29"/>
      <c r="MHM344" s="29"/>
      <c r="MHN344" s="29"/>
      <c r="MHO344" s="29"/>
      <c r="MHP344" s="29"/>
      <c r="MHQ344" s="29"/>
      <c r="MHR344" s="29"/>
      <c r="MHS344" s="29"/>
      <c r="MHT344" s="29"/>
      <c r="MHU344" s="29"/>
      <c r="MHV344" s="29"/>
      <c r="MHW344" s="29"/>
      <c r="MHX344" s="29"/>
      <c r="MHY344" s="29"/>
      <c r="MHZ344" s="29"/>
      <c r="MIA344" s="29"/>
      <c r="MIB344" s="29"/>
      <c r="MIC344" s="29"/>
      <c r="MID344" s="29"/>
      <c r="MIE344" s="29"/>
      <c r="MIF344" s="29"/>
      <c r="MIG344" s="29"/>
      <c r="MIH344" s="29"/>
      <c r="MII344" s="29"/>
      <c r="MIJ344" s="29"/>
      <c r="MIK344" s="29"/>
      <c r="MIL344" s="29"/>
      <c r="MIM344" s="29"/>
      <c r="MIN344" s="29"/>
      <c r="MIO344" s="29"/>
      <c r="MIP344" s="29"/>
      <c r="MIQ344" s="29"/>
      <c r="MIR344" s="29"/>
      <c r="MIS344" s="29"/>
      <c r="MIT344" s="29"/>
      <c r="MIU344" s="29"/>
      <c r="MIV344" s="29"/>
      <c r="MIW344" s="29"/>
      <c r="MIX344" s="29"/>
      <c r="MIY344" s="29"/>
      <c r="MIZ344" s="29"/>
      <c r="MJA344" s="29"/>
      <c r="MJB344" s="29"/>
      <c r="MJC344" s="29"/>
      <c r="MJD344" s="29"/>
      <c r="MJE344" s="29"/>
      <c r="MJF344" s="29"/>
      <c r="MJG344" s="29"/>
      <c r="MJH344" s="29"/>
      <c r="MJI344" s="29"/>
      <c r="MJJ344" s="29"/>
      <c r="MJK344" s="29"/>
      <c r="MJL344" s="29"/>
      <c r="MJM344" s="29"/>
      <c r="MJN344" s="29"/>
      <c r="MJO344" s="29"/>
      <c r="MJP344" s="29"/>
      <c r="MJQ344" s="29"/>
      <c r="MJR344" s="29"/>
      <c r="MJS344" s="29"/>
      <c r="MJT344" s="29"/>
      <c r="MJU344" s="29"/>
      <c r="MJV344" s="29"/>
      <c r="MJW344" s="29"/>
      <c r="MJX344" s="29"/>
      <c r="MJY344" s="29"/>
      <c r="MJZ344" s="29"/>
      <c r="MKA344" s="29"/>
      <c r="MKB344" s="29"/>
      <c r="MKC344" s="29"/>
      <c r="MKD344" s="29"/>
      <c r="MKE344" s="29"/>
      <c r="MKF344" s="29"/>
      <c r="MKG344" s="29"/>
      <c r="MKH344" s="29"/>
      <c r="MKI344" s="29"/>
      <c r="MKJ344" s="29"/>
      <c r="MKK344" s="29"/>
      <c r="MKL344" s="29"/>
      <c r="MKM344" s="29"/>
      <c r="MKN344" s="29"/>
      <c r="MKO344" s="29"/>
      <c r="MKP344" s="29"/>
      <c r="MKQ344" s="29"/>
      <c r="MKR344" s="29"/>
      <c r="MKS344" s="29"/>
      <c r="MKT344" s="29"/>
      <c r="MKU344" s="29"/>
      <c r="MKV344" s="29"/>
      <c r="MKW344" s="29"/>
      <c r="MKX344" s="29"/>
      <c r="MKY344" s="29"/>
      <c r="MKZ344" s="29"/>
      <c r="MLA344" s="29"/>
      <c r="MLB344" s="29"/>
      <c r="MLC344" s="29"/>
      <c r="MLD344" s="29"/>
      <c r="MLE344" s="29"/>
      <c r="MLF344" s="29"/>
      <c r="MLG344" s="29"/>
      <c r="MLH344" s="29"/>
      <c r="MLI344" s="29"/>
      <c r="MLJ344" s="29"/>
      <c r="MLK344" s="29"/>
      <c r="MLL344" s="29"/>
      <c r="MLM344" s="29"/>
      <c r="MLN344" s="29"/>
      <c r="MLO344" s="29"/>
      <c r="MLP344" s="29"/>
      <c r="MLQ344" s="29"/>
      <c r="MLR344" s="29"/>
      <c r="MLS344" s="29"/>
      <c r="MLT344" s="29"/>
      <c r="MLU344" s="29"/>
      <c r="MLV344" s="29"/>
      <c r="MLW344" s="29"/>
      <c r="MLX344" s="29"/>
      <c r="MLY344" s="29"/>
      <c r="MLZ344" s="29"/>
      <c r="MMA344" s="29"/>
      <c r="MMB344" s="29"/>
      <c r="MMC344" s="29"/>
      <c r="MMD344" s="29"/>
      <c r="MME344" s="29"/>
      <c r="MMF344" s="29"/>
      <c r="MMG344" s="29"/>
      <c r="MMH344" s="29"/>
      <c r="MMI344" s="29"/>
      <c r="MMJ344" s="29"/>
      <c r="MMK344" s="29"/>
      <c r="MML344" s="29"/>
      <c r="MMM344" s="29"/>
      <c r="MMN344" s="29"/>
      <c r="MMO344" s="29"/>
      <c r="MMP344" s="29"/>
      <c r="MMQ344" s="29"/>
      <c r="MMR344" s="29"/>
      <c r="MMS344" s="29"/>
      <c r="MMT344" s="29"/>
      <c r="MMU344" s="29"/>
      <c r="MMV344" s="29"/>
      <c r="MMW344" s="29"/>
      <c r="MMX344" s="29"/>
      <c r="MMY344" s="29"/>
      <c r="MMZ344" s="29"/>
      <c r="MNA344" s="29"/>
      <c r="MNB344" s="29"/>
      <c r="MNC344" s="29"/>
      <c r="MND344" s="29"/>
      <c r="MNE344" s="29"/>
      <c r="MNF344" s="29"/>
      <c r="MNG344" s="29"/>
      <c r="MNH344" s="29"/>
      <c r="MNI344" s="29"/>
      <c r="MNJ344" s="29"/>
      <c r="MNK344" s="29"/>
      <c r="MNL344" s="29"/>
      <c r="MNM344" s="29"/>
      <c r="MNN344" s="29"/>
      <c r="MNO344" s="29"/>
      <c r="MNP344" s="29"/>
      <c r="MNQ344" s="29"/>
      <c r="MNR344" s="29"/>
      <c r="MNS344" s="29"/>
      <c r="MNT344" s="29"/>
      <c r="MNU344" s="29"/>
      <c r="MNV344" s="29"/>
      <c r="MNW344" s="29"/>
      <c r="MNX344" s="29"/>
      <c r="MNY344" s="29"/>
      <c r="MNZ344" s="29"/>
      <c r="MOA344" s="29"/>
      <c r="MOB344" s="29"/>
      <c r="MOC344" s="29"/>
      <c r="MOD344" s="29"/>
      <c r="MOE344" s="29"/>
      <c r="MOF344" s="29"/>
      <c r="MOG344" s="29"/>
      <c r="MOH344" s="29"/>
      <c r="MOI344" s="29"/>
      <c r="MOJ344" s="29"/>
      <c r="MOK344" s="29"/>
      <c r="MOL344" s="29"/>
      <c r="MOM344" s="29"/>
      <c r="MON344" s="29"/>
      <c r="MOO344" s="29"/>
      <c r="MOP344" s="29"/>
      <c r="MOQ344" s="29"/>
      <c r="MOR344" s="29"/>
      <c r="MOS344" s="29"/>
      <c r="MOT344" s="29"/>
      <c r="MOU344" s="29"/>
      <c r="MOV344" s="29"/>
      <c r="MOW344" s="29"/>
      <c r="MOX344" s="29"/>
      <c r="MOY344" s="29"/>
      <c r="MOZ344" s="29"/>
      <c r="MPA344" s="29"/>
      <c r="MPB344" s="29"/>
      <c r="MPC344" s="29"/>
      <c r="MPD344" s="29"/>
      <c r="MPE344" s="29"/>
      <c r="MPF344" s="29"/>
      <c r="MPG344" s="29"/>
      <c r="MPH344" s="29"/>
      <c r="MPI344" s="29"/>
      <c r="MPJ344" s="29"/>
      <c r="MPK344" s="29"/>
      <c r="MPL344" s="29"/>
      <c r="MPM344" s="29"/>
      <c r="MPN344" s="29"/>
      <c r="MPO344" s="29"/>
      <c r="MPP344" s="29"/>
      <c r="MPQ344" s="29"/>
      <c r="MPR344" s="29"/>
      <c r="MPS344" s="29"/>
      <c r="MPT344" s="29"/>
      <c r="MPU344" s="29"/>
      <c r="MPV344" s="29"/>
      <c r="MPW344" s="29"/>
      <c r="MPX344" s="29"/>
      <c r="MPY344" s="29"/>
      <c r="MPZ344" s="29"/>
      <c r="MQA344" s="29"/>
      <c r="MQB344" s="29"/>
      <c r="MQC344" s="29"/>
      <c r="MQD344" s="29"/>
      <c r="MQE344" s="29"/>
      <c r="MQF344" s="29"/>
      <c r="MQG344" s="29"/>
      <c r="MQH344" s="29"/>
      <c r="MQI344" s="29"/>
      <c r="MQJ344" s="29"/>
      <c r="MQK344" s="29"/>
      <c r="MQL344" s="29"/>
      <c r="MQM344" s="29"/>
      <c r="MQN344" s="29"/>
      <c r="MQO344" s="29"/>
      <c r="MQP344" s="29"/>
      <c r="MQQ344" s="29"/>
      <c r="MQR344" s="29"/>
      <c r="MQS344" s="29"/>
      <c r="MQT344" s="29"/>
      <c r="MQU344" s="29"/>
      <c r="MQV344" s="29"/>
      <c r="MQW344" s="29"/>
      <c r="MQX344" s="29"/>
      <c r="MQY344" s="29"/>
      <c r="MQZ344" s="29"/>
      <c r="MRA344" s="29"/>
      <c r="MRB344" s="29"/>
      <c r="MRC344" s="29"/>
      <c r="MRD344" s="29"/>
      <c r="MRE344" s="29"/>
      <c r="MRF344" s="29"/>
      <c r="MRG344" s="29"/>
      <c r="MRH344" s="29"/>
      <c r="MRI344" s="29"/>
      <c r="MRJ344" s="29"/>
      <c r="MRK344" s="29"/>
      <c r="MRL344" s="29"/>
      <c r="MRM344" s="29"/>
      <c r="MRN344" s="29"/>
      <c r="MRO344" s="29"/>
      <c r="MRP344" s="29"/>
      <c r="MRQ344" s="29"/>
      <c r="MRR344" s="29"/>
      <c r="MRS344" s="29"/>
      <c r="MRT344" s="29"/>
      <c r="MRU344" s="29"/>
      <c r="MRV344" s="29"/>
      <c r="MRW344" s="29"/>
      <c r="MRX344" s="29"/>
      <c r="MRY344" s="29"/>
      <c r="MRZ344" s="29"/>
      <c r="MSA344" s="29"/>
      <c r="MSB344" s="29"/>
      <c r="MSC344" s="29"/>
      <c r="MSD344" s="29"/>
      <c r="MSE344" s="29"/>
      <c r="MSF344" s="29"/>
      <c r="MSG344" s="29"/>
      <c r="MSH344" s="29"/>
      <c r="MSI344" s="29"/>
      <c r="MSJ344" s="29"/>
      <c r="MSK344" s="29"/>
      <c r="MSL344" s="29"/>
      <c r="MSM344" s="29"/>
      <c r="MSN344" s="29"/>
      <c r="MSO344" s="29"/>
      <c r="MSP344" s="29"/>
      <c r="MSQ344" s="29"/>
      <c r="MSR344" s="29"/>
      <c r="MSS344" s="29"/>
      <c r="MST344" s="29"/>
      <c r="MSU344" s="29"/>
      <c r="MSV344" s="29"/>
      <c r="MSW344" s="29"/>
      <c r="MSX344" s="29"/>
      <c r="MSY344" s="29"/>
      <c r="MSZ344" s="29"/>
      <c r="MTA344" s="29"/>
      <c r="MTB344" s="29"/>
      <c r="MTC344" s="29"/>
      <c r="MTD344" s="29"/>
      <c r="MTE344" s="29"/>
      <c r="MTF344" s="29"/>
      <c r="MTG344" s="29"/>
      <c r="MTH344" s="29"/>
      <c r="MTI344" s="29"/>
      <c r="MTJ344" s="29"/>
      <c r="MTK344" s="29"/>
      <c r="MTL344" s="29"/>
      <c r="MTM344" s="29"/>
      <c r="MTN344" s="29"/>
      <c r="MTO344" s="29"/>
      <c r="MTP344" s="29"/>
      <c r="MTQ344" s="29"/>
      <c r="MTR344" s="29"/>
      <c r="MTS344" s="29"/>
      <c r="MTT344" s="29"/>
      <c r="MTU344" s="29"/>
      <c r="MTV344" s="29"/>
      <c r="MTW344" s="29"/>
      <c r="MTX344" s="29"/>
      <c r="MTY344" s="29"/>
      <c r="MTZ344" s="29"/>
      <c r="MUA344" s="29"/>
      <c r="MUB344" s="29"/>
      <c r="MUC344" s="29"/>
      <c r="MUD344" s="29"/>
      <c r="MUE344" s="29"/>
      <c r="MUF344" s="29"/>
      <c r="MUG344" s="29"/>
      <c r="MUH344" s="29"/>
      <c r="MUI344" s="29"/>
      <c r="MUJ344" s="29"/>
      <c r="MUK344" s="29"/>
      <c r="MUL344" s="29"/>
      <c r="MUM344" s="29"/>
      <c r="MUN344" s="29"/>
      <c r="MUO344" s="29"/>
      <c r="MUP344" s="29"/>
      <c r="MUQ344" s="29"/>
      <c r="MUR344" s="29"/>
      <c r="MUS344" s="29"/>
      <c r="MUT344" s="29"/>
      <c r="MUU344" s="29"/>
      <c r="MUV344" s="29"/>
      <c r="MUW344" s="29"/>
      <c r="MUX344" s="29"/>
      <c r="MUY344" s="29"/>
      <c r="MUZ344" s="29"/>
      <c r="MVA344" s="29"/>
      <c r="MVB344" s="29"/>
      <c r="MVC344" s="29"/>
      <c r="MVD344" s="29"/>
      <c r="MVE344" s="29"/>
      <c r="MVF344" s="29"/>
      <c r="MVG344" s="29"/>
      <c r="MVH344" s="29"/>
      <c r="MVI344" s="29"/>
      <c r="MVJ344" s="29"/>
      <c r="MVK344" s="29"/>
      <c r="MVL344" s="29"/>
      <c r="MVM344" s="29"/>
      <c r="MVN344" s="29"/>
      <c r="MVO344" s="29"/>
      <c r="MVP344" s="29"/>
      <c r="MVQ344" s="29"/>
      <c r="MVR344" s="29"/>
      <c r="MVS344" s="29"/>
      <c r="MVT344" s="29"/>
      <c r="MVU344" s="29"/>
      <c r="MVV344" s="29"/>
      <c r="MVW344" s="29"/>
      <c r="MVX344" s="29"/>
      <c r="MVY344" s="29"/>
      <c r="MVZ344" s="29"/>
      <c r="MWA344" s="29"/>
      <c r="MWB344" s="29"/>
      <c r="MWC344" s="29"/>
      <c r="MWD344" s="29"/>
      <c r="MWE344" s="29"/>
      <c r="MWF344" s="29"/>
      <c r="MWG344" s="29"/>
      <c r="MWH344" s="29"/>
      <c r="MWI344" s="29"/>
      <c r="MWJ344" s="29"/>
      <c r="MWK344" s="29"/>
      <c r="MWL344" s="29"/>
      <c r="MWM344" s="29"/>
      <c r="MWN344" s="29"/>
      <c r="MWO344" s="29"/>
      <c r="MWP344" s="29"/>
      <c r="MWQ344" s="29"/>
      <c r="MWR344" s="29"/>
      <c r="MWS344" s="29"/>
      <c r="MWT344" s="29"/>
      <c r="MWU344" s="29"/>
      <c r="MWV344" s="29"/>
      <c r="MWW344" s="29"/>
      <c r="MWX344" s="29"/>
      <c r="MWY344" s="29"/>
      <c r="MWZ344" s="29"/>
      <c r="MXA344" s="29"/>
      <c r="MXB344" s="29"/>
      <c r="MXC344" s="29"/>
      <c r="MXD344" s="29"/>
      <c r="MXE344" s="29"/>
      <c r="MXF344" s="29"/>
      <c r="MXG344" s="29"/>
      <c r="MXH344" s="29"/>
      <c r="MXI344" s="29"/>
      <c r="MXJ344" s="29"/>
      <c r="MXK344" s="29"/>
      <c r="MXL344" s="29"/>
      <c r="MXM344" s="29"/>
      <c r="MXN344" s="29"/>
      <c r="MXO344" s="29"/>
      <c r="MXP344" s="29"/>
      <c r="MXQ344" s="29"/>
      <c r="MXR344" s="29"/>
      <c r="MXS344" s="29"/>
      <c r="MXT344" s="29"/>
      <c r="MXU344" s="29"/>
      <c r="MXV344" s="29"/>
      <c r="MXW344" s="29"/>
      <c r="MXX344" s="29"/>
      <c r="MXY344" s="29"/>
      <c r="MXZ344" s="29"/>
      <c r="MYA344" s="29"/>
      <c r="MYB344" s="29"/>
      <c r="MYC344" s="29"/>
      <c r="MYD344" s="29"/>
      <c r="MYE344" s="29"/>
      <c r="MYF344" s="29"/>
      <c r="MYG344" s="29"/>
      <c r="MYH344" s="29"/>
      <c r="MYI344" s="29"/>
      <c r="MYJ344" s="29"/>
      <c r="MYK344" s="29"/>
      <c r="MYL344" s="29"/>
      <c r="MYM344" s="29"/>
      <c r="MYN344" s="29"/>
      <c r="MYO344" s="29"/>
      <c r="MYP344" s="29"/>
      <c r="MYQ344" s="29"/>
      <c r="MYR344" s="29"/>
      <c r="MYS344" s="29"/>
      <c r="MYT344" s="29"/>
      <c r="MYU344" s="29"/>
      <c r="MYV344" s="29"/>
      <c r="MYW344" s="29"/>
      <c r="MYX344" s="29"/>
      <c r="MYY344" s="29"/>
      <c r="MYZ344" s="29"/>
      <c r="MZA344" s="29"/>
      <c r="MZB344" s="29"/>
      <c r="MZC344" s="29"/>
      <c r="MZD344" s="29"/>
      <c r="MZE344" s="29"/>
      <c r="MZF344" s="29"/>
      <c r="MZG344" s="29"/>
      <c r="MZH344" s="29"/>
      <c r="MZI344" s="29"/>
      <c r="MZJ344" s="29"/>
      <c r="MZK344" s="29"/>
      <c r="MZL344" s="29"/>
      <c r="MZM344" s="29"/>
      <c r="MZN344" s="29"/>
      <c r="MZO344" s="29"/>
      <c r="MZP344" s="29"/>
      <c r="MZQ344" s="29"/>
      <c r="MZR344" s="29"/>
      <c r="MZS344" s="29"/>
      <c r="MZT344" s="29"/>
      <c r="MZU344" s="29"/>
      <c r="MZV344" s="29"/>
      <c r="MZW344" s="29"/>
      <c r="MZX344" s="29"/>
      <c r="MZY344" s="29"/>
      <c r="MZZ344" s="29"/>
      <c r="NAA344" s="29"/>
      <c r="NAB344" s="29"/>
      <c r="NAC344" s="29"/>
      <c r="NAD344" s="29"/>
      <c r="NAE344" s="29"/>
      <c r="NAF344" s="29"/>
      <c r="NAG344" s="29"/>
      <c r="NAH344" s="29"/>
      <c r="NAI344" s="29"/>
      <c r="NAJ344" s="29"/>
      <c r="NAK344" s="29"/>
      <c r="NAL344" s="29"/>
      <c r="NAM344" s="29"/>
      <c r="NAN344" s="29"/>
      <c r="NAO344" s="29"/>
      <c r="NAP344" s="29"/>
      <c r="NAQ344" s="29"/>
      <c r="NAR344" s="29"/>
      <c r="NAS344" s="29"/>
      <c r="NAT344" s="29"/>
      <c r="NAU344" s="29"/>
      <c r="NAV344" s="29"/>
      <c r="NAW344" s="29"/>
      <c r="NAX344" s="29"/>
      <c r="NAY344" s="29"/>
      <c r="NAZ344" s="29"/>
      <c r="NBA344" s="29"/>
      <c r="NBB344" s="29"/>
      <c r="NBC344" s="29"/>
      <c r="NBD344" s="29"/>
      <c r="NBE344" s="29"/>
      <c r="NBF344" s="29"/>
      <c r="NBG344" s="29"/>
      <c r="NBH344" s="29"/>
      <c r="NBI344" s="29"/>
      <c r="NBJ344" s="29"/>
      <c r="NBK344" s="29"/>
      <c r="NBL344" s="29"/>
      <c r="NBM344" s="29"/>
      <c r="NBN344" s="29"/>
      <c r="NBO344" s="29"/>
      <c r="NBP344" s="29"/>
      <c r="NBQ344" s="29"/>
      <c r="NBR344" s="29"/>
      <c r="NBS344" s="29"/>
      <c r="NBT344" s="29"/>
      <c r="NBU344" s="29"/>
      <c r="NBV344" s="29"/>
      <c r="NBW344" s="29"/>
      <c r="NBX344" s="29"/>
      <c r="NBY344" s="29"/>
      <c r="NBZ344" s="29"/>
      <c r="NCA344" s="29"/>
      <c r="NCB344" s="29"/>
      <c r="NCC344" s="29"/>
      <c r="NCD344" s="29"/>
      <c r="NCE344" s="29"/>
      <c r="NCF344" s="29"/>
      <c r="NCG344" s="29"/>
      <c r="NCH344" s="29"/>
      <c r="NCI344" s="29"/>
      <c r="NCJ344" s="29"/>
      <c r="NCK344" s="29"/>
      <c r="NCL344" s="29"/>
      <c r="NCM344" s="29"/>
      <c r="NCN344" s="29"/>
      <c r="NCO344" s="29"/>
      <c r="NCP344" s="29"/>
      <c r="NCQ344" s="29"/>
      <c r="NCR344" s="29"/>
      <c r="NCS344" s="29"/>
      <c r="NCT344" s="29"/>
      <c r="NCU344" s="29"/>
      <c r="NCV344" s="29"/>
      <c r="NCW344" s="29"/>
      <c r="NCX344" s="29"/>
      <c r="NCY344" s="29"/>
      <c r="NCZ344" s="29"/>
      <c r="NDA344" s="29"/>
      <c r="NDB344" s="29"/>
      <c r="NDC344" s="29"/>
      <c r="NDD344" s="29"/>
      <c r="NDE344" s="29"/>
      <c r="NDF344" s="29"/>
      <c r="NDG344" s="29"/>
      <c r="NDH344" s="29"/>
      <c r="NDI344" s="29"/>
      <c r="NDJ344" s="29"/>
      <c r="NDK344" s="29"/>
      <c r="NDL344" s="29"/>
      <c r="NDM344" s="29"/>
      <c r="NDN344" s="29"/>
      <c r="NDO344" s="29"/>
      <c r="NDP344" s="29"/>
      <c r="NDQ344" s="29"/>
      <c r="NDR344" s="29"/>
      <c r="NDS344" s="29"/>
      <c r="NDT344" s="29"/>
      <c r="NDU344" s="29"/>
      <c r="NDV344" s="29"/>
      <c r="NDW344" s="29"/>
      <c r="NDX344" s="29"/>
      <c r="NDY344" s="29"/>
      <c r="NDZ344" s="29"/>
      <c r="NEA344" s="29"/>
      <c r="NEB344" s="29"/>
      <c r="NEC344" s="29"/>
      <c r="NED344" s="29"/>
      <c r="NEE344" s="29"/>
      <c r="NEF344" s="29"/>
      <c r="NEG344" s="29"/>
      <c r="NEH344" s="29"/>
      <c r="NEI344" s="29"/>
      <c r="NEJ344" s="29"/>
      <c r="NEK344" s="29"/>
      <c r="NEL344" s="29"/>
      <c r="NEM344" s="29"/>
      <c r="NEN344" s="29"/>
      <c r="NEO344" s="29"/>
      <c r="NEP344" s="29"/>
      <c r="NEQ344" s="29"/>
      <c r="NER344" s="29"/>
      <c r="NES344" s="29"/>
      <c r="NET344" s="29"/>
      <c r="NEU344" s="29"/>
      <c r="NEV344" s="29"/>
      <c r="NEW344" s="29"/>
      <c r="NEX344" s="29"/>
      <c r="NEY344" s="29"/>
      <c r="NEZ344" s="29"/>
      <c r="NFA344" s="29"/>
      <c r="NFB344" s="29"/>
      <c r="NFC344" s="29"/>
      <c r="NFD344" s="29"/>
      <c r="NFE344" s="29"/>
      <c r="NFF344" s="29"/>
      <c r="NFG344" s="29"/>
      <c r="NFH344" s="29"/>
      <c r="NFI344" s="29"/>
      <c r="NFJ344" s="29"/>
      <c r="NFK344" s="29"/>
      <c r="NFL344" s="29"/>
      <c r="NFM344" s="29"/>
      <c r="NFN344" s="29"/>
      <c r="NFO344" s="29"/>
      <c r="NFP344" s="29"/>
      <c r="NFQ344" s="29"/>
      <c r="NFR344" s="29"/>
      <c r="NFS344" s="29"/>
      <c r="NFT344" s="29"/>
      <c r="NFU344" s="29"/>
      <c r="NFV344" s="29"/>
      <c r="NFW344" s="29"/>
      <c r="NFX344" s="29"/>
      <c r="NFY344" s="29"/>
      <c r="NFZ344" s="29"/>
      <c r="NGA344" s="29"/>
      <c r="NGB344" s="29"/>
      <c r="NGC344" s="29"/>
      <c r="NGD344" s="29"/>
      <c r="NGE344" s="29"/>
      <c r="NGF344" s="29"/>
      <c r="NGG344" s="29"/>
      <c r="NGH344" s="29"/>
      <c r="NGI344" s="29"/>
      <c r="NGJ344" s="29"/>
      <c r="NGK344" s="29"/>
      <c r="NGL344" s="29"/>
      <c r="NGM344" s="29"/>
      <c r="NGN344" s="29"/>
      <c r="NGO344" s="29"/>
      <c r="NGP344" s="29"/>
      <c r="NGQ344" s="29"/>
      <c r="NGR344" s="29"/>
      <c r="NGS344" s="29"/>
      <c r="NGT344" s="29"/>
      <c r="NGU344" s="29"/>
      <c r="NGV344" s="29"/>
      <c r="NGW344" s="29"/>
      <c r="NGX344" s="29"/>
      <c r="NGY344" s="29"/>
      <c r="NGZ344" s="29"/>
      <c r="NHA344" s="29"/>
      <c r="NHB344" s="29"/>
      <c r="NHC344" s="29"/>
      <c r="NHD344" s="29"/>
      <c r="NHE344" s="29"/>
      <c r="NHF344" s="29"/>
      <c r="NHG344" s="29"/>
      <c r="NHH344" s="29"/>
      <c r="NHI344" s="29"/>
      <c r="NHJ344" s="29"/>
      <c r="NHK344" s="29"/>
      <c r="NHL344" s="29"/>
      <c r="NHM344" s="29"/>
      <c r="NHN344" s="29"/>
      <c r="NHO344" s="29"/>
      <c r="NHP344" s="29"/>
      <c r="NHQ344" s="29"/>
      <c r="NHR344" s="29"/>
      <c r="NHS344" s="29"/>
      <c r="NHT344" s="29"/>
      <c r="NHU344" s="29"/>
      <c r="NHV344" s="29"/>
      <c r="NHW344" s="29"/>
      <c r="NHX344" s="29"/>
      <c r="NHY344" s="29"/>
      <c r="NHZ344" s="29"/>
      <c r="NIA344" s="29"/>
      <c r="NIB344" s="29"/>
      <c r="NIC344" s="29"/>
      <c r="NID344" s="29"/>
      <c r="NIE344" s="29"/>
      <c r="NIF344" s="29"/>
      <c r="NIG344" s="29"/>
      <c r="NIH344" s="29"/>
      <c r="NII344" s="29"/>
      <c r="NIJ344" s="29"/>
      <c r="NIK344" s="29"/>
      <c r="NIL344" s="29"/>
      <c r="NIM344" s="29"/>
      <c r="NIN344" s="29"/>
      <c r="NIO344" s="29"/>
      <c r="NIP344" s="29"/>
      <c r="NIQ344" s="29"/>
      <c r="NIR344" s="29"/>
      <c r="NIS344" s="29"/>
      <c r="NIT344" s="29"/>
      <c r="NIU344" s="29"/>
      <c r="NIV344" s="29"/>
      <c r="NIW344" s="29"/>
      <c r="NIX344" s="29"/>
      <c r="NIY344" s="29"/>
      <c r="NIZ344" s="29"/>
      <c r="NJA344" s="29"/>
      <c r="NJB344" s="29"/>
      <c r="NJC344" s="29"/>
      <c r="NJD344" s="29"/>
      <c r="NJE344" s="29"/>
      <c r="NJF344" s="29"/>
      <c r="NJG344" s="29"/>
      <c r="NJH344" s="29"/>
      <c r="NJI344" s="29"/>
      <c r="NJJ344" s="29"/>
      <c r="NJK344" s="29"/>
      <c r="NJL344" s="29"/>
      <c r="NJM344" s="29"/>
      <c r="NJN344" s="29"/>
      <c r="NJO344" s="29"/>
      <c r="NJP344" s="29"/>
      <c r="NJQ344" s="29"/>
      <c r="NJR344" s="29"/>
      <c r="NJS344" s="29"/>
      <c r="NJT344" s="29"/>
      <c r="NJU344" s="29"/>
      <c r="NJV344" s="29"/>
      <c r="NJW344" s="29"/>
      <c r="NJX344" s="29"/>
      <c r="NJY344" s="29"/>
      <c r="NJZ344" s="29"/>
      <c r="NKA344" s="29"/>
      <c r="NKB344" s="29"/>
      <c r="NKC344" s="29"/>
      <c r="NKD344" s="29"/>
      <c r="NKE344" s="29"/>
      <c r="NKF344" s="29"/>
      <c r="NKG344" s="29"/>
      <c r="NKH344" s="29"/>
      <c r="NKI344" s="29"/>
      <c r="NKJ344" s="29"/>
      <c r="NKK344" s="29"/>
      <c r="NKL344" s="29"/>
      <c r="NKM344" s="29"/>
      <c r="NKN344" s="29"/>
      <c r="NKO344" s="29"/>
      <c r="NKP344" s="29"/>
      <c r="NKQ344" s="29"/>
      <c r="NKR344" s="29"/>
      <c r="NKS344" s="29"/>
      <c r="NKT344" s="29"/>
      <c r="NKU344" s="29"/>
      <c r="NKV344" s="29"/>
      <c r="NKW344" s="29"/>
      <c r="NKX344" s="29"/>
      <c r="NKY344" s="29"/>
      <c r="NKZ344" s="29"/>
      <c r="NLA344" s="29"/>
      <c r="NLB344" s="29"/>
      <c r="NLC344" s="29"/>
      <c r="NLD344" s="29"/>
      <c r="NLE344" s="29"/>
      <c r="NLF344" s="29"/>
      <c r="NLG344" s="29"/>
      <c r="NLH344" s="29"/>
      <c r="NLI344" s="29"/>
      <c r="NLJ344" s="29"/>
      <c r="NLK344" s="29"/>
      <c r="NLL344" s="29"/>
      <c r="NLM344" s="29"/>
      <c r="NLN344" s="29"/>
      <c r="NLO344" s="29"/>
      <c r="NLP344" s="29"/>
      <c r="NLQ344" s="29"/>
      <c r="NLR344" s="29"/>
      <c r="NLS344" s="29"/>
      <c r="NLT344" s="29"/>
      <c r="NLU344" s="29"/>
      <c r="NLV344" s="29"/>
      <c r="NLW344" s="29"/>
      <c r="NLX344" s="29"/>
      <c r="NLY344" s="29"/>
      <c r="NLZ344" s="29"/>
      <c r="NMA344" s="29"/>
      <c r="NMB344" s="29"/>
      <c r="NMC344" s="29"/>
      <c r="NMD344" s="29"/>
      <c r="NME344" s="29"/>
      <c r="NMF344" s="29"/>
      <c r="NMG344" s="29"/>
      <c r="NMH344" s="29"/>
      <c r="NMI344" s="29"/>
      <c r="NMJ344" s="29"/>
      <c r="NMK344" s="29"/>
      <c r="NML344" s="29"/>
      <c r="NMM344" s="29"/>
      <c r="NMN344" s="29"/>
      <c r="NMO344" s="29"/>
      <c r="NMP344" s="29"/>
      <c r="NMQ344" s="29"/>
      <c r="NMR344" s="29"/>
      <c r="NMS344" s="29"/>
      <c r="NMT344" s="29"/>
      <c r="NMU344" s="29"/>
      <c r="NMV344" s="29"/>
      <c r="NMW344" s="29"/>
      <c r="NMX344" s="29"/>
      <c r="NMY344" s="29"/>
      <c r="NMZ344" s="29"/>
      <c r="NNA344" s="29"/>
      <c r="NNB344" s="29"/>
      <c r="NNC344" s="29"/>
      <c r="NND344" s="29"/>
      <c r="NNE344" s="29"/>
      <c r="NNF344" s="29"/>
      <c r="NNG344" s="29"/>
      <c r="NNH344" s="29"/>
      <c r="NNI344" s="29"/>
      <c r="NNJ344" s="29"/>
      <c r="NNK344" s="29"/>
      <c r="NNL344" s="29"/>
      <c r="NNM344" s="29"/>
      <c r="NNN344" s="29"/>
      <c r="NNO344" s="29"/>
      <c r="NNP344" s="29"/>
      <c r="NNQ344" s="29"/>
      <c r="NNR344" s="29"/>
      <c r="NNS344" s="29"/>
      <c r="NNT344" s="29"/>
      <c r="NNU344" s="29"/>
      <c r="NNV344" s="29"/>
      <c r="NNW344" s="29"/>
      <c r="NNX344" s="29"/>
      <c r="NNY344" s="29"/>
      <c r="NNZ344" s="29"/>
      <c r="NOA344" s="29"/>
      <c r="NOB344" s="29"/>
      <c r="NOC344" s="29"/>
      <c r="NOD344" s="29"/>
      <c r="NOE344" s="29"/>
      <c r="NOF344" s="29"/>
      <c r="NOG344" s="29"/>
      <c r="NOH344" s="29"/>
      <c r="NOI344" s="29"/>
      <c r="NOJ344" s="29"/>
      <c r="NOK344" s="29"/>
      <c r="NOL344" s="29"/>
      <c r="NOM344" s="29"/>
      <c r="NON344" s="29"/>
      <c r="NOO344" s="29"/>
      <c r="NOP344" s="29"/>
      <c r="NOQ344" s="29"/>
      <c r="NOR344" s="29"/>
      <c r="NOS344" s="29"/>
      <c r="NOT344" s="29"/>
      <c r="NOU344" s="29"/>
      <c r="NOV344" s="29"/>
      <c r="NOW344" s="29"/>
      <c r="NOX344" s="29"/>
      <c r="NOY344" s="29"/>
      <c r="NOZ344" s="29"/>
      <c r="NPA344" s="29"/>
      <c r="NPB344" s="29"/>
      <c r="NPC344" s="29"/>
      <c r="NPD344" s="29"/>
      <c r="NPE344" s="29"/>
      <c r="NPF344" s="29"/>
      <c r="NPG344" s="29"/>
      <c r="NPH344" s="29"/>
      <c r="NPI344" s="29"/>
      <c r="NPJ344" s="29"/>
      <c r="NPK344" s="29"/>
      <c r="NPL344" s="29"/>
      <c r="NPM344" s="29"/>
      <c r="NPN344" s="29"/>
      <c r="NPO344" s="29"/>
      <c r="NPP344" s="29"/>
      <c r="NPQ344" s="29"/>
      <c r="NPR344" s="29"/>
      <c r="NPS344" s="29"/>
      <c r="NPT344" s="29"/>
      <c r="NPU344" s="29"/>
      <c r="NPV344" s="29"/>
      <c r="NPW344" s="29"/>
      <c r="NPX344" s="29"/>
      <c r="NPY344" s="29"/>
      <c r="NPZ344" s="29"/>
      <c r="NQA344" s="29"/>
      <c r="NQB344" s="29"/>
      <c r="NQC344" s="29"/>
      <c r="NQD344" s="29"/>
      <c r="NQE344" s="29"/>
      <c r="NQF344" s="29"/>
      <c r="NQG344" s="29"/>
      <c r="NQH344" s="29"/>
      <c r="NQI344" s="29"/>
      <c r="NQJ344" s="29"/>
      <c r="NQK344" s="29"/>
      <c r="NQL344" s="29"/>
      <c r="NQM344" s="29"/>
      <c r="NQN344" s="29"/>
      <c r="NQO344" s="29"/>
      <c r="NQP344" s="29"/>
      <c r="NQQ344" s="29"/>
      <c r="NQR344" s="29"/>
      <c r="NQS344" s="29"/>
      <c r="NQT344" s="29"/>
      <c r="NQU344" s="29"/>
      <c r="NQV344" s="29"/>
      <c r="NQW344" s="29"/>
      <c r="NQX344" s="29"/>
      <c r="NQY344" s="29"/>
      <c r="NQZ344" s="29"/>
      <c r="NRA344" s="29"/>
      <c r="NRB344" s="29"/>
      <c r="NRC344" s="29"/>
      <c r="NRD344" s="29"/>
      <c r="NRE344" s="29"/>
      <c r="NRF344" s="29"/>
      <c r="NRG344" s="29"/>
      <c r="NRH344" s="29"/>
      <c r="NRI344" s="29"/>
      <c r="NRJ344" s="29"/>
      <c r="NRK344" s="29"/>
      <c r="NRL344" s="29"/>
      <c r="NRM344" s="29"/>
      <c r="NRN344" s="29"/>
      <c r="NRO344" s="29"/>
      <c r="NRP344" s="29"/>
      <c r="NRQ344" s="29"/>
      <c r="NRR344" s="29"/>
      <c r="NRS344" s="29"/>
      <c r="NRT344" s="29"/>
      <c r="NRU344" s="29"/>
      <c r="NRV344" s="29"/>
      <c r="NRW344" s="29"/>
      <c r="NRX344" s="29"/>
      <c r="NRY344" s="29"/>
      <c r="NRZ344" s="29"/>
      <c r="NSA344" s="29"/>
      <c r="NSB344" s="29"/>
      <c r="NSC344" s="29"/>
      <c r="NSD344" s="29"/>
      <c r="NSE344" s="29"/>
      <c r="NSF344" s="29"/>
      <c r="NSG344" s="29"/>
      <c r="NSH344" s="29"/>
      <c r="NSI344" s="29"/>
      <c r="NSJ344" s="29"/>
      <c r="NSK344" s="29"/>
      <c r="NSL344" s="29"/>
      <c r="NSM344" s="29"/>
      <c r="NSN344" s="29"/>
      <c r="NSO344" s="29"/>
      <c r="NSP344" s="29"/>
      <c r="NSQ344" s="29"/>
      <c r="NSR344" s="29"/>
      <c r="NSS344" s="29"/>
      <c r="NST344" s="29"/>
      <c r="NSU344" s="29"/>
      <c r="NSV344" s="29"/>
      <c r="NSW344" s="29"/>
      <c r="NSX344" s="29"/>
      <c r="NSY344" s="29"/>
      <c r="NSZ344" s="29"/>
      <c r="NTA344" s="29"/>
      <c r="NTB344" s="29"/>
      <c r="NTC344" s="29"/>
      <c r="NTD344" s="29"/>
      <c r="NTE344" s="29"/>
      <c r="NTF344" s="29"/>
      <c r="NTG344" s="29"/>
      <c r="NTH344" s="29"/>
      <c r="NTI344" s="29"/>
      <c r="NTJ344" s="29"/>
      <c r="NTK344" s="29"/>
      <c r="NTL344" s="29"/>
      <c r="NTM344" s="29"/>
      <c r="NTN344" s="29"/>
      <c r="NTO344" s="29"/>
      <c r="NTP344" s="29"/>
      <c r="NTQ344" s="29"/>
      <c r="NTR344" s="29"/>
      <c r="NTS344" s="29"/>
      <c r="NTT344" s="29"/>
      <c r="NTU344" s="29"/>
      <c r="NTV344" s="29"/>
      <c r="NTW344" s="29"/>
      <c r="NTX344" s="29"/>
      <c r="NTY344" s="29"/>
      <c r="NTZ344" s="29"/>
      <c r="NUA344" s="29"/>
      <c r="NUB344" s="29"/>
      <c r="NUC344" s="29"/>
      <c r="NUD344" s="29"/>
      <c r="NUE344" s="29"/>
      <c r="NUF344" s="29"/>
      <c r="NUG344" s="29"/>
      <c r="NUH344" s="29"/>
      <c r="NUI344" s="29"/>
      <c r="NUJ344" s="29"/>
      <c r="NUK344" s="29"/>
      <c r="NUL344" s="29"/>
      <c r="NUM344" s="29"/>
      <c r="NUN344" s="29"/>
      <c r="NUO344" s="29"/>
      <c r="NUP344" s="29"/>
      <c r="NUQ344" s="29"/>
      <c r="NUR344" s="29"/>
      <c r="NUS344" s="29"/>
      <c r="NUT344" s="29"/>
      <c r="NUU344" s="29"/>
      <c r="NUV344" s="29"/>
      <c r="NUW344" s="29"/>
      <c r="NUX344" s="29"/>
      <c r="NUY344" s="29"/>
      <c r="NUZ344" s="29"/>
      <c r="NVA344" s="29"/>
      <c r="NVB344" s="29"/>
      <c r="NVC344" s="29"/>
      <c r="NVD344" s="29"/>
      <c r="NVE344" s="29"/>
      <c r="NVF344" s="29"/>
      <c r="NVG344" s="29"/>
      <c r="NVH344" s="29"/>
      <c r="NVI344" s="29"/>
      <c r="NVJ344" s="29"/>
      <c r="NVK344" s="29"/>
      <c r="NVL344" s="29"/>
      <c r="NVM344" s="29"/>
      <c r="NVN344" s="29"/>
      <c r="NVO344" s="29"/>
      <c r="NVP344" s="29"/>
      <c r="NVQ344" s="29"/>
      <c r="NVR344" s="29"/>
      <c r="NVS344" s="29"/>
      <c r="NVT344" s="29"/>
      <c r="NVU344" s="29"/>
      <c r="NVV344" s="29"/>
      <c r="NVW344" s="29"/>
      <c r="NVX344" s="29"/>
      <c r="NVY344" s="29"/>
      <c r="NVZ344" s="29"/>
      <c r="NWA344" s="29"/>
      <c r="NWB344" s="29"/>
      <c r="NWC344" s="29"/>
      <c r="NWD344" s="29"/>
      <c r="NWE344" s="29"/>
      <c r="NWF344" s="29"/>
      <c r="NWG344" s="29"/>
      <c r="NWH344" s="29"/>
      <c r="NWI344" s="29"/>
      <c r="NWJ344" s="29"/>
      <c r="NWK344" s="29"/>
      <c r="NWL344" s="29"/>
      <c r="NWM344" s="29"/>
      <c r="NWN344" s="29"/>
      <c r="NWO344" s="29"/>
      <c r="NWP344" s="29"/>
      <c r="NWQ344" s="29"/>
      <c r="NWR344" s="29"/>
      <c r="NWS344" s="29"/>
      <c r="NWT344" s="29"/>
      <c r="NWU344" s="29"/>
      <c r="NWV344" s="29"/>
      <c r="NWW344" s="29"/>
      <c r="NWX344" s="29"/>
      <c r="NWY344" s="29"/>
      <c r="NWZ344" s="29"/>
      <c r="NXA344" s="29"/>
      <c r="NXB344" s="29"/>
      <c r="NXC344" s="29"/>
      <c r="NXD344" s="29"/>
      <c r="NXE344" s="29"/>
      <c r="NXF344" s="29"/>
      <c r="NXG344" s="29"/>
      <c r="NXH344" s="29"/>
      <c r="NXI344" s="29"/>
      <c r="NXJ344" s="29"/>
      <c r="NXK344" s="29"/>
      <c r="NXL344" s="29"/>
      <c r="NXM344" s="29"/>
      <c r="NXN344" s="29"/>
      <c r="NXO344" s="29"/>
      <c r="NXP344" s="29"/>
      <c r="NXQ344" s="29"/>
      <c r="NXR344" s="29"/>
      <c r="NXS344" s="29"/>
      <c r="NXT344" s="29"/>
      <c r="NXU344" s="29"/>
      <c r="NXV344" s="29"/>
      <c r="NXW344" s="29"/>
      <c r="NXX344" s="29"/>
      <c r="NXY344" s="29"/>
      <c r="NXZ344" s="29"/>
      <c r="NYA344" s="29"/>
      <c r="NYB344" s="29"/>
      <c r="NYC344" s="29"/>
      <c r="NYD344" s="29"/>
      <c r="NYE344" s="29"/>
      <c r="NYF344" s="29"/>
      <c r="NYG344" s="29"/>
      <c r="NYH344" s="29"/>
      <c r="NYI344" s="29"/>
      <c r="NYJ344" s="29"/>
      <c r="NYK344" s="29"/>
      <c r="NYL344" s="29"/>
      <c r="NYM344" s="29"/>
      <c r="NYN344" s="29"/>
      <c r="NYO344" s="29"/>
      <c r="NYP344" s="29"/>
      <c r="NYQ344" s="29"/>
      <c r="NYR344" s="29"/>
      <c r="NYS344" s="29"/>
      <c r="NYT344" s="29"/>
      <c r="NYU344" s="29"/>
      <c r="NYV344" s="29"/>
      <c r="NYW344" s="29"/>
      <c r="NYX344" s="29"/>
      <c r="NYY344" s="29"/>
      <c r="NYZ344" s="29"/>
      <c r="NZA344" s="29"/>
      <c r="NZB344" s="29"/>
      <c r="NZC344" s="29"/>
      <c r="NZD344" s="29"/>
      <c r="NZE344" s="29"/>
      <c r="NZF344" s="29"/>
      <c r="NZG344" s="29"/>
      <c r="NZH344" s="29"/>
      <c r="NZI344" s="29"/>
      <c r="NZJ344" s="29"/>
      <c r="NZK344" s="29"/>
      <c r="NZL344" s="29"/>
      <c r="NZM344" s="29"/>
      <c r="NZN344" s="29"/>
      <c r="NZO344" s="29"/>
      <c r="NZP344" s="29"/>
      <c r="NZQ344" s="29"/>
      <c r="NZR344" s="29"/>
      <c r="NZS344" s="29"/>
      <c r="NZT344" s="29"/>
      <c r="NZU344" s="29"/>
      <c r="NZV344" s="29"/>
      <c r="NZW344" s="29"/>
      <c r="NZX344" s="29"/>
      <c r="NZY344" s="29"/>
      <c r="NZZ344" s="29"/>
      <c r="OAA344" s="29"/>
      <c r="OAB344" s="29"/>
      <c r="OAC344" s="29"/>
      <c r="OAD344" s="29"/>
      <c r="OAE344" s="29"/>
      <c r="OAF344" s="29"/>
      <c r="OAG344" s="29"/>
      <c r="OAH344" s="29"/>
      <c r="OAI344" s="29"/>
      <c r="OAJ344" s="29"/>
      <c r="OAK344" s="29"/>
      <c r="OAL344" s="29"/>
      <c r="OAM344" s="29"/>
      <c r="OAN344" s="29"/>
      <c r="OAO344" s="29"/>
      <c r="OAP344" s="29"/>
      <c r="OAQ344" s="29"/>
      <c r="OAR344" s="29"/>
      <c r="OAS344" s="29"/>
      <c r="OAT344" s="29"/>
      <c r="OAU344" s="29"/>
      <c r="OAV344" s="29"/>
      <c r="OAW344" s="29"/>
      <c r="OAX344" s="29"/>
      <c r="OAY344" s="29"/>
      <c r="OAZ344" s="29"/>
      <c r="OBA344" s="29"/>
      <c r="OBB344" s="29"/>
      <c r="OBC344" s="29"/>
      <c r="OBD344" s="29"/>
      <c r="OBE344" s="29"/>
      <c r="OBF344" s="29"/>
      <c r="OBG344" s="29"/>
      <c r="OBH344" s="29"/>
      <c r="OBI344" s="29"/>
      <c r="OBJ344" s="29"/>
      <c r="OBK344" s="29"/>
      <c r="OBL344" s="29"/>
      <c r="OBM344" s="29"/>
      <c r="OBN344" s="29"/>
      <c r="OBO344" s="29"/>
      <c r="OBP344" s="29"/>
      <c r="OBQ344" s="29"/>
      <c r="OBR344" s="29"/>
      <c r="OBS344" s="29"/>
      <c r="OBT344" s="29"/>
      <c r="OBU344" s="29"/>
      <c r="OBV344" s="29"/>
      <c r="OBW344" s="29"/>
      <c r="OBX344" s="29"/>
      <c r="OBY344" s="29"/>
      <c r="OBZ344" s="29"/>
      <c r="OCA344" s="29"/>
      <c r="OCB344" s="29"/>
      <c r="OCC344" s="29"/>
      <c r="OCD344" s="29"/>
      <c r="OCE344" s="29"/>
      <c r="OCF344" s="29"/>
      <c r="OCG344" s="29"/>
      <c r="OCH344" s="29"/>
      <c r="OCI344" s="29"/>
      <c r="OCJ344" s="29"/>
      <c r="OCK344" s="29"/>
      <c r="OCL344" s="29"/>
      <c r="OCM344" s="29"/>
      <c r="OCN344" s="29"/>
      <c r="OCO344" s="29"/>
      <c r="OCP344" s="29"/>
      <c r="OCQ344" s="29"/>
      <c r="OCR344" s="29"/>
      <c r="OCS344" s="29"/>
      <c r="OCT344" s="29"/>
      <c r="OCU344" s="29"/>
      <c r="OCV344" s="29"/>
      <c r="OCW344" s="29"/>
      <c r="OCX344" s="29"/>
      <c r="OCY344" s="29"/>
      <c r="OCZ344" s="29"/>
      <c r="ODA344" s="29"/>
      <c r="ODB344" s="29"/>
      <c r="ODC344" s="29"/>
      <c r="ODD344" s="29"/>
      <c r="ODE344" s="29"/>
      <c r="ODF344" s="29"/>
      <c r="ODG344" s="29"/>
      <c r="ODH344" s="29"/>
      <c r="ODI344" s="29"/>
      <c r="ODJ344" s="29"/>
      <c r="ODK344" s="29"/>
      <c r="ODL344" s="29"/>
      <c r="ODM344" s="29"/>
      <c r="ODN344" s="29"/>
      <c r="ODO344" s="29"/>
      <c r="ODP344" s="29"/>
      <c r="ODQ344" s="29"/>
      <c r="ODR344" s="29"/>
      <c r="ODS344" s="29"/>
      <c r="ODT344" s="29"/>
      <c r="ODU344" s="29"/>
      <c r="ODV344" s="29"/>
      <c r="ODW344" s="29"/>
      <c r="ODX344" s="29"/>
      <c r="ODY344" s="29"/>
      <c r="ODZ344" s="29"/>
      <c r="OEA344" s="29"/>
      <c r="OEB344" s="29"/>
      <c r="OEC344" s="29"/>
      <c r="OED344" s="29"/>
      <c r="OEE344" s="29"/>
      <c r="OEF344" s="29"/>
      <c r="OEG344" s="29"/>
      <c r="OEH344" s="29"/>
      <c r="OEI344" s="29"/>
      <c r="OEJ344" s="29"/>
      <c r="OEK344" s="29"/>
      <c r="OEL344" s="29"/>
      <c r="OEM344" s="29"/>
      <c r="OEN344" s="29"/>
      <c r="OEO344" s="29"/>
      <c r="OEP344" s="29"/>
      <c r="OEQ344" s="29"/>
      <c r="OER344" s="29"/>
      <c r="OES344" s="29"/>
      <c r="OET344" s="29"/>
      <c r="OEU344" s="29"/>
      <c r="OEV344" s="29"/>
      <c r="OEW344" s="29"/>
      <c r="OEX344" s="29"/>
      <c r="OEY344" s="29"/>
      <c r="OEZ344" s="29"/>
      <c r="OFA344" s="29"/>
      <c r="OFB344" s="29"/>
      <c r="OFC344" s="29"/>
      <c r="OFD344" s="29"/>
      <c r="OFE344" s="29"/>
      <c r="OFF344" s="29"/>
      <c r="OFG344" s="29"/>
      <c r="OFH344" s="29"/>
      <c r="OFI344" s="29"/>
      <c r="OFJ344" s="29"/>
      <c r="OFK344" s="29"/>
      <c r="OFL344" s="29"/>
      <c r="OFM344" s="29"/>
      <c r="OFN344" s="29"/>
      <c r="OFO344" s="29"/>
      <c r="OFP344" s="29"/>
      <c r="OFQ344" s="29"/>
      <c r="OFR344" s="29"/>
      <c r="OFS344" s="29"/>
      <c r="OFT344" s="29"/>
      <c r="OFU344" s="29"/>
      <c r="OFV344" s="29"/>
      <c r="OFW344" s="29"/>
      <c r="OFX344" s="29"/>
      <c r="OFY344" s="29"/>
      <c r="OFZ344" s="29"/>
      <c r="OGA344" s="29"/>
      <c r="OGB344" s="29"/>
      <c r="OGC344" s="29"/>
      <c r="OGD344" s="29"/>
      <c r="OGE344" s="29"/>
      <c r="OGF344" s="29"/>
      <c r="OGG344" s="29"/>
      <c r="OGH344" s="29"/>
      <c r="OGI344" s="29"/>
      <c r="OGJ344" s="29"/>
      <c r="OGK344" s="29"/>
      <c r="OGL344" s="29"/>
      <c r="OGM344" s="29"/>
      <c r="OGN344" s="29"/>
      <c r="OGO344" s="29"/>
      <c r="OGP344" s="29"/>
      <c r="OGQ344" s="29"/>
      <c r="OGR344" s="29"/>
      <c r="OGS344" s="29"/>
      <c r="OGT344" s="29"/>
      <c r="OGU344" s="29"/>
      <c r="OGV344" s="29"/>
      <c r="OGW344" s="29"/>
      <c r="OGX344" s="29"/>
      <c r="OGY344" s="29"/>
      <c r="OGZ344" s="29"/>
      <c r="OHA344" s="29"/>
      <c r="OHB344" s="29"/>
      <c r="OHC344" s="29"/>
      <c r="OHD344" s="29"/>
      <c r="OHE344" s="29"/>
      <c r="OHF344" s="29"/>
      <c r="OHG344" s="29"/>
      <c r="OHH344" s="29"/>
      <c r="OHI344" s="29"/>
      <c r="OHJ344" s="29"/>
      <c r="OHK344" s="29"/>
      <c r="OHL344" s="29"/>
      <c r="OHM344" s="29"/>
      <c r="OHN344" s="29"/>
      <c r="OHO344" s="29"/>
      <c r="OHP344" s="29"/>
      <c r="OHQ344" s="29"/>
      <c r="OHR344" s="29"/>
      <c r="OHS344" s="29"/>
      <c r="OHT344" s="29"/>
      <c r="OHU344" s="29"/>
      <c r="OHV344" s="29"/>
      <c r="OHW344" s="29"/>
      <c r="OHX344" s="29"/>
      <c r="OHY344" s="29"/>
      <c r="OHZ344" s="29"/>
      <c r="OIA344" s="29"/>
      <c r="OIB344" s="29"/>
      <c r="OIC344" s="29"/>
      <c r="OID344" s="29"/>
      <c r="OIE344" s="29"/>
      <c r="OIF344" s="29"/>
      <c r="OIG344" s="29"/>
      <c r="OIH344" s="29"/>
      <c r="OII344" s="29"/>
      <c r="OIJ344" s="29"/>
      <c r="OIK344" s="29"/>
      <c r="OIL344" s="29"/>
      <c r="OIM344" s="29"/>
      <c r="OIN344" s="29"/>
      <c r="OIO344" s="29"/>
      <c r="OIP344" s="29"/>
      <c r="OIQ344" s="29"/>
      <c r="OIR344" s="29"/>
      <c r="OIS344" s="29"/>
      <c r="OIT344" s="29"/>
      <c r="OIU344" s="29"/>
      <c r="OIV344" s="29"/>
      <c r="OIW344" s="29"/>
      <c r="OIX344" s="29"/>
      <c r="OIY344" s="29"/>
      <c r="OIZ344" s="29"/>
      <c r="OJA344" s="29"/>
      <c r="OJB344" s="29"/>
      <c r="OJC344" s="29"/>
      <c r="OJD344" s="29"/>
      <c r="OJE344" s="29"/>
      <c r="OJF344" s="29"/>
      <c r="OJG344" s="29"/>
      <c r="OJH344" s="29"/>
      <c r="OJI344" s="29"/>
      <c r="OJJ344" s="29"/>
      <c r="OJK344" s="29"/>
      <c r="OJL344" s="29"/>
      <c r="OJM344" s="29"/>
      <c r="OJN344" s="29"/>
      <c r="OJO344" s="29"/>
      <c r="OJP344" s="29"/>
      <c r="OJQ344" s="29"/>
      <c r="OJR344" s="29"/>
      <c r="OJS344" s="29"/>
      <c r="OJT344" s="29"/>
      <c r="OJU344" s="29"/>
      <c r="OJV344" s="29"/>
      <c r="OJW344" s="29"/>
      <c r="OJX344" s="29"/>
      <c r="OJY344" s="29"/>
      <c r="OJZ344" s="29"/>
      <c r="OKA344" s="29"/>
      <c r="OKB344" s="29"/>
      <c r="OKC344" s="29"/>
      <c r="OKD344" s="29"/>
      <c r="OKE344" s="29"/>
      <c r="OKF344" s="29"/>
      <c r="OKG344" s="29"/>
      <c r="OKH344" s="29"/>
      <c r="OKI344" s="29"/>
      <c r="OKJ344" s="29"/>
      <c r="OKK344" s="29"/>
      <c r="OKL344" s="29"/>
      <c r="OKM344" s="29"/>
      <c r="OKN344" s="29"/>
      <c r="OKO344" s="29"/>
      <c r="OKP344" s="29"/>
      <c r="OKQ344" s="29"/>
      <c r="OKR344" s="29"/>
      <c r="OKS344" s="29"/>
      <c r="OKT344" s="29"/>
      <c r="OKU344" s="29"/>
      <c r="OKV344" s="29"/>
      <c r="OKW344" s="29"/>
      <c r="OKX344" s="29"/>
      <c r="OKY344" s="29"/>
      <c r="OKZ344" s="29"/>
      <c r="OLA344" s="29"/>
      <c r="OLB344" s="29"/>
      <c r="OLC344" s="29"/>
      <c r="OLD344" s="29"/>
      <c r="OLE344" s="29"/>
      <c r="OLF344" s="29"/>
      <c r="OLG344" s="29"/>
      <c r="OLH344" s="29"/>
      <c r="OLI344" s="29"/>
      <c r="OLJ344" s="29"/>
      <c r="OLK344" s="29"/>
      <c r="OLL344" s="29"/>
      <c r="OLM344" s="29"/>
      <c r="OLN344" s="29"/>
      <c r="OLO344" s="29"/>
      <c r="OLP344" s="29"/>
      <c r="OLQ344" s="29"/>
      <c r="OLR344" s="29"/>
      <c r="OLS344" s="29"/>
      <c r="OLT344" s="29"/>
      <c r="OLU344" s="29"/>
      <c r="OLV344" s="29"/>
      <c r="OLW344" s="29"/>
      <c r="OLX344" s="29"/>
      <c r="OLY344" s="29"/>
      <c r="OLZ344" s="29"/>
      <c r="OMA344" s="29"/>
      <c r="OMB344" s="29"/>
      <c r="OMC344" s="29"/>
      <c r="OMD344" s="29"/>
      <c r="OME344" s="29"/>
      <c r="OMF344" s="29"/>
      <c r="OMG344" s="29"/>
      <c r="OMH344" s="29"/>
      <c r="OMI344" s="29"/>
      <c r="OMJ344" s="29"/>
      <c r="OMK344" s="29"/>
      <c r="OML344" s="29"/>
      <c r="OMM344" s="29"/>
      <c r="OMN344" s="29"/>
      <c r="OMO344" s="29"/>
      <c r="OMP344" s="29"/>
      <c r="OMQ344" s="29"/>
      <c r="OMR344" s="29"/>
      <c r="OMS344" s="29"/>
      <c r="OMT344" s="29"/>
      <c r="OMU344" s="29"/>
      <c r="OMV344" s="29"/>
      <c r="OMW344" s="29"/>
      <c r="OMX344" s="29"/>
      <c r="OMY344" s="29"/>
      <c r="OMZ344" s="29"/>
      <c r="ONA344" s="29"/>
      <c r="ONB344" s="29"/>
      <c r="ONC344" s="29"/>
      <c r="OND344" s="29"/>
      <c r="ONE344" s="29"/>
      <c r="ONF344" s="29"/>
      <c r="ONG344" s="29"/>
      <c r="ONH344" s="29"/>
      <c r="ONI344" s="29"/>
      <c r="ONJ344" s="29"/>
      <c r="ONK344" s="29"/>
      <c r="ONL344" s="29"/>
      <c r="ONM344" s="29"/>
      <c r="ONN344" s="29"/>
      <c r="ONO344" s="29"/>
      <c r="ONP344" s="29"/>
      <c r="ONQ344" s="29"/>
      <c r="ONR344" s="29"/>
      <c r="ONS344" s="29"/>
      <c r="ONT344" s="29"/>
      <c r="ONU344" s="29"/>
      <c r="ONV344" s="29"/>
      <c r="ONW344" s="29"/>
      <c r="ONX344" s="29"/>
      <c r="ONY344" s="29"/>
      <c r="ONZ344" s="29"/>
      <c r="OOA344" s="29"/>
      <c r="OOB344" s="29"/>
      <c r="OOC344" s="29"/>
      <c r="OOD344" s="29"/>
      <c r="OOE344" s="29"/>
      <c r="OOF344" s="29"/>
      <c r="OOG344" s="29"/>
      <c r="OOH344" s="29"/>
      <c r="OOI344" s="29"/>
      <c r="OOJ344" s="29"/>
      <c r="OOK344" s="29"/>
      <c r="OOL344" s="29"/>
      <c r="OOM344" s="29"/>
      <c r="OON344" s="29"/>
      <c r="OOO344" s="29"/>
      <c r="OOP344" s="29"/>
      <c r="OOQ344" s="29"/>
      <c r="OOR344" s="29"/>
      <c r="OOS344" s="29"/>
      <c r="OOT344" s="29"/>
      <c r="OOU344" s="29"/>
      <c r="OOV344" s="29"/>
      <c r="OOW344" s="29"/>
      <c r="OOX344" s="29"/>
      <c r="OOY344" s="29"/>
      <c r="OOZ344" s="29"/>
      <c r="OPA344" s="29"/>
      <c r="OPB344" s="29"/>
      <c r="OPC344" s="29"/>
      <c r="OPD344" s="29"/>
      <c r="OPE344" s="29"/>
      <c r="OPF344" s="29"/>
      <c r="OPG344" s="29"/>
      <c r="OPH344" s="29"/>
      <c r="OPI344" s="29"/>
      <c r="OPJ344" s="29"/>
      <c r="OPK344" s="29"/>
      <c r="OPL344" s="29"/>
      <c r="OPM344" s="29"/>
      <c r="OPN344" s="29"/>
      <c r="OPO344" s="29"/>
      <c r="OPP344" s="29"/>
      <c r="OPQ344" s="29"/>
      <c r="OPR344" s="29"/>
      <c r="OPS344" s="29"/>
      <c r="OPT344" s="29"/>
      <c r="OPU344" s="29"/>
      <c r="OPV344" s="29"/>
      <c r="OPW344" s="29"/>
      <c r="OPX344" s="29"/>
      <c r="OPY344" s="29"/>
      <c r="OPZ344" s="29"/>
      <c r="OQA344" s="29"/>
      <c r="OQB344" s="29"/>
      <c r="OQC344" s="29"/>
      <c r="OQD344" s="29"/>
      <c r="OQE344" s="29"/>
      <c r="OQF344" s="29"/>
      <c r="OQG344" s="29"/>
      <c r="OQH344" s="29"/>
      <c r="OQI344" s="29"/>
      <c r="OQJ344" s="29"/>
      <c r="OQK344" s="29"/>
      <c r="OQL344" s="29"/>
      <c r="OQM344" s="29"/>
      <c r="OQN344" s="29"/>
      <c r="OQO344" s="29"/>
      <c r="OQP344" s="29"/>
      <c r="OQQ344" s="29"/>
      <c r="OQR344" s="29"/>
      <c r="OQS344" s="29"/>
      <c r="OQT344" s="29"/>
      <c r="OQU344" s="29"/>
      <c r="OQV344" s="29"/>
      <c r="OQW344" s="29"/>
      <c r="OQX344" s="29"/>
      <c r="OQY344" s="29"/>
      <c r="OQZ344" s="29"/>
      <c r="ORA344" s="29"/>
      <c r="ORB344" s="29"/>
      <c r="ORC344" s="29"/>
      <c r="ORD344" s="29"/>
      <c r="ORE344" s="29"/>
      <c r="ORF344" s="29"/>
      <c r="ORG344" s="29"/>
      <c r="ORH344" s="29"/>
      <c r="ORI344" s="29"/>
      <c r="ORJ344" s="29"/>
      <c r="ORK344" s="29"/>
      <c r="ORL344" s="29"/>
      <c r="ORM344" s="29"/>
      <c r="ORN344" s="29"/>
      <c r="ORO344" s="29"/>
      <c r="ORP344" s="29"/>
      <c r="ORQ344" s="29"/>
      <c r="ORR344" s="29"/>
      <c r="ORS344" s="29"/>
      <c r="ORT344" s="29"/>
      <c r="ORU344" s="29"/>
      <c r="ORV344" s="29"/>
      <c r="ORW344" s="29"/>
      <c r="ORX344" s="29"/>
      <c r="ORY344" s="29"/>
      <c r="ORZ344" s="29"/>
      <c r="OSA344" s="29"/>
      <c r="OSB344" s="29"/>
      <c r="OSC344" s="29"/>
      <c r="OSD344" s="29"/>
      <c r="OSE344" s="29"/>
      <c r="OSF344" s="29"/>
      <c r="OSG344" s="29"/>
      <c r="OSH344" s="29"/>
      <c r="OSI344" s="29"/>
      <c r="OSJ344" s="29"/>
      <c r="OSK344" s="29"/>
      <c r="OSL344" s="29"/>
      <c r="OSM344" s="29"/>
      <c r="OSN344" s="29"/>
      <c r="OSO344" s="29"/>
      <c r="OSP344" s="29"/>
      <c r="OSQ344" s="29"/>
      <c r="OSR344" s="29"/>
      <c r="OSS344" s="29"/>
      <c r="OST344" s="29"/>
      <c r="OSU344" s="29"/>
      <c r="OSV344" s="29"/>
      <c r="OSW344" s="29"/>
      <c r="OSX344" s="29"/>
      <c r="OSY344" s="29"/>
      <c r="OSZ344" s="29"/>
      <c r="OTA344" s="29"/>
      <c r="OTB344" s="29"/>
      <c r="OTC344" s="29"/>
      <c r="OTD344" s="29"/>
      <c r="OTE344" s="29"/>
      <c r="OTF344" s="29"/>
      <c r="OTG344" s="29"/>
      <c r="OTH344" s="29"/>
      <c r="OTI344" s="29"/>
      <c r="OTJ344" s="29"/>
      <c r="OTK344" s="29"/>
      <c r="OTL344" s="29"/>
      <c r="OTM344" s="29"/>
      <c r="OTN344" s="29"/>
      <c r="OTO344" s="29"/>
      <c r="OTP344" s="29"/>
      <c r="OTQ344" s="29"/>
      <c r="OTR344" s="29"/>
      <c r="OTS344" s="29"/>
      <c r="OTT344" s="29"/>
      <c r="OTU344" s="29"/>
      <c r="OTV344" s="29"/>
      <c r="OTW344" s="29"/>
      <c r="OTX344" s="29"/>
      <c r="OTY344" s="29"/>
      <c r="OTZ344" s="29"/>
      <c r="OUA344" s="29"/>
      <c r="OUB344" s="29"/>
      <c r="OUC344" s="29"/>
      <c r="OUD344" s="29"/>
      <c r="OUE344" s="29"/>
      <c r="OUF344" s="29"/>
      <c r="OUG344" s="29"/>
      <c r="OUH344" s="29"/>
      <c r="OUI344" s="29"/>
      <c r="OUJ344" s="29"/>
      <c r="OUK344" s="29"/>
      <c r="OUL344" s="29"/>
      <c r="OUM344" s="29"/>
      <c r="OUN344" s="29"/>
      <c r="OUO344" s="29"/>
      <c r="OUP344" s="29"/>
      <c r="OUQ344" s="29"/>
      <c r="OUR344" s="29"/>
      <c r="OUS344" s="29"/>
      <c r="OUT344" s="29"/>
      <c r="OUU344" s="29"/>
      <c r="OUV344" s="29"/>
      <c r="OUW344" s="29"/>
      <c r="OUX344" s="29"/>
      <c r="OUY344" s="29"/>
      <c r="OUZ344" s="29"/>
      <c r="OVA344" s="29"/>
      <c r="OVB344" s="29"/>
      <c r="OVC344" s="29"/>
      <c r="OVD344" s="29"/>
      <c r="OVE344" s="29"/>
      <c r="OVF344" s="29"/>
      <c r="OVG344" s="29"/>
      <c r="OVH344" s="29"/>
      <c r="OVI344" s="29"/>
      <c r="OVJ344" s="29"/>
      <c r="OVK344" s="29"/>
      <c r="OVL344" s="29"/>
      <c r="OVM344" s="29"/>
      <c r="OVN344" s="29"/>
      <c r="OVO344" s="29"/>
      <c r="OVP344" s="29"/>
      <c r="OVQ344" s="29"/>
      <c r="OVR344" s="29"/>
      <c r="OVS344" s="29"/>
      <c r="OVT344" s="29"/>
      <c r="OVU344" s="29"/>
      <c r="OVV344" s="29"/>
      <c r="OVW344" s="29"/>
      <c r="OVX344" s="29"/>
      <c r="OVY344" s="29"/>
      <c r="OVZ344" s="29"/>
      <c r="OWA344" s="29"/>
      <c r="OWB344" s="29"/>
      <c r="OWC344" s="29"/>
      <c r="OWD344" s="29"/>
      <c r="OWE344" s="29"/>
      <c r="OWF344" s="29"/>
      <c r="OWG344" s="29"/>
      <c r="OWH344" s="29"/>
      <c r="OWI344" s="29"/>
      <c r="OWJ344" s="29"/>
      <c r="OWK344" s="29"/>
      <c r="OWL344" s="29"/>
      <c r="OWM344" s="29"/>
      <c r="OWN344" s="29"/>
      <c r="OWO344" s="29"/>
      <c r="OWP344" s="29"/>
      <c r="OWQ344" s="29"/>
      <c r="OWR344" s="29"/>
      <c r="OWS344" s="29"/>
      <c r="OWT344" s="29"/>
      <c r="OWU344" s="29"/>
      <c r="OWV344" s="29"/>
      <c r="OWW344" s="29"/>
      <c r="OWX344" s="29"/>
      <c r="OWY344" s="29"/>
      <c r="OWZ344" s="29"/>
      <c r="OXA344" s="29"/>
      <c r="OXB344" s="29"/>
      <c r="OXC344" s="29"/>
      <c r="OXD344" s="29"/>
      <c r="OXE344" s="29"/>
      <c r="OXF344" s="29"/>
      <c r="OXG344" s="29"/>
      <c r="OXH344" s="29"/>
      <c r="OXI344" s="29"/>
      <c r="OXJ344" s="29"/>
      <c r="OXK344" s="29"/>
      <c r="OXL344" s="29"/>
      <c r="OXM344" s="29"/>
      <c r="OXN344" s="29"/>
      <c r="OXO344" s="29"/>
      <c r="OXP344" s="29"/>
      <c r="OXQ344" s="29"/>
      <c r="OXR344" s="29"/>
      <c r="OXS344" s="29"/>
      <c r="OXT344" s="29"/>
      <c r="OXU344" s="29"/>
      <c r="OXV344" s="29"/>
      <c r="OXW344" s="29"/>
      <c r="OXX344" s="29"/>
      <c r="OXY344" s="29"/>
      <c r="OXZ344" s="29"/>
      <c r="OYA344" s="29"/>
      <c r="OYB344" s="29"/>
      <c r="OYC344" s="29"/>
      <c r="OYD344" s="29"/>
      <c r="OYE344" s="29"/>
      <c r="OYF344" s="29"/>
      <c r="OYG344" s="29"/>
      <c r="OYH344" s="29"/>
      <c r="OYI344" s="29"/>
      <c r="OYJ344" s="29"/>
      <c r="OYK344" s="29"/>
      <c r="OYL344" s="29"/>
      <c r="OYM344" s="29"/>
      <c r="OYN344" s="29"/>
      <c r="OYO344" s="29"/>
      <c r="OYP344" s="29"/>
      <c r="OYQ344" s="29"/>
      <c r="OYR344" s="29"/>
      <c r="OYS344" s="29"/>
      <c r="OYT344" s="29"/>
      <c r="OYU344" s="29"/>
      <c r="OYV344" s="29"/>
      <c r="OYW344" s="29"/>
      <c r="OYX344" s="29"/>
      <c r="OYY344" s="29"/>
      <c r="OYZ344" s="29"/>
      <c r="OZA344" s="29"/>
      <c r="OZB344" s="29"/>
      <c r="OZC344" s="29"/>
      <c r="OZD344" s="29"/>
      <c r="OZE344" s="29"/>
      <c r="OZF344" s="29"/>
      <c r="OZG344" s="29"/>
      <c r="OZH344" s="29"/>
      <c r="OZI344" s="29"/>
      <c r="OZJ344" s="29"/>
      <c r="OZK344" s="29"/>
      <c r="OZL344" s="29"/>
      <c r="OZM344" s="29"/>
      <c r="OZN344" s="29"/>
      <c r="OZO344" s="29"/>
      <c r="OZP344" s="29"/>
      <c r="OZQ344" s="29"/>
      <c r="OZR344" s="29"/>
      <c r="OZS344" s="29"/>
      <c r="OZT344" s="29"/>
      <c r="OZU344" s="29"/>
      <c r="OZV344" s="29"/>
      <c r="OZW344" s="29"/>
      <c r="OZX344" s="29"/>
      <c r="OZY344" s="29"/>
      <c r="OZZ344" s="29"/>
      <c r="PAA344" s="29"/>
      <c r="PAB344" s="29"/>
      <c r="PAC344" s="29"/>
      <c r="PAD344" s="29"/>
      <c r="PAE344" s="29"/>
      <c r="PAF344" s="29"/>
      <c r="PAG344" s="29"/>
      <c r="PAH344" s="29"/>
      <c r="PAI344" s="29"/>
      <c r="PAJ344" s="29"/>
      <c r="PAK344" s="29"/>
      <c r="PAL344" s="29"/>
      <c r="PAM344" s="29"/>
      <c r="PAN344" s="29"/>
      <c r="PAO344" s="29"/>
      <c r="PAP344" s="29"/>
      <c r="PAQ344" s="29"/>
      <c r="PAR344" s="29"/>
      <c r="PAS344" s="29"/>
      <c r="PAT344" s="29"/>
      <c r="PAU344" s="29"/>
      <c r="PAV344" s="29"/>
      <c r="PAW344" s="29"/>
      <c r="PAX344" s="29"/>
      <c r="PAY344" s="29"/>
      <c r="PAZ344" s="29"/>
      <c r="PBA344" s="29"/>
      <c r="PBB344" s="29"/>
      <c r="PBC344" s="29"/>
      <c r="PBD344" s="29"/>
      <c r="PBE344" s="29"/>
      <c r="PBF344" s="29"/>
      <c r="PBG344" s="29"/>
      <c r="PBH344" s="29"/>
      <c r="PBI344" s="29"/>
      <c r="PBJ344" s="29"/>
      <c r="PBK344" s="29"/>
      <c r="PBL344" s="29"/>
      <c r="PBM344" s="29"/>
      <c r="PBN344" s="29"/>
      <c r="PBO344" s="29"/>
      <c r="PBP344" s="29"/>
      <c r="PBQ344" s="29"/>
      <c r="PBR344" s="29"/>
      <c r="PBS344" s="29"/>
      <c r="PBT344" s="29"/>
      <c r="PBU344" s="29"/>
      <c r="PBV344" s="29"/>
      <c r="PBW344" s="29"/>
      <c r="PBX344" s="29"/>
      <c r="PBY344" s="29"/>
      <c r="PBZ344" s="29"/>
      <c r="PCA344" s="29"/>
      <c r="PCB344" s="29"/>
      <c r="PCC344" s="29"/>
      <c r="PCD344" s="29"/>
      <c r="PCE344" s="29"/>
      <c r="PCF344" s="29"/>
      <c r="PCG344" s="29"/>
      <c r="PCH344" s="29"/>
      <c r="PCI344" s="29"/>
      <c r="PCJ344" s="29"/>
      <c r="PCK344" s="29"/>
      <c r="PCL344" s="29"/>
      <c r="PCM344" s="29"/>
      <c r="PCN344" s="29"/>
      <c r="PCO344" s="29"/>
      <c r="PCP344" s="29"/>
      <c r="PCQ344" s="29"/>
      <c r="PCR344" s="29"/>
      <c r="PCS344" s="29"/>
      <c r="PCT344" s="29"/>
      <c r="PCU344" s="29"/>
      <c r="PCV344" s="29"/>
      <c r="PCW344" s="29"/>
      <c r="PCX344" s="29"/>
      <c r="PCY344" s="29"/>
      <c r="PCZ344" s="29"/>
      <c r="PDA344" s="29"/>
      <c r="PDB344" s="29"/>
      <c r="PDC344" s="29"/>
      <c r="PDD344" s="29"/>
      <c r="PDE344" s="29"/>
      <c r="PDF344" s="29"/>
      <c r="PDG344" s="29"/>
      <c r="PDH344" s="29"/>
      <c r="PDI344" s="29"/>
      <c r="PDJ344" s="29"/>
      <c r="PDK344" s="29"/>
      <c r="PDL344" s="29"/>
      <c r="PDM344" s="29"/>
      <c r="PDN344" s="29"/>
      <c r="PDO344" s="29"/>
      <c r="PDP344" s="29"/>
      <c r="PDQ344" s="29"/>
      <c r="PDR344" s="29"/>
      <c r="PDS344" s="29"/>
      <c r="PDT344" s="29"/>
      <c r="PDU344" s="29"/>
      <c r="PDV344" s="29"/>
      <c r="PDW344" s="29"/>
      <c r="PDX344" s="29"/>
      <c r="PDY344" s="29"/>
      <c r="PDZ344" s="29"/>
      <c r="PEA344" s="29"/>
      <c r="PEB344" s="29"/>
      <c r="PEC344" s="29"/>
      <c r="PED344" s="29"/>
      <c r="PEE344" s="29"/>
      <c r="PEF344" s="29"/>
      <c r="PEG344" s="29"/>
      <c r="PEH344" s="29"/>
      <c r="PEI344" s="29"/>
      <c r="PEJ344" s="29"/>
      <c r="PEK344" s="29"/>
      <c r="PEL344" s="29"/>
      <c r="PEM344" s="29"/>
      <c r="PEN344" s="29"/>
      <c r="PEO344" s="29"/>
      <c r="PEP344" s="29"/>
      <c r="PEQ344" s="29"/>
      <c r="PER344" s="29"/>
      <c r="PES344" s="29"/>
      <c r="PET344" s="29"/>
      <c r="PEU344" s="29"/>
      <c r="PEV344" s="29"/>
      <c r="PEW344" s="29"/>
      <c r="PEX344" s="29"/>
      <c r="PEY344" s="29"/>
      <c r="PEZ344" s="29"/>
      <c r="PFA344" s="29"/>
      <c r="PFB344" s="29"/>
      <c r="PFC344" s="29"/>
      <c r="PFD344" s="29"/>
      <c r="PFE344" s="29"/>
      <c r="PFF344" s="29"/>
      <c r="PFG344" s="29"/>
      <c r="PFH344" s="29"/>
      <c r="PFI344" s="29"/>
      <c r="PFJ344" s="29"/>
      <c r="PFK344" s="29"/>
      <c r="PFL344" s="29"/>
      <c r="PFM344" s="29"/>
      <c r="PFN344" s="29"/>
      <c r="PFO344" s="29"/>
      <c r="PFP344" s="29"/>
      <c r="PFQ344" s="29"/>
      <c r="PFR344" s="29"/>
      <c r="PFS344" s="29"/>
      <c r="PFT344" s="29"/>
      <c r="PFU344" s="29"/>
      <c r="PFV344" s="29"/>
      <c r="PFW344" s="29"/>
      <c r="PFX344" s="29"/>
      <c r="PFY344" s="29"/>
      <c r="PFZ344" s="29"/>
      <c r="PGA344" s="29"/>
      <c r="PGB344" s="29"/>
      <c r="PGC344" s="29"/>
      <c r="PGD344" s="29"/>
      <c r="PGE344" s="29"/>
      <c r="PGF344" s="29"/>
      <c r="PGG344" s="29"/>
      <c r="PGH344" s="29"/>
      <c r="PGI344" s="29"/>
      <c r="PGJ344" s="29"/>
      <c r="PGK344" s="29"/>
      <c r="PGL344" s="29"/>
      <c r="PGM344" s="29"/>
      <c r="PGN344" s="29"/>
      <c r="PGO344" s="29"/>
      <c r="PGP344" s="29"/>
      <c r="PGQ344" s="29"/>
      <c r="PGR344" s="29"/>
      <c r="PGS344" s="29"/>
      <c r="PGT344" s="29"/>
      <c r="PGU344" s="29"/>
      <c r="PGV344" s="29"/>
      <c r="PGW344" s="29"/>
      <c r="PGX344" s="29"/>
      <c r="PGY344" s="29"/>
      <c r="PGZ344" s="29"/>
      <c r="PHA344" s="29"/>
      <c r="PHB344" s="29"/>
      <c r="PHC344" s="29"/>
      <c r="PHD344" s="29"/>
      <c r="PHE344" s="29"/>
      <c r="PHF344" s="29"/>
      <c r="PHG344" s="29"/>
      <c r="PHH344" s="29"/>
      <c r="PHI344" s="29"/>
      <c r="PHJ344" s="29"/>
      <c r="PHK344" s="29"/>
      <c r="PHL344" s="29"/>
      <c r="PHM344" s="29"/>
      <c r="PHN344" s="29"/>
      <c r="PHO344" s="29"/>
      <c r="PHP344" s="29"/>
      <c r="PHQ344" s="29"/>
      <c r="PHR344" s="29"/>
      <c r="PHS344" s="29"/>
      <c r="PHT344" s="29"/>
      <c r="PHU344" s="29"/>
      <c r="PHV344" s="29"/>
      <c r="PHW344" s="29"/>
      <c r="PHX344" s="29"/>
      <c r="PHY344" s="29"/>
      <c r="PHZ344" s="29"/>
      <c r="PIA344" s="29"/>
      <c r="PIB344" s="29"/>
      <c r="PIC344" s="29"/>
      <c r="PID344" s="29"/>
      <c r="PIE344" s="29"/>
      <c r="PIF344" s="29"/>
      <c r="PIG344" s="29"/>
      <c r="PIH344" s="29"/>
      <c r="PII344" s="29"/>
      <c r="PIJ344" s="29"/>
      <c r="PIK344" s="29"/>
      <c r="PIL344" s="29"/>
      <c r="PIM344" s="29"/>
      <c r="PIN344" s="29"/>
      <c r="PIO344" s="29"/>
      <c r="PIP344" s="29"/>
      <c r="PIQ344" s="29"/>
      <c r="PIR344" s="29"/>
      <c r="PIS344" s="29"/>
      <c r="PIT344" s="29"/>
      <c r="PIU344" s="29"/>
      <c r="PIV344" s="29"/>
      <c r="PIW344" s="29"/>
      <c r="PIX344" s="29"/>
      <c r="PIY344" s="29"/>
      <c r="PIZ344" s="29"/>
      <c r="PJA344" s="29"/>
      <c r="PJB344" s="29"/>
      <c r="PJC344" s="29"/>
      <c r="PJD344" s="29"/>
      <c r="PJE344" s="29"/>
      <c r="PJF344" s="29"/>
      <c r="PJG344" s="29"/>
      <c r="PJH344" s="29"/>
      <c r="PJI344" s="29"/>
      <c r="PJJ344" s="29"/>
      <c r="PJK344" s="29"/>
      <c r="PJL344" s="29"/>
      <c r="PJM344" s="29"/>
      <c r="PJN344" s="29"/>
      <c r="PJO344" s="29"/>
      <c r="PJP344" s="29"/>
      <c r="PJQ344" s="29"/>
      <c r="PJR344" s="29"/>
      <c r="PJS344" s="29"/>
      <c r="PJT344" s="29"/>
      <c r="PJU344" s="29"/>
      <c r="PJV344" s="29"/>
      <c r="PJW344" s="29"/>
      <c r="PJX344" s="29"/>
      <c r="PJY344" s="29"/>
      <c r="PJZ344" s="29"/>
      <c r="PKA344" s="29"/>
      <c r="PKB344" s="29"/>
      <c r="PKC344" s="29"/>
      <c r="PKD344" s="29"/>
      <c r="PKE344" s="29"/>
      <c r="PKF344" s="29"/>
      <c r="PKG344" s="29"/>
      <c r="PKH344" s="29"/>
      <c r="PKI344" s="29"/>
      <c r="PKJ344" s="29"/>
      <c r="PKK344" s="29"/>
      <c r="PKL344" s="29"/>
      <c r="PKM344" s="29"/>
      <c r="PKN344" s="29"/>
      <c r="PKO344" s="29"/>
      <c r="PKP344" s="29"/>
      <c r="PKQ344" s="29"/>
      <c r="PKR344" s="29"/>
      <c r="PKS344" s="29"/>
      <c r="PKT344" s="29"/>
      <c r="PKU344" s="29"/>
      <c r="PKV344" s="29"/>
      <c r="PKW344" s="29"/>
      <c r="PKX344" s="29"/>
      <c r="PKY344" s="29"/>
      <c r="PKZ344" s="29"/>
      <c r="PLA344" s="29"/>
      <c r="PLB344" s="29"/>
      <c r="PLC344" s="29"/>
      <c r="PLD344" s="29"/>
      <c r="PLE344" s="29"/>
      <c r="PLF344" s="29"/>
      <c r="PLG344" s="29"/>
      <c r="PLH344" s="29"/>
      <c r="PLI344" s="29"/>
      <c r="PLJ344" s="29"/>
      <c r="PLK344" s="29"/>
      <c r="PLL344" s="29"/>
      <c r="PLM344" s="29"/>
      <c r="PLN344" s="29"/>
      <c r="PLO344" s="29"/>
      <c r="PLP344" s="29"/>
      <c r="PLQ344" s="29"/>
      <c r="PLR344" s="29"/>
      <c r="PLS344" s="29"/>
      <c r="PLT344" s="29"/>
      <c r="PLU344" s="29"/>
      <c r="PLV344" s="29"/>
      <c r="PLW344" s="29"/>
      <c r="PLX344" s="29"/>
      <c r="PLY344" s="29"/>
      <c r="PLZ344" s="29"/>
      <c r="PMA344" s="29"/>
      <c r="PMB344" s="29"/>
      <c r="PMC344" s="29"/>
      <c r="PMD344" s="29"/>
      <c r="PME344" s="29"/>
      <c r="PMF344" s="29"/>
      <c r="PMG344" s="29"/>
      <c r="PMH344" s="29"/>
      <c r="PMI344" s="29"/>
      <c r="PMJ344" s="29"/>
      <c r="PMK344" s="29"/>
      <c r="PML344" s="29"/>
      <c r="PMM344" s="29"/>
      <c r="PMN344" s="29"/>
      <c r="PMO344" s="29"/>
      <c r="PMP344" s="29"/>
      <c r="PMQ344" s="29"/>
      <c r="PMR344" s="29"/>
      <c r="PMS344" s="29"/>
      <c r="PMT344" s="29"/>
      <c r="PMU344" s="29"/>
      <c r="PMV344" s="29"/>
      <c r="PMW344" s="29"/>
      <c r="PMX344" s="29"/>
      <c r="PMY344" s="29"/>
      <c r="PMZ344" s="29"/>
      <c r="PNA344" s="29"/>
      <c r="PNB344" s="29"/>
      <c r="PNC344" s="29"/>
      <c r="PND344" s="29"/>
      <c r="PNE344" s="29"/>
      <c r="PNF344" s="29"/>
      <c r="PNG344" s="29"/>
      <c r="PNH344" s="29"/>
      <c r="PNI344" s="29"/>
      <c r="PNJ344" s="29"/>
      <c r="PNK344" s="29"/>
      <c r="PNL344" s="29"/>
      <c r="PNM344" s="29"/>
      <c r="PNN344" s="29"/>
      <c r="PNO344" s="29"/>
      <c r="PNP344" s="29"/>
      <c r="PNQ344" s="29"/>
      <c r="PNR344" s="29"/>
      <c r="PNS344" s="29"/>
      <c r="PNT344" s="29"/>
      <c r="PNU344" s="29"/>
      <c r="PNV344" s="29"/>
      <c r="PNW344" s="29"/>
      <c r="PNX344" s="29"/>
      <c r="PNY344" s="29"/>
      <c r="PNZ344" s="29"/>
      <c r="POA344" s="29"/>
      <c r="POB344" s="29"/>
      <c r="POC344" s="29"/>
      <c r="POD344" s="29"/>
      <c r="POE344" s="29"/>
      <c r="POF344" s="29"/>
      <c r="POG344" s="29"/>
      <c r="POH344" s="29"/>
      <c r="POI344" s="29"/>
      <c r="POJ344" s="29"/>
      <c r="POK344" s="29"/>
      <c r="POL344" s="29"/>
      <c r="POM344" s="29"/>
      <c r="PON344" s="29"/>
      <c r="POO344" s="29"/>
      <c r="POP344" s="29"/>
      <c r="POQ344" s="29"/>
      <c r="POR344" s="29"/>
      <c r="POS344" s="29"/>
      <c r="POT344" s="29"/>
      <c r="POU344" s="29"/>
      <c r="POV344" s="29"/>
      <c r="POW344" s="29"/>
      <c r="POX344" s="29"/>
      <c r="POY344" s="29"/>
      <c r="POZ344" s="29"/>
      <c r="PPA344" s="29"/>
      <c r="PPB344" s="29"/>
      <c r="PPC344" s="29"/>
      <c r="PPD344" s="29"/>
      <c r="PPE344" s="29"/>
      <c r="PPF344" s="29"/>
      <c r="PPG344" s="29"/>
      <c r="PPH344" s="29"/>
      <c r="PPI344" s="29"/>
      <c r="PPJ344" s="29"/>
      <c r="PPK344" s="29"/>
      <c r="PPL344" s="29"/>
      <c r="PPM344" s="29"/>
      <c r="PPN344" s="29"/>
      <c r="PPO344" s="29"/>
      <c r="PPP344" s="29"/>
      <c r="PPQ344" s="29"/>
      <c r="PPR344" s="29"/>
      <c r="PPS344" s="29"/>
      <c r="PPT344" s="29"/>
      <c r="PPU344" s="29"/>
      <c r="PPV344" s="29"/>
      <c r="PPW344" s="29"/>
      <c r="PPX344" s="29"/>
      <c r="PPY344" s="29"/>
      <c r="PPZ344" s="29"/>
      <c r="PQA344" s="29"/>
      <c r="PQB344" s="29"/>
      <c r="PQC344" s="29"/>
      <c r="PQD344" s="29"/>
      <c r="PQE344" s="29"/>
      <c r="PQF344" s="29"/>
      <c r="PQG344" s="29"/>
      <c r="PQH344" s="29"/>
      <c r="PQI344" s="29"/>
      <c r="PQJ344" s="29"/>
      <c r="PQK344" s="29"/>
      <c r="PQL344" s="29"/>
      <c r="PQM344" s="29"/>
      <c r="PQN344" s="29"/>
      <c r="PQO344" s="29"/>
      <c r="PQP344" s="29"/>
      <c r="PQQ344" s="29"/>
      <c r="PQR344" s="29"/>
      <c r="PQS344" s="29"/>
      <c r="PQT344" s="29"/>
      <c r="PQU344" s="29"/>
      <c r="PQV344" s="29"/>
      <c r="PQW344" s="29"/>
      <c r="PQX344" s="29"/>
      <c r="PQY344" s="29"/>
      <c r="PQZ344" s="29"/>
      <c r="PRA344" s="29"/>
      <c r="PRB344" s="29"/>
      <c r="PRC344" s="29"/>
      <c r="PRD344" s="29"/>
      <c r="PRE344" s="29"/>
      <c r="PRF344" s="29"/>
      <c r="PRG344" s="29"/>
      <c r="PRH344" s="29"/>
      <c r="PRI344" s="29"/>
      <c r="PRJ344" s="29"/>
      <c r="PRK344" s="29"/>
      <c r="PRL344" s="29"/>
      <c r="PRM344" s="29"/>
      <c r="PRN344" s="29"/>
      <c r="PRO344" s="29"/>
      <c r="PRP344" s="29"/>
      <c r="PRQ344" s="29"/>
      <c r="PRR344" s="29"/>
      <c r="PRS344" s="29"/>
      <c r="PRT344" s="29"/>
      <c r="PRU344" s="29"/>
      <c r="PRV344" s="29"/>
      <c r="PRW344" s="29"/>
      <c r="PRX344" s="29"/>
      <c r="PRY344" s="29"/>
      <c r="PRZ344" s="29"/>
      <c r="PSA344" s="29"/>
      <c r="PSB344" s="29"/>
      <c r="PSC344" s="29"/>
      <c r="PSD344" s="29"/>
      <c r="PSE344" s="29"/>
      <c r="PSF344" s="29"/>
      <c r="PSG344" s="29"/>
      <c r="PSH344" s="29"/>
      <c r="PSI344" s="29"/>
      <c r="PSJ344" s="29"/>
      <c r="PSK344" s="29"/>
      <c r="PSL344" s="29"/>
      <c r="PSM344" s="29"/>
      <c r="PSN344" s="29"/>
      <c r="PSO344" s="29"/>
      <c r="PSP344" s="29"/>
      <c r="PSQ344" s="29"/>
      <c r="PSR344" s="29"/>
      <c r="PSS344" s="29"/>
      <c r="PST344" s="29"/>
      <c r="PSU344" s="29"/>
      <c r="PSV344" s="29"/>
      <c r="PSW344" s="29"/>
      <c r="PSX344" s="29"/>
      <c r="PSY344" s="29"/>
      <c r="PSZ344" s="29"/>
      <c r="PTA344" s="29"/>
      <c r="PTB344" s="29"/>
      <c r="PTC344" s="29"/>
      <c r="PTD344" s="29"/>
      <c r="PTE344" s="29"/>
      <c r="PTF344" s="29"/>
      <c r="PTG344" s="29"/>
      <c r="PTH344" s="29"/>
      <c r="PTI344" s="29"/>
      <c r="PTJ344" s="29"/>
      <c r="PTK344" s="29"/>
      <c r="PTL344" s="29"/>
      <c r="PTM344" s="29"/>
      <c r="PTN344" s="29"/>
      <c r="PTO344" s="29"/>
      <c r="PTP344" s="29"/>
      <c r="PTQ344" s="29"/>
      <c r="PTR344" s="29"/>
      <c r="PTS344" s="29"/>
      <c r="PTT344" s="29"/>
      <c r="PTU344" s="29"/>
      <c r="PTV344" s="29"/>
      <c r="PTW344" s="29"/>
      <c r="PTX344" s="29"/>
      <c r="PTY344" s="29"/>
      <c r="PTZ344" s="29"/>
      <c r="PUA344" s="29"/>
      <c r="PUB344" s="29"/>
      <c r="PUC344" s="29"/>
      <c r="PUD344" s="29"/>
      <c r="PUE344" s="29"/>
      <c r="PUF344" s="29"/>
      <c r="PUG344" s="29"/>
      <c r="PUH344" s="29"/>
      <c r="PUI344" s="29"/>
      <c r="PUJ344" s="29"/>
      <c r="PUK344" s="29"/>
      <c r="PUL344" s="29"/>
      <c r="PUM344" s="29"/>
      <c r="PUN344" s="29"/>
      <c r="PUO344" s="29"/>
      <c r="PUP344" s="29"/>
      <c r="PUQ344" s="29"/>
      <c r="PUR344" s="29"/>
      <c r="PUS344" s="29"/>
      <c r="PUT344" s="29"/>
      <c r="PUU344" s="29"/>
      <c r="PUV344" s="29"/>
      <c r="PUW344" s="29"/>
      <c r="PUX344" s="29"/>
      <c r="PUY344" s="29"/>
      <c r="PUZ344" s="29"/>
      <c r="PVA344" s="29"/>
      <c r="PVB344" s="29"/>
      <c r="PVC344" s="29"/>
      <c r="PVD344" s="29"/>
      <c r="PVE344" s="29"/>
      <c r="PVF344" s="29"/>
      <c r="PVG344" s="29"/>
      <c r="PVH344" s="29"/>
      <c r="PVI344" s="29"/>
      <c r="PVJ344" s="29"/>
      <c r="PVK344" s="29"/>
      <c r="PVL344" s="29"/>
      <c r="PVM344" s="29"/>
      <c r="PVN344" s="29"/>
      <c r="PVO344" s="29"/>
      <c r="PVP344" s="29"/>
      <c r="PVQ344" s="29"/>
      <c r="PVR344" s="29"/>
      <c r="PVS344" s="29"/>
      <c r="PVT344" s="29"/>
      <c r="PVU344" s="29"/>
      <c r="PVV344" s="29"/>
      <c r="PVW344" s="29"/>
      <c r="PVX344" s="29"/>
      <c r="PVY344" s="29"/>
      <c r="PVZ344" s="29"/>
      <c r="PWA344" s="29"/>
      <c r="PWB344" s="29"/>
      <c r="PWC344" s="29"/>
      <c r="PWD344" s="29"/>
      <c r="PWE344" s="29"/>
      <c r="PWF344" s="29"/>
      <c r="PWG344" s="29"/>
      <c r="PWH344" s="29"/>
      <c r="PWI344" s="29"/>
      <c r="PWJ344" s="29"/>
      <c r="PWK344" s="29"/>
      <c r="PWL344" s="29"/>
      <c r="PWM344" s="29"/>
      <c r="PWN344" s="29"/>
      <c r="PWO344" s="29"/>
      <c r="PWP344" s="29"/>
      <c r="PWQ344" s="29"/>
      <c r="PWR344" s="29"/>
      <c r="PWS344" s="29"/>
      <c r="PWT344" s="29"/>
      <c r="PWU344" s="29"/>
      <c r="PWV344" s="29"/>
      <c r="PWW344" s="29"/>
      <c r="PWX344" s="29"/>
      <c r="PWY344" s="29"/>
      <c r="PWZ344" s="29"/>
      <c r="PXA344" s="29"/>
      <c r="PXB344" s="29"/>
      <c r="PXC344" s="29"/>
      <c r="PXD344" s="29"/>
      <c r="PXE344" s="29"/>
      <c r="PXF344" s="29"/>
      <c r="PXG344" s="29"/>
      <c r="PXH344" s="29"/>
      <c r="PXI344" s="29"/>
      <c r="PXJ344" s="29"/>
      <c r="PXK344" s="29"/>
      <c r="PXL344" s="29"/>
      <c r="PXM344" s="29"/>
      <c r="PXN344" s="29"/>
      <c r="PXO344" s="29"/>
      <c r="PXP344" s="29"/>
      <c r="PXQ344" s="29"/>
      <c r="PXR344" s="29"/>
      <c r="PXS344" s="29"/>
      <c r="PXT344" s="29"/>
      <c r="PXU344" s="29"/>
      <c r="PXV344" s="29"/>
      <c r="PXW344" s="29"/>
      <c r="PXX344" s="29"/>
      <c r="PXY344" s="29"/>
      <c r="PXZ344" s="29"/>
      <c r="PYA344" s="29"/>
      <c r="PYB344" s="29"/>
      <c r="PYC344" s="29"/>
      <c r="PYD344" s="29"/>
      <c r="PYE344" s="29"/>
      <c r="PYF344" s="29"/>
      <c r="PYG344" s="29"/>
      <c r="PYH344" s="29"/>
      <c r="PYI344" s="29"/>
      <c r="PYJ344" s="29"/>
      <c r="PYK344" s="29"/>
      <c r="PYL344" s="29"/>
      <c r="PYM344" s="29"/>
      <c r="PYN344" s="29"/>
      <c r="PYO344" s="29"/>
      <c r="PYP344" s="29"/>
      <c r="PYQ344" s="29"/>
      <c r="PYR344" s="29"/>
      <c r="PYS344" s="29"/>
      <c r="PYT344" s="29"/>
      <c r="PYU344" s="29"/>
      <c r="PYV344" s="29"/>
      <c r="PYW344" s="29"/>
      <c r="PYX344" s="29"/>
      <c r="PYY344" s="29"/>
      <c r="PYZ344" s="29"/>
      <c r="PZA344" s="29"/>
      <c r="PZB344" s="29"/>
      <c r="PZC344" s="29"/>
      <c r="PZD344" s="29"/>
      <c r="PZE344" s="29"/>
      <c r="PZF344" s="29"/>
      <c r="PZG344" s="29"/>
      <c r="PZH344" s="29"/>
      <c r="PZI344" s="29"/>
      <c r="PZJ344" s="29"/>
      <c r="PZK344" s="29"/>
      <c r="PZL344" s="29"/>
      <c r="PZM344" s="29"/>
      <c r="PZN344" s="29"/>
      <c r="PZO344" s="29"/>
      <c r="PZP344" s="29"/>
      <c r="PZQ344" s="29"/>
      <c r="PZR344" s="29"/>
      <c r="PZS344" s="29"/>
      <c r="PZT344" s="29"/>
      <c r="PZU344" s="29"/>
      <c r="PZV344" s="29"/>
      <c r="PZW344" s="29"/>
      <c r="PZX344" s="29"/>
      <c r="PZY344" s="29"/>
      <c r="PZZ344" s="29"/>
      <c r="QAA344" s="29"/>
      <c r="QAB344" s="29"/>
      <c r="QAC344" s="29"/>
      <c r="QAD344" s="29"/>
      <c r="QAE344" s="29"/>
      <c r="QAF344" s="29"/>
      <c r="QAG344" s="29"/>
      <c r="QAH344" s="29"/>
      <c r="QAI344" s="29"/>
      <c r="QAJ344" s="29"/>
      <c r="QAK344" s="29"/>
      <c r="QAL344" s="29"/>
      <c r="QAM344" s="29"/>
      <c r="QAN344" s="29"/>
      <c r="QAO344" s="29"/>
      <c r="QAP344" s="29"/>
      <c r="QAQ344" s="29"/>
      <c r="QAR344" s="29"/>
      <c r="QAS344" s="29"/>
      <c r="QAT344" s="29"/>
      <c r="QAU344" s="29"/>
      <c r="QAV344" s="29"/>
      <c r="QAW344" s="29"/>
      <c r="QAX344" s="29"/>
      <c r="QAY344" s="29"/>
      <c r="QAZ344" s="29"/>
      <c r="QBA344" s="29"/>
      <c r="QBB344" s="29"/>
      <c r="QBC344" s="29"/>
      <c r="QBD344" s="29"/>
      <c r="QBE344" s="29"/>
      <c r="QBF344" s="29"/>
      <c r="QBG344" s="29"/>
      <c r="QBH344" s="29"/>
      <c r="QBI344" s="29"/>
      <c r="QBJ344" s="29"/>
      <c r="QBK344" s="29"/>
      <c r="QBL344" s="29"/>
      <c r="QBM344" s="29"/>
      <c r="QBN344" s="29"/>
      <c r="QBO344" s="29"/>
      <c r="QBP344" s="29"/>
      <c r="QBQ344" s="29"/>
      <c r="QBR344" s="29"/>
      <c r="QBS344" s="29"/>
      <c r="QBT344" s="29"/>
      <c r="QBU344" s="29"/>
      <c r="QBV344" s="29"/>
      <c r="QBW344" s="29"/>
      <c r="QBX344" s="29"/>
      <c r="QBY344" s="29"/>
      <c r="QBZ344" s="29"/>
      <c r="QCA344" s="29"/>
      <c r="QCB344" s="29"/>
      <c r="QCC344" s="29"/>
      <c r="QCD344" s="29"/>
      <c r="QCE344" s="29"/>
      <c r="QCF344" s="29"/>
      <c r="QCG344" s="29"/>
      <c r="QCH344" s="29"/>
      <c r="QCI344" s="29"/>
      <c r="QCJ344" s="29"/>
      <c r="QCK344" s="29"/>
      <c r="QCL344" s="29"/>
      <c r="QCM344" s="29"/>
      <c r="QCN344" s="29"/>
      <c r="QCO344" s="29"/>
      <c r="QCP344" s="29"/>
      <c r="QCQ344" s="29"/>
      <c r="QCR344" s="29"/>
      <c r="QCS344" s="29"/>
      <c r="QCT344" s="29"/>
      <c r="QCU344" s="29"/>
      <c r="QCV344" s="29"/>
      <c r="QCW344" s="29"/>
      <c r="QCX344" s="29"/>
      <c r="QCY344" s="29"/>
      <c r="QCZ344" s="29"/>
      <c r="QDA344" s="29"/>
      <c r="QDB344" s="29"/>
      <c r="QDC344" s="29"/>
      <c r="QDD344" s="29"/>
      <c r="QDE344" s="29"/>
      <c r="QDF344" s="29"/>
      <c r="QDG344" s="29"/>
      <c r="QDH344" s="29"/>
      <c r="QDI344" s="29"/>
      <c r="QDJ344" s="29"/>
      <c r="QDK344" s="29"/>
      <c r="QDL344" s="29"/>
      <c r="QDM344" s="29"/>
      <c r="QDN344" s="29"/>
      <c r="QDO344" s="29"/>
      <c r="QDP344" s="29"/>
      <c r="QDQ344" s="29"/>
      <c r="QDR344" s="29"/>
      <c r="QDS344" s="29"/>
      <c r="QDT344" s="29"/>
      <c r="QDU344" s="29"/>
      <c r="QDV344" s="29"/>
      <c r="QDW344" s="29"/>
      <c r="QDX344" s="29"/>
      <c r="QDY344" s="29"/>
      <c r="QDZ344" s="29"/>
      <c r="QEA344" s="29"/>
      <c r="QEB344" s="29"/>
      <c r="QEC344" s="29"/>
      <c r="QED344" s="29"/>
      <c r="QEE344" s="29"/>
      <c r="QEF344" s="29"/>
      <c r="QEG344" s="29"/>
      <c r="QEH344" s="29"/>
      <c r="QEI344" s="29"/>
      <c r="QEJ344" s="29"/>
      <c r="QEK344" s="29"/>
      <c r="QEL344" s="29"/>
      <c r="QEM344" s="29"/>
      <c r="QEN344" s="29"/>
      <c r="QEO344" s="29"/>
      <c r="QEP344" s="29"/>
      <c r="QEQ344" s="29"/>
      <c r="QER344" s="29"/>
      <c r="QES344" s="29"/>
      <c r="QET344" s="29"/>
      <c r="QEU344" s="29"/>
      <c r="QEV344" s="29"/>
      <c r="QEW344" s="29"/>
      <c r="QEX344" s="29"/>
      <c r="QEY344" s="29"/>
      <c r="QEZ344" s="29"/>
      <c r="QFA344" s="29"/>
      <c r="QFB344" s="29"/>
      <c r="QFC344" s="29"/>
      <c r="QFD344" s="29"/>
      <c r="QFE344" s="29"/>
      <c r="QFF344" s="29"/>
      <c r="QFG344" s="29"/>
      <c r="QFH344" s="29"/>
      <c r="QFI344" s="29"/>
      <c r="QFJ344" s="29"/>
      <c r="QFK344" s="29"/>
      <c r="QFL344" s="29"/>
      <c r="QFM344" s="29"/>
      <c r="QFN344" s="29"/>
      <c r="QFO344" s="29"/>
      <c r="QFP344" s="29"/>
      <c r="QFQ344" s="29"/>
      <c r="QFR344" s="29"/>
      <c r="QFS344" s="29"/>
      <c r="QFT344" s="29"/>
      <c r="QFU344" s="29"/>
      <c r="QFV344" s="29"/>
      <c r="QFW344" s="29"/>
      <c r="QFX344" s="29"/>
      <c r="QFY344" s="29"/>
      <c r="QFZ344" s="29"/>
      <c r="QGA344" s="29"/>
      <c r="QGB344" s="29"/>
      <c r="QGC344" s="29"/>
      <c r="QGD344" s="29"/>
      <c r="QGE344" s="29"/>
      <c r="QGF344" s="29"/>
      <c r="QGG344" s="29"/>
      <c r="QGH344" s="29"/>
      <c r="QGI344" s="29"/>
      <c r="QGJ344" s="29"/>
      <c r="QGK344" s="29"/>
      <c r="QGL344" s="29"/>
      <c r="QGM344" s="29"/>
      <c r="QGN344" s="29"/>
      <c r="QGO344" s="29"/>
      <c r="QGP344" s="29"/>
      <c r="QGQ344" s="29"/>
      <c r="QGR344" s="29"/>
      <c r="QGS344" s="29"/>
      <c r="QGT344" s="29"/>
      <c r="QGU344" s="29"/>
      <c r="QGV344" s="29"/>
      <c r="QGW344" s="29"/>
      <c r="QGX344" s="29"/>
      <c r="QGY344" s="29"/>
      <c r="QGZ344" s="29"/>
      <c r="QHA344" s="29"/>
      <c r="QHB344" s="29"/>
      <c r="QHC344" s="29"/>
      <c r="QHD344" s="29"/>
      <c r="QHE344" s="29"/>
      <c r="QHF344" s="29"/>
      <c r="QHG344" s="29"/>
      <c r="QHH344" s="29"/>
      <c r="QHI344" s="29"/>
      <c r="QHJ344" s="29"/>
      <c r="QHK344" s="29"/>
      <c r="QHL344" s="29"/>
      <c r="QHM344" s="29"/>
      <c r="QHN344" s="29"/>
      <c r="QHO344" s="29"/>
      <c r="QHP344" s="29"/>
      <c r="QHQ344" s="29"/>
      <c r="QHR344" s="29"/>
      <c r="QHS344" s="29"/>
      <c r="QHT344" s="29"/>
      <c r="QHU344" s="29"/>
      <c r="QHV344" s="29"/>
      <c r="QHW344" s="29"/>
      <c r="QHX344" s="29"/>
      <c r="QHY344" s="29"/>
      <c r="QHZ344" s="29"/>
      <c r="QIA344" s="29"/>
      <c r="QIB344" s="29"/>
      <c r="QIC344" s="29"/>
      <c r="QID344" s="29"/>
      <c r="QIE344" s="29"/>
      <c r="QIF344" s="29"/>
      <c r="QIG344" s="29"/>
      <c r="QIH344" s="29"/>
      <c r="QII344" s="29"/>
      <c r="QIJ344" s="29"/>
      <c r="QIK344" s="29"/>
      <c r="QIL344" s="29"/>
      <c r="QIM344" s="29"/>
      <c r="QIN344" s="29"/>
      <c r="QIO344" s="29"/>
      <c r="QIP344" s="29"/>
      <c r="QIQ344" s="29"/>
      <c r="QIR344" s="29"/>
      <c r="QIS344" s="29"/>
      <c r="QIT344" s="29"/>
      <c r="QIU344" s="29"/>
      <c r="QIV344" s="29"/>
      <c r="QIW344" s="29"/>
      <c r="QIX344" s="29"/>
      <c r="QIY344" s="29"/>
      <c r="QIZ344" s="29"/>
      <c r="QJA344" s="29"/>
      <c r="QJB344" s="29"/>
      <c r="QJC344" s="29"/>
      <c r="QJD344" s="29"/>
      <c r="QJE344" s="29"/>
      <c r="QJF344" s="29"/>
      <c r="QJG344" s="29"/>
      <c r="QJH344" s="29"/>
      <c r="QJI344" s="29"/>
      <c r="QJJ344" s="29"/>
      <c r="QJK344" s="29"/>
      <c r="QJL344" s="29"/>
      <c r="QJM344" s="29"/>
      <c r="QJN344" s="29"/>
      <c r="QJO344" s="29"/>
      <c r="QJP344" s="29"/>
      <c r="QJQ344" s="29"/>
      <c r="QJR344" s="29"/>
      <c r="QJS344" s="29"/>
      <c r="QJT344" s="29"/>
      <c r="QJU344" s="29"/>
      <c r="QJV344" s="29"/>
      <c r="QJW344" s="29"/>
      <c r="QJX344" s="29"/>
      <c r="QJY344" s="29"/>
      <c r="QJZ344" s="29"/>
      <c r="QKA344" s="29"/>
      <c r="QKB344" s="29"/>
      <c r="QKC344" s="29"/>
      <c r="QKD344" s="29"/>
      <c r="QKE344" s="29"/>
      <c r="QKF344" s="29"/>
      <c r="QKG344" s="29"/>
      <c r="QKH344" s="29"/>
      <c r="QKI344" s="29"/>
      <c r="QKJ344" s="29"/>
      <c r="QKK344" s="29"/>
      <c r="QKL344" s="29"/>
      <c r="QKM344" s="29"/>
      <c r="QKN344" s="29"/>
      <c r="QKO344" s="29"/>
      <c r="QKP344" s="29"/>
      <c r="QKQ344" s="29"/>
      <c r="QKR344" s="29"/>
      <c r="QKS344" s="29"/>
      <c r="QKT344" s="29"/>
      <c r="QKU344" s="29"/>
      <c r="QKV344" s="29"/>
      <c r="QKW344" s="29"/>
      <c r="QKX344" s="29"/>
      <c r="QKY344" s="29"/>
      <c r="QKZ344" s="29"/>
      <c r="QLA344" s="29"/>
      <c r="QLB344" s="29"/>
      <c r="QLC344" s="29"/>
      <c r="QLD344" s="29"/>
      <c r="QLE344" s="29"/>
      <c r="QLF344" s="29"/>
      <c r="QLG344" s="29"/>
      <c r="QLH344" s="29"/>
      <c r="QLI344" s="29"/>
      <c r="QLJ344" s="29"/>
      <c r="QLK344" s="29"/>
      <c r="QLL344" s="29"/>
      <c r="QLM344" s="29"/>
      <c r="QLN344" s="29"/>
      <c r="QLO344" s="29"/>
      <c r="QLP344" s="29"/>
      <c r="QLQ344" s="29"/>
      <c r="QLR344" s="29"/>
      <c r="QLS344" s="29"/>
      <c r="QLT344" s="29"/>
      <c r="QLU344" s="29"/>
      <c r="QLV344" s="29"/>
      <c r="QLW344" s="29"/>
      <c r="QLX344" s="29"/>
      <c r="QLY344" s="29"/>
      <c r="QLZ344" s="29"/>
      <c r="QMA344" s="29"/>
      <c r="QMB344" s="29"/>
      <c r="QMC344" s="29"/>
      <c r="QMD344" s="29"/>
      <c r="QME344" s="29"/>
      <c r="QMF344" s="29"/>
      <c r="QMG344" s="29"/>
      <c r="QMH344" s="29"/>
      <c r="QMI344" s="29"/>
      <c r="QMJ344" s="29"/>
      <c r="QMK344" s="29"/>
      <c r="QML344" s="29"/>
      <c r="QMM344" s="29"/>
      <c r="QMN344" s="29"/>
      <c r="QMO344" s="29"/>
      <c r="QMP344" s="29"/>
      <c r="QMQ344" s="29"/>
      <c r="QMR344" s="29"/>
      <c r="QMS344" s="29"/>
      <c r="QMT344" s="29"/>
      <c r="QMU344" s="29"/>
      <c r="QMV344" s="29"/>
      <c r="QMW344" s="29"/>
      <c r="QMX344" s="29"/>
      <c r="QMY344" s="29"/>
      <c r="QMZ344" s="29"/>
      <c r="QNA344" s="29"/>
      <c r="QNB344" s="29"/>
      <c r="QNC344" s="29"/>
      <c r="QND344" s="29"/>
      <c r="QNE344" s="29"/>
      <c r="QNF344" s="29"/>
      <c r="QNG344" s="29"/>
      <c r="QNH344" s="29"/>
      <c r="QNI344" s="29"/>
      <c r="QNJ344" s="29"/>
      <c r="QNK344" s="29"/>
      <c r="QNL344" s="29"/>
      <c r="QNM344" s="29"/>
      <c r="QNN344" s="29"/>
      <c r="QNO344" s="29"/>
      <c r="QNP344" s="29"/>
      <c r="QNQ344" s="29"/>
      <c r="QNR344" s="29"/>
      <c r="QNS344" s="29"/>
      <c r="QNT344" s="29"/>
      <c r="QNU344" s="29"/>
      <c r="QNV344" s="29"/>
      <c r="QNW344" s="29"/>
      <c r="QNX344" s="29"/>
      <c r="QNY344" s="29"/>
      <c r="QNZ344" s="29"/>
      <c r="QOA344" s="29"/>
      <c r="QOB344" s="29"/>
      <c r="QOC344" s="29"/>
      <c r="QOD344" s="29"/>
      <c r="QOE344" s="29"/>
      <c r="QOF344" s="29"/>
      <c r="QOG344" s="29"/>
      <c r="QOH344" s="29"/>
      <c r="QOI344" s="29"/>
      <c r="QOJ344" s="29"/>
      <c r="QOK344" s="29"/>
      <c r="QOL344" s="29"/>
      <c r="QOM344" s="29"/>
      <c r="QON344" s="29"/>
      <c r="QOO344" s="29"/>
      <c r="QOP344" s="29"/>
      <c r="QOQ344" s="29"/>
      <c r="QOR344" s="29"/>
      <c r="QOS344" s="29"/>
      <c r="QOT344" s="29"/>
      <c r="QOU344" s="29"/>
      <c r="QOV344" s="29"/>
      <c r="QOW344" s="29"/>
      <c r="QOX344" s="29"/>
      <c r="QOY344" s="29"/>
      <c r="QOZ344" s="29"/>
      <c r="QPA344" s="29"/>
      <c r="QPB344" s="29"/>
      <c r="QPC344" s="29"/>
      <c r="QPD344" s="29"/>
      <c r="QPE344" s="29"/>
      <c r="QPF344" s="29"/>
      <c r="QPG344" s="29"/>
      <c r="QPH344" s="29"/>
      <c r="QPI344" s="29"/>
      <c r="QPJ344" s="29"/>
      <c r="QPK344" s="29"/>
      <c r="QPL344" s="29"/>
      <c r="QPM344" s="29"/>
      <c r="QPN344" s="29"/>
      <c r="QPO344" s="29"/>
      <c r="QPP344" s="29"/>
      <c r="QPQ344" s="29"/>
      <c r="QPR344" s="29"/>
      <c r="QPS344" s="29"/>
      <c r="QPT344" s="29"/>
      <c r="QPU344" s="29"/>
      <c r="QPV344" s="29"/>
      <c r="QPW344" s="29"/>
      <c r="QPX344" s="29"/>
      <c r="QPY344" s="29"/>
      <c r="QPZ344" s="29"/>
      <c r="QQA344" s="29"/>
      <c r="QQB344" s="29"/>
      <c r="QQC344" s="29"/>
      <c r="QQD344" s="29"/>
      <c r="QQE344" s="29"/>
      <c r="QQF344" s="29"/>
      <c r="QQG344" s="29"/>
      <c r="QQH344" s="29"/>
      <c r="QQI344" s="29"/>
      <c r="QQJ344" s="29"/>
      <c r="QQK344" s="29"/>
      <c r="QQL344" s="29"/>
      <c r="QQM344" s="29"/>
      <c r="QQN344" s="29"/>
      <c r="QQO344" s="29"/>
      <c r="QQP344" s="29"/>
      <c r="QQQ344" s="29"/>
      <c r="QQR344" s="29"/>
      <c r="QQS344" s="29"/>
      <c r="QQT344" s="29"/>
      <c r="QQU344" s="29"/>
      <c r="QQV344" s="29"/>
      <c r="QQW344" s="29"/>
      <c r="QQX344" s="29"/>
      <c r="QQY344" s="29"/>
      <c r="QQZ344" s="29"/>
      <c r="QRA344" s="29"/>
      <c r="QRB344" s="29"/>
      <c r="QRC344" s="29"/>
      <c r="QRD344" s="29"/>
      <c r="QRE344" s="29"/>
      <c r="QRF344" s="29"/>
      <c r="QRG344" s="29"/>
      <c r="QRH344" s="29"/>
      <c r="QRI344" s="29"/>
      <c r="QRJ344" s="29"/>
      <c r="QRK344" s="29"/>
      <c r="QRL344" s="29"/>
      <c r="QRM344" s="29"/>
      <c r="QRN344" s="29"/>
      <c r="QRO344" s="29"/>
      <c r="QRP344" s="29"/>
      <c r="QRQ344" s="29"/>
      <c r="QRR344" s="29"/>
      <c r="QRS344" s="29"/>
      <c r="QRT344" s="29"/>
      <c r="QRU344" s="29"/>
      <c r="QRV344" s="29"/>
      <c r="QRW344" s="29"/>
      <c r="QRX344" s="29"/>
      <c r="QRY344" s="29"/>
      <c r="QRZ344" s="29"/>
      <c r="QSA344" s="29"/>
      <c r="QSB344" s="29"/>
      <c r="QSC344" s="29"/>
      <c r="QSD344" s="29"/>
      <c r="QSE344" s="29"/>
      <c r="QSF344" s="29"/>
      <c r="QSG344" s="29"/>
      <c r="QSH344" s="29"/>
      <c r="QSI344" s="29"/>
      <c r="QSJ344" s="29"/>
      <c r="QSK344" s="29"/>
      <c r="QSL344" s="29"/>
      <c r="QSM344" s="29"/>
      <c r="QSN344" s="29"/>
      <c r="QSO344" s="29"/>
      <c r="QSP344" s="29"/>
      <c r="QSQ344" s="29"/>
      <c r="QSR344" s="29"/>
      <c r="QSS344" s="29"/>
      <c r="QST344" s="29"/>
      <c r="QSU344" s="29"/>
      <c r="QSV344" s="29"/>
      <c r="QSW344" s="29"/>
      <c r="QSX344" s="29"/>
      <c r="QSY344" s="29"/>
      <c r="QSZ344" s="29"/>
      <c r="QTA344" s="29"/>
      <c r="QTB344" s="29"/>
      <c r="QTC344" s="29"/>
      <c r="QTD344" s="29"/>
      <c r="QTE344" s="29"/>
      <c r="QTF344" s="29"/>
      <c r="QTG344" s="29"/>
      <c r="QTH344" s="29"/>
      <c r="QTI344" s="29"/>
      <c r="QTJ344" s="29"/>
      <c r="QTK344" s="29"/>
      <c r="QTL344" s="29"/>
      <c r="QTM344" s="29"/>
      <c r="QTN344" s="29"/>
      <c r="QTO344" s="29"/>
      <c r="QTP344" s="29"/>
      <c r="QTQ344" s="29"/>
      <c r="QTR344" s="29"/>
      <c r="QTS344" s="29"/>
      <c r="QTT344" s="29"/>
      <c r="QTU344" s="29"/>
      <c r="QTV344" s="29"/>
      <c r="QTW344" s="29"/>
      <c r="QTX344" s="29"/>
      <c r="QTY344" s="29"/>
      <c r="QTZ344" s="29"/>
      <c r="QUA344" s="29"/>
      <c r="QUB344" s="29"/>
      <c r="QUC344" s="29"/>
      <c r="QUD344" s="29"/>
      <c r="QUE344" s="29"/>
      <c r="QUF344" s="29"/>
      <c r="QUG344" s="29"/>
      <c r="QUH344" s="29"/>
      <c r="QUI344" s="29"/>
      <c r="QUJ344" s="29"/>
      <c r="QUK344" s="29"/>
      <c r="QUL344" s="29"/>
      <c r="QUM344" s="29"/>
      <c r="QUN344" s="29"/>
      <c r="QUO344" s="29"/>
      <c r="QUP344" s="29"/>
      <c r="QUQ344" s="29"/>
      <c r="QUR344" s="29"/>
      <c r="QUS344" s="29"/>
      <c r="QUT344" s="29"/>
      <c r="QUU344" s="29"/>
      <c r="QUV344" s="29"/>
      <c r="QUW344" s="29"/>
      <c r="QUX344" s="29"/>
      <c r="QUY344" s="29"/>
      <c r="QUZ344" s="29"/>
      <c r="QVA344" s="29"/>
      <c r="QVB344" s="29"/>
      <c r="QVC344" s="29"/>
      <c r="QVD344" s="29"/>
      <c r="QVE344" s="29"/>
      <c r="QVF344" s="29"/>
      <c r="QVG344" s="29"/>
      <c r="QVH344" s="29"/>
      <c r="QVI344" s="29"/>
      <c r="QVJ344" s="29"/>
      <c r="QVK344" s="29"/>
      <c r="QVL344" s="29"/>
      <c r="QVM344" s="29"/>
      <c r="QVN344" s="29"/>
      <c r="QVO344" s="29"/>
      <c r="QVP344" s="29"/>
      <c r="QVQ344" s="29"/>
      <c r="QVR344" s="29"/>
      <c r="QVS344" s="29"/>
      <c r="QVT344" s="29"/>
      <c r="QVU344" s="29"/>
      <c r="QVV344" s="29"/>
      <c r="QVW344" s="29"/>
      <c r="QVX344" s="29"/>
      <c r="QVY344" s="29"/>
      <c r="QVZ344" s="29"/>
      <c r="QWA344" s="29"/>
      <c r="QWB344" s="29"/>
      <c r="QWC344" s="29"/>
      <c r="QWD344" s="29"/>
      <c r="QWE344" s="29"/>
      <c r="QWF344" s="29"/>
      <c r="QWG344" s="29"/>
      <c r="QWH344" s="29"/>
      <c r="QWI344" s="29"/>
      <c r="QWJ344" s="29"/>
      <c r="QWK344" s="29"/>
      <c r="QWL344" s="29"/>
      <c r="QWM344" s="29"/>
      <c r="QWN344" s="29"/>
      <c r="QWO344" s="29"/>
      <c r="QWP344" s="29"/>
      <c r="QWQ344" s="29"/>
      <c r="QWR344" s="29"/>
      <c r="QWS344" s="29"/>
      <c r="QWT344" s="29"/>
      <c r="QWU344" s="29"/>
      <c r="QWV344" s="29"/>
      <c r="QWW344" s="29"/>
      <c r="QWX344" s="29"/>
      <c r="QWY344" s="29"/>
      <c r="QWZ344" s="29"/>
      <c r="QXA344" s="29"/>
      <c r="QXB344" s="29"/>
      <c r="QXC344" s="29"/>
      <c r="QXD344" s="29"/>
      <c r="QXE344" s="29"/>
      <c r="QXF344" s="29"/>
      <c r="QXG344" s="29"/>
      <c r="QXH344" s="29"/>
      <c r="QXI344" s="29"/>
      <c r="QXJ344" s="29"/>
      <c r="QXK344" s="29"/>
      <c r="QXL344" s="29"/>
      <c r="QXM344" s="29"/>
      <c r="QXN344" s="29"/>
      <c r="QXO344" s="29"/>
      <c r="QXP344" s="29"/>
      <c r="QXQ344" s="29"/>
      <c r="QXR344" s="29"/>
      <c r="QXS344" s="29"/>
      <c r="QXT344" s="29"/>
      <c r="QXU344" s="29"/>
      <c r="QXV344" s="29"/>
      <c r="QXW344" s="29"/>
      <c r="QXX344" s="29"/>
      <c r="QXY344" s="29"/>
      <c r="QXZ344" s="29"/>
      <c r="QYA344" s="29"/>
      <c r="QYB344" s="29"/>
      <c r="QYC344" s="29"/>
      <c r="QYD344" s="29"/>
      <c r="QYE344" s="29"/>
      <c r="QYF344" s="29"/>
      <c r="QYG344" s="29"/>
      <c r="QYH344" s="29"/>
      <c r="QYI344" s="29"/>
      <c r="QYJ344" s="29"/>
      <c r="QYK344" s="29"/>
      <c r="QYL344" s="29"/>
      <c r="QYM344" s="29"/>
      <c r="QYN344" s="29"/>
      <c r="QYO344" s="29"/>
      <c r="QYP344" s="29"/>
      <c r="QYQ344" s="29"/>
      <c r="QYR344" s="29"/>
      <c r="QYS344" s="29"/>
      <c r="QYT344" s="29"/>
      <c r="QYU344" s="29"/>
      <c r="QYV344" s="29"/>
      <c r="QYW344" s="29"/>
      <c r="QYX344" s="29"/>
      <c r="QYY344" s="29"/>
      <c r="QYZ344" s="29"/>
      <c r="QZA344" s="29"/>
      <c r="QZB344" s="29"/>
      <c r="QZC344" s="29"/>
      <c r="QZD344" s="29"/>
      <c r="QZE344" s="29"/>
      <c r="QZF344" s="29"/>
      <c r="QZG344" s="29"/>
      <c r="QZH344" s="29"/>
      <c r="QZI344" s="29"/>
      <c r="QZJ344" s="29"/>
      <c r="QZK344" s="29"/>
      <c r="QZL344" s="29"/>
      <c r="QZM344" s="29"/>
      <c r="QZN344" s="29"/>
      <c r="QZO344" s="29"/>
      <c r="QZP344" s="29"/>
      <c r="QZQ344" s="29"/>
      <c r="QZR344" s="29"/>
      <c r="QZS344" s="29"/>
      <c r="QZT344" s="29"/>
      <c r="QZU344" s="29"/>
      <c r="QZV344" s="29"/>
      <c r="QZW344" s="29"/>
      <c r="QZX344" s="29"/>
      <c r="QZY344" s="29"/>
      <c r="QZZ344" s="29"/>
      <c r="RAA344" s="29"/>
      <c r="RAB344" s="29"/>
      <c r="RAC344" s="29"/>
      <c r="RAD344" s="29"/>
      <c r="RAE344" s="29"/>
      <c r="RAF344" s="29"/>
      <c r="RAG344" s="29"/>
      <c r="RAH344" s="29"/>
      <c r="RAI344" s="29"/>
      <c r="RAJ344" s="29"/>
      <c r="RAK344" s="29"/>
      <c r="RAL344" s="29"/>
      <c r="RAM344" s="29"/>
      <c r="RAN344" s="29"/>
      <c r="RAO344" s="29"/>
      <c r="RAP344" s="29"/>
      <c r="RAQ344" s="29"/>
      <c r="RAR344" s="29"/>
      <c r="RAS344" s="29"/>
      <c r="RAT344" s="29"/>
      <c r="RAU344" s="29"/>
      <c r="RAV344" s="29"/>
      <c r="RAW344" s="29"/>
      <c r="RAX344" s="29"/>
      <c r="RAY344" s="29"/>
      <c r="RAZ344" s="29"/>
      <c r="RBA344" s="29"/>
      <c r="RBB344" s="29"/>
      <c r="RBC344" s="29"/>
      <c r="RBD344" s="29"/>
      <c r="RBE344" s="29"/>
      <c r="RBF344" s="29"/>
      <c r="RBG344" s="29"/>
      <c r="RBH344" s="29"/>
      <c r="RBI344" s="29"/>
      <c r="RBJ344" s="29"/>
      <c r="RBK344" s="29"/>
      <c r="RBL344" s="29"/>
      <c r="RBM344" s="29"/>
      <c r="RBN344" s="29"/>
      <c r="RBO344" s="29"/>
      <c r="RBP344" s="29"/>
      <c r="RBQ344" s="29"/>
      <c r="RBR344" s="29"/>
      <c r="RBS344" s="29"/>
      <c r="RBT344" s="29"/>
      <c r="RBU344" s="29"/>
      <c r="RBV344" s="29"/>
      <c r="RBW344" s="29"/>
      <c r="RBX344" s="29"/>
      <c r="RBY344" s="29"/>
      <c r="RBZ344" s="29"/>
      <c r="RCA344" s="29"/>
      <c r="RCB344" s="29"/>
      <c r="RCC344" s="29"/>
      <c r="RCD344" s="29"/>
      <c r="RCE344" s="29"/>
      <c r="RCF344" s="29"/>
      <c r="RCG344" s="29"/>
      <c r="RCH344" s="29"/>
      <c r="RCI344" s="29"/>
      <c r="RCJ344" s="29"/>
      <c r="RCK344" s="29"/>
      <c r="RCL344" s="29"/>
      <c r="RCM344" s="29"/>
      <c r="RCN344" s="29"/>
      <c r="RCO344" s="29"/>
      <c r="RCP344" s="29"/>
      <c r="RCQ344" s="29"/>
      <c r="RCR344" s="29"/>
      <c r="RCS344" s="29"/>
      <c r="RCT344" s="29"/>
      <c r="RCU344" s="29"/>
      <c r="RCV344" s="29"/>
      <c r="RCW344" s="29"/>
      <c r="RCX344" s="29"/>
      <c r="RCY344" s="29"/>
      <c r="RCZ344" s="29"/>
      <c r="RDA344" s="29"/>
      <c r="RDB344" s="29"/>
      <c r="RDC344" s="29"/>
      <c r="RDD344" s="29"/>
      <c r="RDE344" s="29"/>
      <c r="RDF344" s="29"/>
      <c r="RDG344" s="29"/>
      <c r="RDH344" s="29"/>
      <c r="RDI344" s="29"/>
      <c r="RDJ344" s="29"/>
      <c r="RDK344" s="29"/>
      <c r="RDL344" s="29"/>
      <c r="RDM344" s="29"/>
      <c r="RDN344" s="29"/>
      <c r="RDO344" s="29"/>
      <c r="RDP344" s="29"/>
      <c r="RDQ344" s="29"/>
      <c r="RDR344" s="29"/>
      <c r="RDS344" s="29"/>
      <c r="RDT344" s="29"/>
      <c r="RDU344" s="29"/>
      <c r="RDV344" s="29"/>
      <c r="RDW344" s="29"/>
      <c r="RDX344" s="29"/>
      <c r="RDY344" s="29"/>
      <c r="RDZ344" s="29"/>
      <c r="REA344" s="29"/>
      <c r="REB344" s="29"/>
      <c r="REC344" s="29"/>
      <c r="RED344" s="29"/>
      <c r="REE344" s="29"/>
      <c r="REF344" s="29"/>
      <c r="REG344" s="29"/>
      <c r="REH344" s="29"/>
      <c r="REI344" s="29"/>
      <c r="REJ344" s="29"/>
      <c r="REK344" s="29"/>
      <c r="REL344" s="29"/>
      <c r="REM344" s="29"/>
      <c r="REN344" s="29"/>
      <c r="REO344" s="29"/>
      <c r="REP344" s="29"/>
      <c r="REQ344" s="29"/>
      <c r="RER344" s="29"/>
      <c r="RES344" s="29"/>
      <c r="RET344" s="29"/>
      <c r="REU344" s="29"/>
      <c r="REV344" s="29"/>
      <c r="REW344" s="29"/>
      <c r="REX344" s="29"/>
      <c r="REY344" s="29"/>
      <c r="REZ344" s="29"/>
      <c r="RFA344" s="29"/>
      <c r="RFB344" s="29"/>
      <c r="RFC344" s="29"/>
      <c r="RFD344" s="29"/>
      <c r="RFE344" s="29"/>
      <c r="RFF344" s="29"/>
      <c r="RFG344" s="29"/>
      <c r="RFH344" s="29"/>
      <c r="RFI344" s="29"/>
      <c r="RFJ344" s="29"/>
      <c r="RFK344" s="29"/>
      <c r="RFL344" s="29"/>
      <c r="RFM344" s="29"/>
      <c r="RFN344" s="29"/>
      <c r="RFO344" s="29"/>
      <c r="RFP344" s="29"/>
      <c r="RFQ344" s="29"/>
      <c r="RFR344" s="29"/>
      <c r="RFS344" s="29"/>
      <c r="RFT344" s="29"/>
      <c r="RFU344" s="29"/>
      <c r="RFV344" s="29"/>
      <c r="RFW344" s="29"/>
      <c r="RFX344" s="29"/>
      <c r="RFY344" s="29"/>
      <c r="RFZ344" s="29"/>
      <c r="RGA344" s="29"/>
      <c r="RGB344" s="29"/>
      <c r="RGC344" s="29"/>
      <c r="RGD344" s="29"/>
      <c r="RGE344" s="29"/>
      <c r="RGF344" s="29"/>
      <c r="RGG344" s="29"/>
      <c r="RGH344" s="29"/>
      <c r="RGI344" s="29"/>
      <c r="RGJ344" s="29"/>
      <c r="RGK344" s="29"/>
      <c r="RGL344" s="29"/>
      <c r="RGM344" s="29"/>
      <c r="RGN344" s="29"/>
      <c r="RGO344" s="29"/>
      <c r="RGP344" s="29"/>
      <c r="RGQ344" s="29"/>
      <c r="RGR344" s="29"/>
      <c r="RGS344" s="29"/>
      <c r="RGT344" s="29"/>
      <c r="RGU344" s="29"/>
      <c r="RGV344" s="29"/>
      <c r="RGW344" s="29"/>
      <c r="RGX344" s="29"/>
      <c r="RGY344" s="29"/>
      <c r="RGZ344" s="29"/>
      <c r="RHA344" s="29"/>
      <c r="RHB344" s="29"/>
      <c r="RHC344" s="29"/>
      <c r="RHD344" s="29"/>
      <c r="RHE344" s="29"/>
      <c r="RHF344" s="29"/>
      <c r="RHG344" s="29"/>
      <c r="RHH344" s="29"/>
      <c r="RHI344" s="29"/>
      <c r="RHJ344" s="29"/>
      <c r="RHK344" s="29"/>
      <c r="RHL344" s="29"/>
      <c r="RHM344" s="29"/>
      <c r="RHN344" s="29"/>
      <c r="RHO344" s="29"/>
      <c r="RHP344" s="29"/>
      <c r="RHQ344" s="29"/>
      <c r="RHR344" s="29"/>
      <c r="RHS344" s="29"/>
      <c r="RHT344" s="29"/>
      <c r="RHU344" s="29"/>
      <c r="RHV344" s="29"/>
      <c r="RHW344" s="29"/>
      <c r="RHX344" s="29"/>
      <c r="RHY344" s="29"/>
      <c r="RHZ344" s="29"/>
      <c r="RIA344" s="29"/>
      <c r="RIB344" s="29"/>
      <c r="RIC344" s="29"/>
      <c r="RID344" s="29"/>
      <c r="RIE344" s="29"/>
      <c r="RIF344" s="29"/>
      <c r="RIG344" s="29"/>
      <c r="RIH344" s="29"/>
      <c r="RII344" s="29"/>
      <c r="RIJ344" s="29"/>
      <c r="RIK344" s="29"/>
      <c r="RIL344" s="29"/>
      <c r="RIM344" s="29"/>
      <c r="RIN344" s="29"/>
      <c r="RIO344" s="29"/>
      <c r="RIP344" s="29"/>
      <c r="RIQ344" s="29"/>
      <c r="RIR344" s="29"/>
      <c r="RIS344" s="29"/>
      <c r="RIT344" s="29"/>
      <c r="RIU344" s="29"/>
      <c r="RIV344" s="29"/>
      <c r="RIW344" s="29"/>
      <c r="RIX344" s="29"/>
      <c r="RIY344" s="29"/>
      <c r="RIZ344" s="29"/>
      <c r="RJA344" s="29"/>
      <c r="RJB344" s="29"/>
      <c r="RJC344" s="29"/>
      <c r="RJD344" s="29"/>
      <c r="RJE344" s="29"/>
      <c r="RJF344" s="29"/>
      <c r="RJG344" s="29"/>
      <c r="RJH344" s="29"/>
      <c r="RJI344" s="29"/>
      <c r="RJJ344" s="29"/>
      <c r="RJK344" s="29"/>
      <c r="RJL344" s="29"/>
      <c r="RJM344" s="29"/>
      <c r="RJN344" s="29"/>
      <c r="RJO344" s="29"/>
      <c r="RJP344" s="29"/>
      <c r="RJQ344" s="29"/>
      <c r="RJR344" s="29"/>
      <c r="RJS344" s="29"/>
      <c r="RJT344" s="29"/>
      <c r="RJU344" s="29"/>
      <c r="RJV344" s="29"/>
      <c r="RJW344" s="29"/>
      <c r="RJX344" s="29"/>
      <c r="RJY344" s="29"/>
      <c r="RJZ344" s="29"/>
      <c r="RKA344" s="29"/>
      <c r="RKB344" s="29"/>
      <c r="RKC344" s="29"/>
      <c r="RKD344" s="29"/>
      <c r="RKE344" s="29"/>
      <c r="RKF344" s="29"/>
      <c r="RKG344" s="29"/>
      <c r="RKH344" s="29"/>
      <c r="RKI344" s="29"/>
      <c r="RKJ344" s="29"/>
      <c r="RKK344" s="29"/>
      <c r="RKL344" s="29"/>
      <c r="RKM344" s="29"/>
      <c r="RKN344" s="29"/>
      <c r="RKO344" s="29"/>
      <c r="RKP344" s="29"/>
      <c r="RKQ344" s="29"/>
      <c r="RKR344" s="29"/>
      <c r="RKS344" s="29"/>
      <c r="RKT344" s="29"/>
      <c r="RKU344" s="29"/>
      <c r="RKV344" s="29"/>
      <c r="RKW344" s="29"/>
      <c r="RKX344" s="29"/>
      <c r="RKY344" s="29"/>
      <c r="RKZ344" s="29"/>
      <c r="RLA344" s="29"/>
      <c r="RLB344" s="29"/>
      <c r="RLC344" s="29"/>
      <c r="RLD344" s="29"/>
      <c r="RLE344" s="29"/>
      <c r="RLF344" s="29"/>
      <c r="RLG344" s="29"/>
      <c r="RLH344" s="29"/>
      <c r="RLI344" s="29"/>
      <c r="RLJ344" s="29"/>
      <c r="RLK344" s="29"/>
      <c r="RLL344" s="29"/>
      <c r="RLM344" s="29"/>
      <c r="RLN344" s="29"/>
      <c r="RLO344" s="29"/>
      <c r="RLP344" s="29"/>
      <c r="RLQ344" s="29"/>
      <c r="RLR344" s="29"/>
      <c r="RLS344" s="29"/>
      <c r="RLT344" s="29"/>
      <c r="RLU344" s="29"/>
      <c r="RLV344" s="29"/>
      <c r="RLW344" s="29"/>
      <c r="RLX344" s="29"/>
      <c r="RLY344" s="29"/>
      <c r="RLZ344" s="29"/>
      <c r="RMA344" s="29"/>
      <c r="RMB344" s="29"/>
      <c r="RMC344" s="29"/>
      <c r="RMD344" s="29"/>
      <c r="RME344" s="29"/>
      <c r="RMF344" s="29"/>
      <c r="RMG344" s="29"/>
      <c r="RMH344" s="29"/>
      <c r="RMI344" s="29"/>
      <c r="RMJ344" s="29"/>
      <c r="RMK344" s="29"/>
      <c r="RML344" s="29"/>
      <c r="RMM344" s="29"/>
      <c r="RMN344" s="29"/>
      <c r="RMO344" s="29"/>
      <c r="RMP344" s="29"/>
      <c r="RMQ344" s="29"/>
      <c r="RMR344" s="29"/>
      <c r="RMS344" s="29"/>
      <c r="RMT344" s="29"/>
      <c r="RMU344" s="29"/>
      <c r="RMV344" s="29"/>
      <c r="RMW344" s="29"/>
      <c r="RMX344" s="29"/>
      <c r="RMY344" s="29"/>
      <c r="RMZ344" s="29"/>
      <c r="RNA344" s="29"/>
      <c r="RNB344" s="29"/>
      <c r="RNC344" s="29"/>
      <c r="RND344" s="29"/>
      <c r="RNE344" s="29"/>
      <c r="RNF344" s="29"/>
      <c r="RNG344" s="29"/>
      <c r="RNH344" s="29"/>
      <c r="RNI344" s="29"/>
      <c r="RNJ344" s="29"/>
      <c r="RNK344" s="29"/>
      <c r="RNL344" s="29"/>
      <c r="RNM344" s="29"/>
      <c r="RNN344" s="29"/>
      <c r="RNO344" s="29"/>
      <c r="RNP344" s="29"/>
      <c r="RNQ344" s="29"/>
      <c r="RNR344" s="29"/>
      <c r="RNS344" s="29"/>
      <c r="RNT344" s="29"/>
      <c r="RNU344" s="29"/>
      <c r="RNV344" s="29"/>
      <c r="RNW344" s="29"/>
      <c r="RNX344" s="29"/>
      <c r="RNY344" s="29"/>
      <c r="RNZ344" s="29"/>
      <c r="ROA344" s="29"/>
      <c r="ROB344" s="29"/>
      <c r="ROC344" s="29"/>
      <c r="ROD344" s="29"/>
      <c r="ROE344" s="29"/>
      <c r="ROF344" s="29"/>
      <c r="ROG344" s="29"/>
      <c r="ROH344" s="29"/>
      <c r="ROI344" s="29"/>
      <c r="ROJ344" s="29"/>
      <c r="ROK344" s="29"/>
      <c r="ROL344" s="29"/>
      <c r="ROM344" s="29"/>
      <c r="RON344" s="29"/>
      <c r="ROO344" s="29"/>
      <c r="ROP344" s="29"/>
      <c r="ROQ344" s="29"/>
      <c r="ROR344" s="29"/>
      <c r="ROS344" s="29"/>
      <c r="ROT344" s="29"/>
      <c r="ROU344" s="29"/>
      <c r="ROV344" s="29"/>
      <c r="ROW344" s="29"/>
      <c r="ROX344" s="29"/>
      <c r="ROY344" s="29"/>
      <c r="ROZ344" s="29"/>
      <c r="RPA344" s="29"/>
      <c r="RPB344" s="29"/>
      <c r="RPC344" s="29"/>
      <c r="RPD344" s="29"/>
      <c r="RPE344" s="29"/>
      <c r="RPF344" s="29"/>
      <c r="RPG344" s="29"/>
      <c r="RPH344" s="29"/>
      <c r="RPI344" s="29"/>
      <c r="RPJ344" s="29"/>
      <c r="RPK344" s="29"/>
      <c r="RPL344" s="29"/>
      <c r="RPM344" s="29"/>
      <c r="RPN344" s="29"/>
      <c r="RPO344" s="29"/>
      <c r="RPP344" s="29"/>
      <c r="RPQ344" s="29"/>
      <c r="RPR344" s="29"/>
      <c r="RPS344" s="29"/>
      <c r="RPT344" s="29"/>
      <c r="RPU344" s="29"/>
      <c r="RPV344" s="29"/>
      <c r="RPW344" s="29"/>
      <c r="RPX344" s="29"/>
      <c r="RPY344" s="29"/>
      <c r="RPZ344" s="29"/>
      <c r="RQA344" s="29"/>
      <c r="RQB344" s="29"/>
      <c r="RQC344" s="29"/>
      <c r="RQD344" s="29"/>
      <c r="RQE344" s="29"/>
      <c r="RQF344" s="29"/>
      <c r="RQG344" s="29"/>
      <c r="RQH344" s="29"/>
      <c r="RQI344" s="29"/>
      <c r="RQJ344" s="29"/>
      <c r="RQK344" s="29"/>
      <c r="RQL344" s="29"/>
      <c r="RQM344" s="29"/>
      <c r="RQN344" s="29"/>
      <c r="RQO344" s="29"/>
      <c r="RQP344" s="29"/>
      <c r="RQQ344" s="29"/>
      <c r="RQR344" s="29"/>
      <c r="RQS344" s="29"/>
      <c r="RQT344" s="29"/>
      <c r="RQU344" s="29"/>
      <c r="RQV344" s="29"/>
      <c r="RQW344" s="29"/>
      <c r="RQX344" s="29"/>
      <c r="RQY344" s="29"/>
      <c r="RQZ344" s="29"/>
      <c r="RRA344" s="29"/>
      <c r="RRB344" s="29"/>
      <c r="RRC344" s="29"/>
      <c r="RRD344" s="29"/>
      <c r="RRE344" s="29"/>
      <c r="RRF344" s="29"/>
      <c r="RRG344" s="29"/>
      <c r="RRH344" s="29"/>
      <c r="RRI344" s="29"/>
      <c r="RRJ344" s="29"/>
      <c r="RRK344" s="29"/>
      <c r="RRL344" s="29"/>
      <c r="RRM344" s="29"/>
      <c r="RRN344" s="29"/>
      <c r="RRO344" s="29"/>
      <c r="RRP344" s="29"/>
      <c r="RRQ344" s="29"/>
      <c r="RRR344" s="29"/>
      <c r="RRS344" s="29"/>
      <c r="RRT344" s="29"/>
      <c r="RRU344" s="29"/>
      <c r="RRV344" s="29"/>
      <c r="RRW344" s="29"/>
      <c r="RRX344" s="29"/>
      <c r="RRY344" s="29"/>
      <c r="RRZ344" s="29"/>
      <c r="RSA344" s="29"/>
      <c r="RSB344" s="29"/>
      <c r="RSC344" s="29"/>
      <c r="RSD344" s="29"/>
      <c r="RSE344" s="29"/>
      <c r="RSF344" s="29"/>
      <c r="RSG344" s="29"/>
      <c r="RSH344" s="29"/>
      <c r="RSI344" s="29"/>
      <c r="RSJ344" s="29"/>
      <c r="RSK344" s="29"/>
      <c r="RSL344" s="29"/>
      <c r="RSM344" s="29"/>
      <c r="RSN344" s="29"/>
      <c r="RSO344" s="29"/>
      <c r="RSP344" s="29"/>
      <c r="RSQ344" s="29"/>
      <c r="RSR344" s="29"/>
      <c r="RSS344" s="29"/>
      <c r="RST344" s="29"/>
      <c r="RSU344" s="29"/>
      <c r="RSV344" s="29"/>
      <c r="RSW344" s="29"/>
      <c r="RSX344" s="29"/>
      <c r="RSY344" s="29"/>
      <c r="RSZ344" s="29"/>
      <c r="RTA344" s="29"/>
      <c r="RTB344" s="29"/>
      <c r="RTC344" s="29"/>
      <c r="RTD344" s="29"/>
      <c r="RTE344" s="29"/>
      <c r="RTF344" s="29"/>
      <c r="RTG344" s="29"/>
      <c r="RTH344" s="29"/>
      <c r="RTI344" s="29"/>
      <c r="RTJ344" s="29"/>
      <c r="RTK344" s="29"/>
      <c r="RTL344" s="29"/>
      <c r="RTM344" s="29"/>
      <c r="RTN344" s="29"/>
      <c r="RTO344" s="29"/>
      <c r="RTP344" s="29"/>
      <c r="RTQ344" s="29"/>
      <c r="RTR344" s="29"/>
      <c r="RTS344" s="29"/>
      <c r="RTT344" s="29"/>
      <c r="RTU344" s="29"/>
      <c r="RTV344" s="29"/>
      <c r="RTW344" s="29"/>
      <c r="RTX344" s="29"/>
      <c r="RTY344" s="29"/>
      <c r="RTZ344" s="29"/>
      <c r="RUA344" s="29"/>
      <c r="RUB344" s="29"/>
      <c r="RUC344" s="29"/>
      <c r="RUD344" s="29"/>
      <c r="RUE344" s="29"/>
      <c r="RUF344" s="29"/>
      <c r="RUG344" s="29"/>
      <c r="RUH344" s="29"/>
      <c r="RUI344" s="29"/>
      <c r="RUJ344" s="29"/>
      <c r="RUK344" s="29"/>
      <c r="RUL344" s="29"/>
      <c r="RUM344" s="29"/>
      <c r="RUN344" s="29"/>
      <c r="RUO344" s="29"/>
      <c r="RUP344" s="29"/>
      <c r="RUQ344" s="29"/>
      <c r="RUR344" s="29"/>
      <c r="RUS344" s="29"/>
      <c r="RUT344" s="29"/>
      <c r="RUU344" s="29"/>
      <c r="RUV344" s="29"/>
      <c r="RUW344" s="29"/>
      <c r="RUX344" s="29"/>
      <c r="RUY344" s="29"/>
      <c r="RUZ344" s="29"/>
      <c r="RVA344" s="29"/>
      <c r="RVB344" s="29"/>
      <c r="RVC344" s="29"/>
      <c r="RVD344" s="29"/>
      <c r="RVE344" s="29"/>
      <c r="RVF344" s="29"/>
      <c r="RVG344" s="29"/>
      <c r="RVH344" s="29"/>
      <c r="RVI344" s="29"/>
      <c r="RVJ344" s="29"/>
      <c r="RVK344" s="29"/>
      <c r="RVL344" s="29"/>
      <c r="RVM344" s="29"/>
      <c r="RVN344" s="29"/>
      <c r="RVO344" s="29"/>
      <c r="RVP344" s="29"/>
      <c r="RVQ344" s="29"/>
      <c r="RVR344" s="29"/>
      <c r="RVS344" s="29"/>
      <c r="RVT344" s="29"/>
      <c r="RVU344" s="29"/>
      <c r="RVV344" s="29"/>
      <c r="RVW344" s="29"/>
      <c r="RVX344" s="29"/>
      <c r="RVY344" s="29"/>
      <c r="RVZ344" s="29"/>
      <c r="RWA344" s="29"/>
      <c r="RWB344" s="29"/>
      <c r="RWC344" s="29"/>
      <c r="RWD344" s="29"/>
      <c r="RWE344" s="29"/>
      <c r="RWF344" s="29"/>
      <c r="RWG344" s="29"/>
      <c r="RWH344" s="29"/>
      <c r="RWI344" s="29"/>
      <c r="RWJ344" s="29"/>
      <c r="RWK344" s="29"/>
      <c r="RWL344" s="29"/>
      <c r="RWM344" s="29"/>
      <c r="RWN344" s="29"/>
      <c r="RWO344" s="29"/>
      <c r="RWP344" s="29"/>
      <c r="RWQ344" s="29"/>
      <c r="RWR344" s="29"/>
      <c r="RWS344" s="29"/>
      <c r="RWT344" s="29"/>
      <c r="RWU344" s="29"/>
      <c r="RWV344" s="29"/>
      <c r="RWW344" s="29"/>
      <c r="RWX344" s="29"/>
      <c r="RWY344" s="29"/>
      <c r="RWZ344" s="29"/>
      <c r="RXA344" s="29"/>
      <c r="RXB344" s="29"/>
      <c r="RXC344" s="29"/>
      <c r="RXD344" s="29"/>
      <c r="RXE344" s="29"/>
      <c r="RXF344" s="29"/>
      <c r="RXG344" s="29"/>
      <c r="RXH344" s="29"/>
      <c r="RXI344" s="29"/>
      <c r="RXJ344" s="29"/>
      <c r="RXK344" s="29"/>
      <c r="RXL344" s="29"/>
      <c r="RXM344" s="29"/>
      <c r="RXN344" s="29"/>
      <c r="RXO344" s="29"/>
      <c r="RXP344" s="29"/>
      <c r="RXQ344" s="29"/>
      <c r="RXR344" s="29"/>
      <c r="RXS344" s="29"/>
      <c r="RXT344" s="29"/>
      <c r="RXU344" s="29"/>
      <c r="RXV344" s="29"/>
      <c r="RXW344" s="29"/>
      <c r="RXX344" s="29"/>
      <c r="RXY344" s="29"/>
      <c r="RXZ344" s="29"/>
      <c r="RYA344" s="29"/>
      <c r="RYB344" s="29"/>
      <c r="RYC344" s="29"/>
      <c r="RYD344" s="29"/>
      <c r="RYE344" s="29"/>
      <c r="RYF344" s="29"/>
      <c r="RYG344" s="29"/>
      <c r="RYH344" s="29"/>
      <c r="RYI344" s="29"/>
      <c r="RYJ344" s="29"/>
      <c r="RYK344" s="29"/>
      <c r="RYL344" s="29"/>
      <c r="RYM344" s="29"/>
      <c r="RYN344" s="29"/>
      <c r="RYO344" s="29"/>
      <c r="RYP344" s="29"/>
      <c r="RYQ344" s="29"/>
      <c r="RYR344" s="29"/>
      <c r="RYS344" s="29"/>
      <c r="RYT344" s="29"/>
      <c r="RYU344" s="29"/>
      <c r="RYV344" s="29"/>
      <c r="RYW344" s="29"/>
      <c r="RYX344" s="29"/>
      <c r="RYY344" s="29"/>
      <c r="RYZ344" s="29"/>
      <c r="RZA344" s="29"/>
      <c r="RZB344" s="29"/>
      <c r="RZC344" s="29"/>
      <c r="RZD344" s="29"/>
      <c r="RZE344" s="29"/>
      <c r="RZF344" s="29"/>
      <c r="RZG344" s="29"/>
      <c r="RZH344" s="29"/>
      <c r="RZI344" s="29"/>
      <c r="RZJ344" s="29"/>
      <c r="RZK344" s="29"/>
      <c r="RZL344" s="29"/>
      <c r="RZM344" s="29"/>
      <c r="RZN344" s="29"/>
      <c r="RZO344" s="29"/>
      <c r="RZP344" s="29"/>
      <c r="RZQ344" s="29"/>
      <c r="RZR344" s="29"/>
      <c r="RZS344" s="29"/>
      <c r="RZT344" s="29"/>
      <c r="RZU344" s="29"/>
      <c r="RZV344" s="29"/>
      <c r="RZW344" s="29"/>
      <c r="RZX344" s="29"/>
      <c r="RZY344" s="29"/>
      <c r="RZZ344" s="29"/>
      <c r="SAA344" s="29"/>
      <c r="SAB344" s="29"/>
      <c r="SAC344" s="29"/>
      <c r="SAD344" s="29"/>
      <c r="SAE344" s="29"/>
      <c r="SAF344" s="29"/>
      <c r="SAG344" s="29"/>
      <c r="SAH344" s="29"/>
      <c r="SAI344" s="29"/>
      <c r="SAJ344" s="29"/>
      <c r="SAK344" s="29"/>
      <c r="SAL344" s="29"/>
      <c r="SAM344" s="29"/>
      <c r="SAN344" s="29"/>
      <c r="SAO344" s="29"/>
      <c r="SAP344" s="29"/>
      <c r="SAQ344" s="29"/>
      <c r="SAR344" s="29"/>
      <c r="SAS344" s="29"/>
      <c r="SAT344" s="29"/>
      <c r="SAU344" s="29"/>
      <c r="SAV344" s="29"/>
      <c r="SAW344" s="29"/>
      <c r="SAX344" s="29"/>
      <c r="SAY344" s="29"/>
      <c r="SAZ344" s="29"/>
      <c r="SBA344" s="29"/>
      <c r="SBB344" s="29"/>
      <c r="SBC344" s="29"/>
      <c r="SBD344" s="29"/>
      <c r="SBE344" s="29"/>
      <c r="SBF344" s="29"/>
      <c r="SBG344" s="29"/>
      <c r="SBH344" s="29"/>
      <c r="SBI344" s="29"/>
      <c r="SBJ344" s="29"/>
      <c r="SBK344" s="29"/>
      <c r="SBL344" s="29"/>
      <c r="SBM344" s="29"/>
      <c r="SBN344" s="29"/>
      <c r="SBO344" s="29"/>
      <c r="SBP344" s="29"/>
      <c r="SBQ344" s="29"/>
      <c r="SBR344" s="29"/>
      <c r="SBS344" s="29"/>
      <c r="SBT344" s="29"/>
      <c r="SBU344" s="29"/>
      <c r="SBV344" s="29"/>
      <c r="SBW344" s="29"/>
      <c r="SBX344" s="29"/>
      <c r="SBY344" s="29"/>
      <c r="SBZ344" s="29"/>
      <c r="SCA344" s="29"/>
      <c r="SCB344" s="29"/>
      <c r="SCC344" s="29"/>
      <c r="SCD344" s="29"/>
      <c r="SCE344" s="29"/>
      <c r="SCF344" s="29"/>
      <c r="SCG344" s="29"/>
      <c r="SCH344" s="29"/>
      <c r="SCI344" s="29"/>
      <c r="SCJ344" s="29"/>
      <c r="SCK344" s="29"/>
      <c r="SCL344" s="29"/>
      <c r="SCM344" s="29"/>
      <c r="SCN344" s="29"/>
      <c r="SCO344" s="29"/>
      <c r="SCP344" s="29"/>
      <c r="SCQ344" s="29"/>
      <c r="SCR344" s="29"/>
      <c r="SCS344" s="29"/>
      <c r="SCT344" s="29"/>
      <c r="SCU344" s="29"/>
      <c r="SCV344" s="29"/>
      <c r="SCW344" s="29"/>
      <c r="SCX344" s="29"/>
      <c r="SCY344" s="29"/>
      <c r="SCZ344" s="29"/>
      <c r="SDA344" s="29"/>
      <c r="SDB344" s="29"/>
      <c r="SDC344" s="29"/>
      <c r="SDD344" s="29"/>
      <c r="SDE344" s="29"/>
      <c r="SDF344" s="29"/>
      <c r="SDG344" s="29"/>
      <c r="SDH344" s="29"/>
      <c r="SDI344" s="29"/>
      <c r="SDJ344" s="29"/>
      <c r="SDK344" s="29"/>
      <c r="SDL344" s="29"/>
      <c r="SDM344" s="29"/>
      <c r="SDN344" s="29"/>
      <c r="SDO344" s="29"/>
      <c r="SDP344" s="29"/>
      <c r="SDQ344" s="29"/>
      <c r="SDR344" s="29"/>
      <c r="SDS344" s="29"/>
      <c r="SDT344" s="29"/>
      <c r="SDU344" s="29"/>
      <c r="SDV344" s="29"/>
      <c r="SDW344" s="29"/>
      <c r="SDX344" s="29"/>
      <c r="SDY344" s="29"/>
      <c r="SDZ344" s="29"/>
      <c r="SEA344" s="29"/>
      <c r="SEB344" s="29"/>
      <c r="SEC344" s="29"/>
      <c r="SED344" s="29"/>
      <c r="SEE344" s="29"/>
      <c r="SEF344" s="29"/>
      <c r="SEG344" s="29"/>
      <c r="SEH344" s="29"/>
      <c r="SEI344" s="29"/>
      <c r="SEJ344" s="29"/>
      <c r="SEK344" s="29"/>
      <c r="SEL344" s="29"/>
      <c r="SEM344" s="29"/>
      <c r="SEN344" s="29"/>
      <c r="SEO344" s="29"/>
      <c r="SEP344" s="29"/>
      <c r="SEQ344" s="29"/>
      <c r="SER344" s="29"/>
      <c r="SES344" s="29"/>
      <c r="SET344" s="29"/>
      <c r="SEU344" s="29"/>
      <c r="SEV344" s="29"/>
      <c r="SEW344" s="29"/>
      <c r="SEX344" s="29"/>
      <c r="SEY344" s="29"/>
      <c r="SEZ344" s="29"/>
      <c r="SFA344" s="29"/>
      <c r="SFB344" s="29"/>
      <c r="SFC344" s="29"/>
      <c r="SFD344" s="29"/>
      <c r="SFE344" s="29"/>
      <c r="SFF344" s="29"/>
      <c r="SFG344" s="29"/>
      <c r="SFH344" s="29"/>
      <c r="SFI344" s="29"/>
      <c r="SFJ344" s="29"/>
      <c r="SFK344" s="29"/>
      <c r="SFL344" s="29"/>
      <c r="SFM344" s="29"/>
      <c r="SFN344" s="29"/>
      <c r="SFO344" s="29"/>
      <c r="SFP344" s="29"/>
      <c r="SFQ344" s="29"/>
      <c r="SFR344" s="29"/>
      <c r="SFS344" s="29"/>
      <c r="SFT344" s="29"/>
      <c r="SFU344" s="29"/>
      <c r="SFV344" s="29"/>
      <c r="SFW344" s="29"/>
      <c r="SFX344" s="29"/>
      <c r="SFY344" s="29"/>
      <c r="SFZ344" s="29"/>
      <c r="SGA344" s="29"/>
      <c r="SGB344" s="29"/>
      <c r="SGC344" s="29"/>
      <c r="SGD344" s="29"/>
      <c r="SGE344" s="29"/>
      <c r="SGF344" s="29"/>
      <c r="SGG344" s="29"/>
      <c r="SGH344" s="29"/>
      <c r="SGI344" s="29"/>
      <c r="SGJ344" s="29"/>
      <c r="SGK344" s="29"/>
      <c r="SGL344" s="29"/>
      <c r="SGM344" s="29"/>
      <c r="SGN344" s="29"/>
      <c r="SGO344" s="29"/>
      <c r="SGP344" s="29"/>
      <c r="SGQ344" s="29"/>
      <c r="SGR344" s="29"/>
      <c r="SGS344" s="29"/>
      <c r="SGT344" s="29"/>
      <c r="SGU344" s="29"/>
      <c r="SGV344" s="29"/>
      <c r="SGW344" s="29"/>
      <c r="SGX344" s="29"/>
      <c r="SGY344" s="29"/>
      <c r="SGZ344" s="29"/>
      <c r="SHA344" s="29"/>
      <c r="SHB344" s="29"/>
      <c r="SHC344" s="29"/>
      <c r="SHD344" s="29"/>
      <c r="SHE344" s="29"/>
      <c r="SHF344" s="29"/>
      <c r="SHG344" s="29"/>
      <c r="SHH344" s="29"/>
      <c r="SHI344" s="29"/>
      <c r="SHJ344" s="29"/>
      <c r="SHK344" s="29"/>
      <c r="SHL344" s="29"/>
      <c r="SHM344" s="29"/>
      <c r="SHN344" s="29"/>
      <c r="SHO344" s="29"/>
      <c r="SHP344" s="29"/>
      <c r="SHQ344" s="29"/>
      <c r="SHR344" s="29"/>
      <c r="SHS344" s="29"/>
      <c r="SHT344" s="29"/>
      <c r="SHU344" s="29"/>
      <c r="SHV344" s="29"/>
      <c r="SHW344" s="29"/>
      <c r="SHX344" s="29"/>
      <c r="SHY344" s="29"/>
      <c r="SHZ344" s="29"/>
      <c r="SIA344" s="29"/>
      <c r="SIB344" s="29"/>
      <c r="SIC344" s="29"/>
      <c r="SID344" s="29"/>
      <c r="SIE344" s="29"/>
      <c r="SIF344" s="29"/>
      <c r="SIG344" s="29"/>
      <c r="SIH344" s="29"/>
      <c r="SII344" s="29"/>
      <c r="SIJ344" s="29"/>
      <c r="SIK344" s="29"/>
      <c r="SIL344" s="29"/>
      <c r="SIM344" s="29"/>
      <c r="SIN344" s="29"/>
      <c r="SIO344" s="29"/>
      <c r="SIP344" s="29"/>
      <c r="SIQ344" s="29"/>
      <c r="SIR344" s="29"/>
      <c r="SIS344" s="29"/>
      <c r="SIT344" s="29"/>
      <c r="SIU344" s="29"/>
      <c r="SIV344" s="29"/>
      <c r="SIW344" s="29"/>
      <c r="SIX344" s="29"/>
      <c r="SIY344" s="29"/>
      <c r="SIZ344" s="29"/>
      <c r="SJA344" s="29"/>
      <c r="SJB344" s="29"/>
      <c r="SJC344" s="29"/>
      <c r="SJD344" s="29"/>
      <c r="SJE344" s="29"/>
      <c r="SJF344" s="29"/>
      <c r="SJG344" s="29"/>
      <c r="SJH344" s="29"/>
      <c r="SJI344" s="29"/>
      <c r="SJJ344" s="29"/>
      <c r="SJK344" s="29"/>
      <c r="SJL344" s="29"/>
      <c r="SJM344" s="29"/>
      <c r="SJN344" s="29"/>
      <c r="SJO344" s="29"/>
      <c r="SJP344" s="29"/>
      <c r="SJQ344" s="29"/>
      <c r="SJR344" s="29"/>
      <c r="SJS344" s="29"/>
      <c r="SJT344" s="29"/>
      <c r="SJU344" s="29"/>
      <c r="SJV344" s="29"/>
      <c r="SJW344" s="29"/>
      <c r="SJX344" s="29"/>
      <c r="SJY344" s="29"/>
      <c r="SJZ344" s="29"/>
      <c r="SKA344" s="29"/>
      <c r="SKB344" s="29"/>
      <c r="SKC344" s="29"/>
      <c r="SKD344" s="29"/>
      <c r="SKE344" s="29"/>
      <c r="SKF344" s="29"/>
      <c r="SKG344" s="29"/>
      <c r="SKH344" s="29"/>
      <c r="SKI344" s="29"/>
      <c r="SKJ344" s="29"/>
      <c r="SKK344" s="29"/>
      <c r="SKL344" s="29"/>
      <c r="SKM344" s="29"/>
      <c r="SKN344" s="29"/>
      <c r="SKO344" s="29"/>
      <c r="SKP344" s="29"/>
      <c r="SKQ344" s="29"/>
      <c r="SKR344" s="29"/>
      <c r="SKS344" s="29"/>
      <c r="SKT344" s="29"/>
      <c r="SKU344" s="29"/>
      <c r="SKV344" s="29"/>
      <c r="SKW344" s="29"/>
      <c r="SKX344" s="29"/>
      <c r="SKY344" s="29"/>
      <c r="SKZ344" s="29"/>
      <c r="SLA344" s="29"/>
      <c r="SLB344" s="29"/>
      <c r="SLC344" s="29"/>
      <c r="SLD344" s="29"/>
      <c r="SLE344" s="29"/>
      <c r="SLF344" s="29"/>
      <c r="SLG344" s="29"/>
      <c r="SLH344" s="29"/>
      <c r="SLI344" s="29"/>
      <c r="SLJ344" s="29"/>
      <c r="SLK344" s="29"/>
      <c r="SLL344" s="29"/>
      <c r="SLM344" s="29"/>
      <c r="SLN344" s="29"/>
      <c r="SLO344" s="29"/>
      <c r="SLP344" s="29"/>
      <c r="SLQ344" s="29"/>
      <c r="SLR344" s="29"/>
      <c r="SLS344" s="29"/>
      <c r="SLT344" s="29"/>
      <c r="SLU344" s="29"/>
      <c r="SLV344" s="29"/>
      <c r="SLW344" s="29"/>
      <c r="SLX344" s="29"/>
      <c r="SLY344" s="29"/>
      <c r="SLZ344" s="29"/>
      <c r="SMA344" s="29"/>
      <c r="SMB344" s="29"/>
      <c r="SMC344" s="29"/>
      <c r="SMD344" s="29"/>
      <c r="SME344" s="29"/>
      <c r="SMF344" s="29"/>
      <c r="SMG344" s="29"/>
      <c r="SMH344" s="29"/>
      <c r="SMI344" s="29"/>
      <c r="SMJ344" s="29"/>
      <c r="SMK344" s="29"/>
      <c r="SML344" s="29"/>
      <c r="SMM344" s="29"/>
      <c r="SMN344" s="29"/>
      <c r="SMO344" s="29"/>
      <c r="SMP344" s="29"/>
      <c r="SMQ344" s="29"/>
      <c r="SMR344" s="29"/>
      <c r="SMS344" s="29"/>
      <c r="SMT344" s="29"/>
      <c r="SMU344" s="29"/>
      <c r="SMV344" s="29"/>
      <c r="SMW344" s="29"/>
      <c r="SMX344" s="29"/>
      <c r="SMY344" s="29"/>
      <c r="SMZ344" s="29"/>
      <c r="SNA344" s="29"/>
      <c r="SNB344" s="29"/>
      <c r="SNC344" s="29"/>
      <c r="SND344" s="29"/>
      <c r="SNE344" s="29"/>
      <c r="SNF344" s="29"/>
      <c r="SNG344" s="29"/>
      <c r="SNH344" s="29"/>
      <c r="SNI344" s="29"/>
      <c r="SNJ344" s="29"/>
      <c r="SNK344" s="29"/>
      <c r="SNL344" s="29"/>
      <c r="SNM344" s="29"/>
      <c r="SNN344" s="29"/>
      <c r="SNO344" s="29"/>
      <c r="SNP344" s="29"/>
      <c r="SNQ344" s="29"/>
      <c r="SNR344" s="29"/>
      <c r="SNS344" s="29"/>
      <c r="SNT344" s="29"/>
      <c r="SNU344" s="29"/>
      <c r="SNV344" s="29"/>
      <c r="SNW344" s="29"/>
      <c r="SNX344" s="29"/>
      <c r="SNY344" s="29"/>
      <c r="SNZ344" s="29"/>
      <c r="SOA344" s="29"/>
      <c r="SOB344" s="29"/>
      <c r="SOC344" s="29"/>
      <c r="SOD344" s="29"/>
      <c r="SOE344" s="29"/>
      <c r="SOF344" s="29"/>
      <c r="SOG344" s="29"/>
      <c r="SOH344" s="29"/>
      <c r="SOI344" s="29"/>
      <c r="SOJ344" s="29"/>
      <c r="SOK344" s="29"/>
      <c r="SOL344" s="29"/>
      <c r="SOM344" s="29"/>
      <c r="SON344" s="29"/>
      <c r="SOO344" s="29"/>
      <c r="SOP344" s="29"/>
      <c r="SOQ344" s="29"/>
      <c r="SOR344" s="29"/>
      <c r="SOS344" s="29"/>
      <c r="SOT344" s="29"/>
      <c r="SOU344" s="29"/>
      <c r="SOV344" s="29"/>
      <c r="SOW344" s="29"/>
      <c r="SOX344" s="29"/>
      <c r="SOY344" s="29"/>
      <c r="SOZ344" s="29"/>
      <c r="SPA344" s="29"/>
      <c r="SPB344" s="29"/>
      <c r="SPC344" s="29"/>
      <c r="SPD344" s="29"/>
      <c r="SPE344" s="29"/>
      <c r="SPF344" s="29"/>
      <c r="SPG344" s="29"/>
      <c r="SPH344" s="29"/>
      <c r="SPI344" s="29"/>
      <c r="SPJ344" s="29"/>
      <c r="SPK344" s="29"/>
      <c r="SPL344" s="29"/>
      <c r="SPM344" s="29"/>
      <c r="SPN344" s="29"/>
      <c r="SPO344" s="29"/>
      <c r="SPP344" s="29"/>
      <c r="SPQ344" s="29"/>
      <c r="SPR344" s="29"/>
      <c r="SPS344" s="29"/>
      <c r="SPT344" s="29"/>
      <c r="SPU344" s="29"/>
      <c r="SPV344" s="29"/>
      <c r="SPW344" s="29"/>
      <c r="SPX344" s="29"/>
      <c r="SPY344" s="29"/>
      <c r="SPZ344" s="29"/>
      <c r="SQA344" s="29"/>
      <c r="SQB344" s="29"/>
      <c r="SQC344" s="29"/>
      <c r="SQD344" s="29"/>
      <c r="SQE344" s="29"/>
      <c r="SQF344" s="29"/>
      <c r="SQG344" s="29"/>
      <c r="SQH344" s="29"/>
      <c r="SQI344" s="29"/>
      <c r="SQJ344" s="29"/>
      <c r="SQK344" s="29"/>
      <c r="SQL344" s="29"/>
      <c r="SQM344" s="29"/>
      <c r="SQN344" s="29"/>
      <c r="SQO344" s="29"/>
      <c r="SQP344" s="29"/>
      <c r="SQQ344" s="29"/>
      <c r="SQR344" s="29"/>
      <c r="SQS344" s="29"/>
      <c r="SQT344" s="29"/>
      <c r="SQU344" s="29"/>
      <c r="SQV344" s="29"/>
      <c r="SQW344" s="29"/>
      <c r="SQX344" s="29"/>
      <c r="SQY344" s="29"/>
      <c r="SQZ344" s="29"/>
      <c r="SRA344" s="29"/>
      <c r="SRB344" s="29"/>
      <c r="SRC344" s="29"/>
      <c r="SRD344" s="29"/>
      <c r="SRE344" s="29"/>
      <c r="SRF344" s="29"/>
      <c r="SRG344" s="29"/>
      <c r="SRH344" s="29"/>
      <c r="SRI344" s="29"/>
      <c r="SRJ344" s="29"/>
      <c r="SRK344" s="29"/>
      <c r="SRL344" s="29"/>
      <c r="SRM344" s="29"/>
      <c r="SRN344" s="29"/>
      <c r="SRO344" s="29"/>
      <c r="SRP344" s="29"/>
      <c r="SRQ344" s="29"/>
      <c r="SRR344" s="29"/>
      <c r="SRS344" s="29"/>
      <c r="SRT344" s="29"/>
      <c r="SRU344" s="29"/>
      <c r="SRV344" s="29"/>
      <c r="SRW344" s="29"/>
      <c r="SRX344" s="29"/>
      <c r="SRY344" s="29"/>
      <c r="SRZ344" s="29"/>
      <c r="SSA344" s="29"/>
      <c r="SSB344" s="29"/>
      <c r="SSC344" s="29"/>
      <c r="SSD344" s="29"/>
      <c r="SSE344" s="29"/>
      <c r="SSF344" s="29"/>
      <c r="SSG344" s="29"/>
      <c r="SSH344" s="29"/>
      <c r="SSI344" s="29"/>
      <c r="SSJ344" s="29"/>
      <c r="SSK344" s="29"/>
      <c r="SSL344" s="29"/>
      <c r="SSM344" s="29"/>
      <c r="SSN344" s="29"/>
      <c r="SSO344" s="29"/>
      <c r="SSP344" s="29"/>
      <c r="SSQ344" s="29"/>
      <c r="SSR344" s="29"/>
      <c r="SSS344" s="29"/>
      <c r="SST344" s="29"/>
      <c r="SSU344" s="29"/>
      <c r="SSV344" s="29"/>
      <c r="SSW344" s="29"/>
      <c r="SSX344" s="29"/>
      <c r="SSY344" s="29"/>
      <c r="SSZ344" s="29"/>
      <c r="STA344" s="29"/>
      <c r="STB344" s="29"/>
      <c r="STC344" s="29"/>
      <c r="STD344" s="29"/>
      <c r="STE344" s="29"/>
      <c r="STF344" s="29"/>
      <c r="STG344" s="29"/>
      <c r="STH344" s="29"/>
      <c r="STI344" s="29"/>
      <c r="STJ344" s="29"/>
      <c r="STK344" s="29"/>
      <c r="STL344" s="29"/>
      <c r="STM344" s="29"/>
      <c r="STN344" s="29"/>
      <c r="STO344" s="29"/>
      <c r="STP344" s="29"/>
      <c r="STQ344" s="29"/>
      <c r="STR344" s="29"/>
      <c r="STS344" s="29"/>
      <c r="STT344" s="29"/>
      <c r="STU344" s="29"/>
      <c r="STV344" s="29"/>
      <c r="STW344" s="29"/>
      <c r="STX344" s="29"/>
      <c r="STY344" s="29"/>
      <c r="STZ344" s="29"/>
      <c r="SUA344" s="29"/>
      <c r="SUB344" s="29"/>
      <c r="SUC344" s="29"/>
      <c r="SUD344" s="29"/>
      <c r="SUE344" s="29"/>
      <c r="SUF344" s="29"/>
      <c r="SUG344" s="29"/>
      <c r="SUH344" s="29"/>
      <c r="SUI344" s="29"/>
      <c r="SUJ344" s="29"/>
      <c r="SUK344" s="29"/>
      <c r="SUL344" s="29"/>
      <c r="SUM344" s="29"/>
      <c r="SUN344" s="29"/>
      <c r="SUO344" s="29"/>
      <c r="SUP344" s="29"/>
      <c r="SUQ344" s="29"/>
      <c r="SUR344" s="29"/>
      <c r="SUS344" s="29"/>
      <c r="SUT344" s="29"/>
      <c r="SUU344" s="29"/>
      <c r="SUV344" s="29"/>
      <c r="SUW344" s="29"/>
      <c r="SUX344" s="29"/>
      <c r="SUY344" s="29"/>
      <c r="SUZ344" s="29"/>
      <c r="SVA344" s="29"/>
      <c r="SVB344" s="29"/>
      <c r="SVC344" s="29"/>
      <c r="SVD344" s="29"/>
      <c r="SVE344" s="29"/>
      <c r="SVF344" s="29"/>
      <c r="SVG344" s="29"/>
      <c r="SVH344" s="29"/>
      <c r="SVI344" s="29"/>
      <c r="SVJ344" s="29"/>
      <c r="SVK344" s="29"/>
      <c r="SVL344" s="29"/>
      <c r="SVM344" s="29"/>
      <c r="SVN344" s="29"/>
      <c r="SVO344" s="29"/>
      <c r="SVP344" s="29"/>
      <c r="SVQ344" s="29"/>
      <c r="SVR344" s="29"/>
      <c r="SVS344" s="29"/>
      <c r="SVT344" s="29"/>
      <c r="SVU344" s="29"/>
      <c r="SVV344" s="29"/>
      <c r="SVW344" s="29"/>
      <c r="SVX344" s="29"/>
      <c r="SVY344" s="29"/>
      <c r="SVZ344" s="29"/>
      <c r="SWA344" s="29"/>
      <c r="SWB344" s="29"/>
      <c r="SWC344" s="29"/>
      <c r="SWD344" s="29"/>
      <c r="SWE344" s="29"/>
      <c r="SWF344" s="29"/>
      <c r="SWG344" s="29"/>
      <c r="SWH344" s="29"/>
      <c r="SWI344" s="29"/>
      <c r="SWJ344" s="29"/>
      <c r="SWK344" s="29"/>
      <c r="SWL344" s="29"/>
      <c r="SWM344" s="29"/>
      <c r="SWN344" s="29"/>
      <c r="SWO344" s="29"/>
      <c r="SWP344" s="29"/>
      <c r="SWQ344" s="29"/>
      <c r="SWR344" s="29"/>
      <c r="SWS344" s="29"/>
      <c r="SWT344" s="29"/>
      <c r="SWU344" s="29"/>
      <c r="SWV344" s="29"/>
      <c r="SWW344" s="29"/>
      <c r="SWX344" s="29"/>
      <c r="SWY344" s="29"/>
      <c r="SWZ344" s="29"/>
      <c r="SXA344" s="29"/>
      <c r="SXB344" s="29"/>
      <c r="SXC344" s="29"/>
      <c r="SXD344" s="29"/>
      <c r="SXE344" s="29"/>
      <c r="SXF344" s="29"/>
      <c r="SXG344" s="29"/>
      <c r="SXH344" s="29"/>
      <c r="SXI344" s="29"/>
      <c r="SXJ344" s="29"/>
      <c r="SXK344" s="29"/>
      <c r="SXL344" s="29"/>
      <c r="SXM344" s="29"/>
      <c r="SXN344" s="29"/>
      <c r="SXO344" s="29"/>
      <c r="SXP344" s="29"/>
      <c r="SXQ344" s="29"/>
      <c r="SXR344" s="29"/>
      <c r="SXS344" s="29"/>
      <c r="SXT344" s="29"/>
      <c r="SXU344" s="29"/>
      <c r="SXV344" s="29"/>
      <c r="SXW344" s="29"/>
      <c r="SXX344" s="29"/>
      <c r="SXY344" s="29"/>
      <c r="SXZ344" s="29"/>
      <c r="SYA344" s="29"/>
      <c r="SYB344" s="29"/>
      <c r="SYC344" s="29"/>
      <c r="SYD344" s="29"/>
      <c r="SYE344" s="29"/>
      <c r="SYF344" s="29"/>
      <c r="SYG344" s="29"/>
      <c r="SYH344" s="29"/>
      <c r="SYI344" s="29"/>
      <c r="SYJ344" s="29"/>
      <c r="SYK344" s="29"/>
      <c r="SYL344" s="29"/>
      <c r="SYM344" s="29"/>
      <c r="SYN344" s="29"/>
      <c r="SYO344" s="29"/>
      <c r="SYP344" s="29"/>
      <c r="SYQ344" s="29"/>
      <c r="SYR344" s="29"/>
      <c r="SYS344" s="29"/>
      <c r="SYT344" s="29"/>
      <c r="SYU344" s="29"/>
      <c r="SYV344" s="29"/>
      <c r="SYW344" s="29"/>
      <c r="SYX344" s="29"/>
      <c r="SYY344" s="29"/>
      <c r="SYZ344" s="29"/>
      <c r="SZA344" s="29"/>
      <c r="SZB344" s="29"/>
      <c r="SZC344" s="29"/>
      <c r="SZD344" s="29"/>
      <c r="SZE344" s="29"/>
      <c r="SZF344" s="29"/>
      <c r="SZG344" s="29"/>
      <c r="SZH344" s="29"/>
      <c r="SZI344" s="29"/>
      <c r="SZJ344" s="29"/>
      <c r="SZK344" s="29"/>
      <c r="SZL344" s="29"/>
      <c r="SZM344" s="29"/>
      <c r="SZN344" s="29"/>
      <c r="SZO344" s="29"/>
      <c r="SZP344" s="29"/>
      <c r="SZQ344" s="29"/>
      <c r="SZR344" s="29"/>
      <c r="SZS344" s="29"/>
      <c r="SZT344" s="29"/>
      <c r="SZU344" s="29"/>
      <c r="SZV344" s="29"/>
      <c r="SZW344" s="29"/>
      <c r="SZX344" s="29"/>
      <c r="SZY344" s="29"/>
      <c r="SZZ344" s="29"/>
      <c r="TAA344" s="29"/>
      <c r="TAB344" s="29"/>
      <c r="TAC344" s="29"/>
      <c r="TAD344" s="29"/>
      <c r="TAE344" s="29"/>
      <c r="TAF344" s="29"/>
      <c r="TAG344" s="29"/>
      <c r="TAH344" s="29"/>
      <c r="TAI344" s="29"/>
      <c r="TAJ344" s="29"/>
      <c r="TAK344" s="29"/>
      <c r="TAL344" s="29"/>
      <c r="TAM344" s="29"/>
      <c r="TAN344" s="29"/>
      <c r="TAO344" s="29"/>
      <c r="TAP344" s="29"/>
      <c r="TAQ344" s="29"/>
      <c r="TAR344" s="29"/>
      <c r="TAS344" s="29"/>
      <c r="TAT344" s="29"/>
      <c r="TAU344" s="29"/>
      <c r="TAV344" s="29"/>
      <c r="TAW344" s="29"/>
      <c r="TAX344" s="29"/>
      <c r="TAY344" s="29"/>
      <c r="TAZ344" s="29"/>
      <c r="TBA344" s="29"/>
      <c r="TBB344" s="29"/>
      <c r="TBC344" s="29"/>
      <c r="TBD344" s="29"/>
      <c r="TBE344" s="29"/>
      <c r="TBF344" s="29"/>
      <c r="TBG344" s="29"/>
      <c r="TBH344" s="29"/>
      <c r="TBI344" s="29"/>
      <c r="TBJ344" s="29"/>
      <c r="TBK344" s="29"/>
      <c r="TBL344" s="29"/>
      <c r="TBM344" s="29"/>
      <c r="TBN344" s="29"/>
      <c r="TBO344" s="29"/>
      <c r="TBP344" s="29"/>
      <c r="TBQ344" s="29"/>
      <c r="TBR344" s="29"/>
      <c r="TBS344" s="29"/>
      <c r="TBT344" s="29"/>
      <c r="TBU344" s="29"/>
      <c r="TBV344" s="29"/>
      <c r="TBW344" s="29"/>
      <c r="TBX344" s="29"/>
      <c r="TBY344" s="29"/>
      <c r="TBZ344" s="29"/>
      <c r="TCA344" s="29"/>
      <c r="TCB344" s="29"/>
      <c r="TCC344" s="29"/>
      <c r="TCD344" s="29"/>
      <c r="TCE344" s="29"/>
      <c r="TCF344" s="29"/>
      <c r="TCG344" s="29"/>
      <c r="TCH344" s="29"/>
      <c r="TCI344" s="29"/>
      <c r="TCJ344" s="29"/>
      <c r="TCK344" s="29"/>
      <c r="TCL344" s="29"/>
      <c r="TCM344" s="29"/>
      <c r="TCN344" s="29"/>
      <c r="TCO344" s="29"/>
      <c r="TCP344" s="29"/>
      <c r="TCQ344" s="29"/>
      <c r="TCR344" s="29"/>
      <c r="TCS344" s="29"/>
      <c r="TCT344" s="29"/>
      <c r="TCU344" s="29"/>
      <c r="TCV344" s="29"/>
      <c r="TCW344" s="29"/>
      <c r="TCX344" s="29"/>
      <c r="TCY344" s="29"/>
      <c r="TCZ344" s="29"/>
      <c r="TDA344" s="29"/>
      <c r="TDB344" s="29"/>
      <c r="TDC344" s="29"/>
      <c r="TDD344" s="29"/>
      <c r="TDE344" s="29"/>
      <c r="TDF344" s="29"/>
      <c r="TDG344" s="29"/>
      <c r="TDH344" s="29"/>
      <c r="TDI344" s="29"/>
      <c r="TDJ344" s="29"/>
      <c r="TDK344" s="29"/>
      <c r="TDL344" s="29"/>
      <c r="TDM344" s="29"/>
      <c r="TDN344" s="29"/>
      <c r="TDO344" s="29"/>
      <c r="TDP344" s="29"/>
      <c r="TDQ344" s="29"/>
      <c r="TDR344" s="29"/>
      <c r="TDS344" s="29"/>
      <c r="TDT344" s="29"/>
      <c r="TDU344" s="29"/>
      <c r="TDV344" s="29"/>
      <c r="TDW344" s="29"/>
      <c r="TDX344" s="29"/>
      <c r="TDY344" s="29"/>
      <c r="TDZ344" s="29"/>
      <c r="TEA344" s="29"/>
      <c r="TEB344" s="29"/>
      <c r="TEC344" s="29"/>
      <c r="TED344" s="29"/>
      <c r="TEE344" s="29"/>
      <c r="TEF344" s="29"/>
      <c r="TEG344" s="29"/>
      <c r="TEH344" s="29"/>
      <c r="TEI344" s="29"/>
      <c r="TEJ344" s="29"/>
      <c r="TEK344" s="29"/>
      <c r="TEL344" s="29"/>
      <c r="TEM344" s="29"/>
      <c r="TEN344" s="29"/>
      <c r="TEO344" s="29"/>
      <c r="TEP344" s="29"/>
      <c r="TEQ344" s="29"/>
      <c r="TER344" s="29"/>
      <c r="TES344" s="29"/>
      <c r="TET344" s="29"/>
      <c r="TEU344" s="29"/>
      <c r="TEV344" s="29"/>
      <c r="TEW344" s="29"/>
      <c r="TEX344" s="29"/>
      <c r="TEY344" s="29"/>
      <c r="TEZ344" s="29"/>
      <c r="TFA344" s="29"/>
      <c r="TFB344" s="29"/>
      <c r="TFC344" s="29"/>
      <c r="TFD344" s="29"/>
      <c r="TFE344" s="29"/>
      <c r="TFF344" s="29"/>
      <c r="TFG344" s="29"/>
      <c r="TFH344" s="29"/>
      <c r="TFI344" s="29"/>
      <c r="TFJ344" s="29"/>
      <c r="TFK344" s="29"/>
      <c r="TFL344" s="29"/>
      <c r="TFM344" s="29"/>
      <c r="TFN344" s="29"/>
      <c r="TFO344" s="29"/>
      <c r="TFP344" s="29"/>
      <c r="TFQ344" s="29"/>
      <c r="TFR344" s="29"/>
      <c r="TFS344" s="29"/>
      <c r="TFT344" s="29"/>
      <c r="TFU344" s="29"/>
      <c r="TFV344" s="29"/>
      <c r="TFW344" s="29"/>
      <c r="TFX344" s="29"/>
      <c r="TFY344" s="29"/>
      <c r="TFZ344" s="29"/>
      <c r="TGA344" s="29"/>
      <c r="TGB344" s="29"/>
      <c r="TGC344" s="29"/>
      <c r="TGD344" s="29"/>
      <c r="TGE344" s="29"/>
      <c r="TGF344" s="29"/>
      <c r="TGG344" s="29"/>
      <c r="TGH344" s="29"/>
      <c r="TGI344" s="29"/>
      <c r="TGJ344" s="29"/>
      <c r="TGK344" s="29"/>
      <c r="TGL344" s="29"/>
      <c r="TGM344" s="29"/>
      <c r="TGN344" s="29"/>
      <c r="TGO344" s="29"/>
      <c r="TGP344" s="29"/>
      <c r="TGQ344" s="29"/>
      <c r="TGR344" s="29"/>
      <c r="TGS344" s="29"/>
      <c r="TGT344" s="29"/>
      <c r="TGU344" s="29"/>
      <c r="TGV344" s="29"/>
      <c r="TGW344" s="29"/>
      <c r="TGX344" s="29"/>
      <c r="TGY344" s="29"/>
      <c r="TGZ344" s="29"/>
      <c r="THA344" s="29"/>
      <c r="THB344" s="29"/>
      <c r="THC344" s="29"/>
      <c r="THD344" s="29"/>
      <c r="THE344" s="29"/>
      <c r="THF344" s="29"/>
      <c r="THG344" s="29"/>
      <c r="THH344" s="29"/>
      <c r="THI344" s="29"/>
      <c r="THJ344" s="29"/>
      <c r="THK344" s="29"/>
      <c r="THL344" s="29"/>
      <c r="THM344" s="29"/>
      <c r="THN344" s="29"/>
      <c r="THO344" s="29"/>
      <c r="THP344" s="29"/>
      <c r="THQ344" s="29"/>
      <c r="THR344" s="29"/>
      <c r="THS344" s="29"/>
      <c r="THT344" s="29"/>
      <c r="THU344" s="29"/>
      <c r="THV344" s="29"/>
      <c r="THW344" s="29"/>
      <c r="THX344" s="29"/>
      <c r="THY344" s="29"/>
      <c r="THZ344" s="29"/>
      <c r="TIA344" s="29"/>
      <c r="TIB344" s="29"/>
      <c r="TIC344" s="29"/>
      <c r="TID344" s="29"/>
      <c r="TIE344" s="29"/>
      <c r="TIF344" s="29"/>
      <c r="TIG344" s="29"/>
      <c r="TIH344" s="29"/>
      <c r="TII344" s="29"/>
      <c r="TIJ344" s="29"/>
      <c r="TIK344" s="29"/>
      <c r="TIL344" s="29"/>
      <c r="TIM344" s="29"/>
      <c r="TIN344" s="29"/>
      <c r="TIO344" s="29"/>
      <c r="TIP344" s="29"/>
      <c r="TIQ344" s="29"/>
      <c r="TIR344" s="29"/>
      <c r="TIS344" s="29"/>
      <c r="TIT344" s="29"/>
      <c r="TIU344" s="29"/>
      <c r="TIV344" s="29"/>
      <c r="TIW344" s="29"/>
      <c r="TIX344" s="29"/>
      <c r="TIY344" s="29"/>
      <c r="TIZ344" s="29"/>
      <c r="TJA344" s="29"/>
      <c r="TJB344" s="29"/>
      <c r="TJC344" s="29"/>
      <c r="TJD344" s="29"/>
      <c r="TJE344" s="29"/>
      <c r="TJF344" s="29"/>
      <c r="TJG344" s="29"/>
      <c r="TJH344" s="29"/>
      <c r="TJI344" s="29"/>
      <c r="TJJ344" s="29"/>
      <c r="TJK344" s="29"/>
      <c r="TJL344" s="29"/>
      <c r="TJM344" s="29"/>
      <c r="TJN344" s="29"/>
      <c r="TJO344" s="29"/>
      <c r="TJP344" s="29"/>
      <c r="TJQ344" s="29"/>
      <c r="TJR344" s="29"/>
      <c r="TJS344" s="29"/>
      <c r="TJT344" s="29"/>
      <c r="TJU344" s="29"/>
      <c r="TJV344" s="29"/>
      <c r="TJW344" s="29"/>
      <c r="TJX344" s="29"/>
      <c r="TJY344" s="29"/>
      <c r="TJZ344" s="29"/>
      <c r="TKA344" s="29"/>
      <c r="TKB344" s="29"/>
      <c r="TKC344" s="29"/>
      <c r="TKD344" s="29"/>
      <c r="TKE344" s="29"/>
      <c r="TKF344" s="29"/>
      <c r="TKG344" s="29"/>
      <c r="TKH344" s="29"/>
      <c r="TKI344" s="29"/>
      <c r="TKJ344" s="29"/>
      <c r="TKK344" s="29"/>
      <c r="TKL344" s="29"/>
      <c r="TKM344" s="29"/>
      <c r="TKN344" s="29"/>
      <c r="TKO344" s="29"/>
      <c r="TKP344" s="29"/>
      <c r="TKQ344" s="29"/>
      <c r="TKR344" s="29"/>
      <c r="TKS344" s="29"/>
      <c r="TKT344" s="29"/>
      <c r="TKU344" s="29"/>
      <c r="TKV344" s="29"/>
      <c r="TKW344" s="29"/>
      <c r="TKX344" s="29"/>
      <c r="TKY344" s="29"/>
      <c r="TKZ344" s="29"/>
      <c r="TLA344" s="29"/>
      <c r="TLB344" s="29"/>
      <c r="TLC344" s="29"/>
      <c r="TLD344" s="29"/>
      <c r="TLE344" s="29"/>
      <c r="TLF344" s="29"/>
      <c r="TLG344" s="29"/>
      <c r="TLH344" s="29"/>
      <c r="TLI344" s="29"/>
      <c r="TLJ344" s="29"/>
      <c r="TLK344" s="29"/>
      <c r="TLL344" s="29"/>
      <c r="TLM344" s="29"/>
      <c r="TLN344" s="29"/>
      <c r="TLO344" s="29"/>
      <c r="TLP344" s="29"/>
      <c r="TLQ344" s="29"/>
      <c r="TLR344" s="29"/>
      <c r="TLS344" s="29"/>
      <c r="TLT344" s="29"/>
      <c r="TLU344" s="29"/>
      <c r="TLV344" s="29"/>
      <c r="TLW344" s="29"/>
      <c r="TLX344" s="29"/>
      <c r="TLY344" s="29"/>
      <c r="TLZ344" s="29"/>
      <c r="TMA344" s="29"/>
      <c r="TMB344" s="29"/>
      <c r="TMC344" s="29"/>
      <c r="TMD344" s="29"/>
      <c r="TME344" s="29"/>
      <c r="TMF344" s="29"/>
      <c r="TMG344" s="29"/>
      <c r="TMH344" s="29"/>
      <c r="TMI344" s="29"/>
      <c r="TMJ344" s="29"/>
      <c r="TMK344" s="29"/>
      <c r="TML344" s="29"/>
      <c r="TMM344" s="29"/>
      <c r="TMN344" s="29"/>
      <c r="TMO344" s="29"/>
      <c r="TMP344" s="29"/>
      <c r="TMQ344" s="29"/>
      <c r="TMR344" s="29"/>
      <c r="TMS344" s="29"/>
      <c r="TMT344" s="29"/>
      <c r="TMU344" s="29"/>
      <c r="TMV344" s="29"/>
      <c r="TMW344" s="29"/>
      <c r="TMX344" s="29"/>
      <c r="TMY344" s="29"/>
      <c r="TMZ344" s="29"/>
      <c r="TNA344" s="29"/>
      <c r="TNB344" s="29"/>
      <c r="TNC344" s="29"/>
      <c r="TND344" s="29"/>
      <c r="TNE344" s="29"/>
      <c r="TNF344" s="29"/>
      <c r="TNG344" s="29"/>
      <c r="TNH344" s="29"/>
      <c r="TNI344" s="29"/>
      <c r="TNJ344" s="29"/>
      <c r="TNK344" s="29"/>
      <c r="TNL344" s="29"/>
      <c r="TNM344" s="29"/>
      <c r="TNN344" s="29"/>
      <c r="TNO344" s="29"/>
      <c r="TNP344" s="29"/>
      <c r="TNQ344" s="29"/>
      <c r="TNR344" s="29"/>
      <c r="TNS344" s="29"/>
      <c r="TNT344" s="29"/>
      <c r="TNU344" s="29"/>
      <c r="TNV344" s="29"/>
      <c r="TNW344" s="29"/>
      <c r="TNX344" s="29"/>
      <c r="TNY344" s="29"/>
      <c r="TNZ344" s="29"/>
      <c r="TOA344" s="29"/>
      <c r="TOB344" s="29"/>
      <c r="TOC344" s="29"/>
      <c r="TOD344" s="29"/>
      <c r="TOE344" s="29"/>
      <c r="TOF344" s="29"/>
      <c r="TOG344" s="29"/>
      <c r="TOH344" s="29"/>
      <c r="TOI344" s="29"/>
      <c r="TOJ344" s="29"/>
      <c r="TOK344" s="29"/>
      <c r="TOL344" s="29"/>
      <c r="TOM344" s="29"/>
      <c r="TON344" s="29"/>
      <c r="TOO344" s="29"/>
      <c r="TOP344" s="29"/>
      <c r="TOQ344" s="29"/>
      <c r="TOR344" s="29"/>
      <c r="TOS344" s="29"/>
      <c r="TOT344" s="29"/>
      <c r="TOU344" s="29"/>
      <c r="TOV344" s="29"/>
      <c r="TOW344" s="29"/>
      <c r="TOX344" s="29"/>
      <c r="TOY344" s="29"/>
      <c r="TOZ344" s="29"/>
      <c r="TPA344" s="29"/>
      <c r="TPB344" s="29"/>
      <c r="TPC344" s="29"/>
      <c r="TPD344" s="29"/>
      <c r="TPE344" s="29"/>
      <c r="TPF344" s="29"/>
      <c r="TPG344" s="29"/>
      <c r="TPH344" s="29"/>
      <c r="TPI344" s="29"/>
      <c r="TPJ344" s="29"/>
      <c r="TPK344" s="29"/>
      <c r="TPL344" s="29"/>
      <c r="TPM344" s="29"/>
      <c r="TPN344" s="29"/>
      <c r="TPO344" s="29"/>
      <c r="TPP344" s="29"/>
      <c r="TPQ344" s="29"/>
      <c r="TPR344" s="29"/>
      <c r="TPS344" s="29"/>
      <c r="TPT344" s="29"/>
      <c r="TPU344" s="29"/>
      <c r="TPV344" s="29"/>
      <c r="TPW344" s="29"/>
      <c r="TPX344" s="29"/>
      <c r="TPY344" s="29"/>
      <c r="TPZ344" s="29"/>
      <c r="TQA344" s="29"/>
      <c r="TQB344" s="29"/>
      <c r="TQC344" s="29"/>
      <c r="TQD344" s="29"/>
      <c r="TQE344" s="29"/>
      <c r="TQF344" s="29"/>
      <c r="TQG344" s="29"/>
      <c r="TQH344" s="29"/>
      <c r="TQI344" s="29"/>
      <c r="TQJ344" s="29"/>
      <c r="TQK344" s="29"/>
      <c r="TQL344" s="29"/>
      <c r="TQM344" s="29"/>
      <c r="TQN344" s="29"/>
      <c r="TQO344" s="29"/>
      <c r="TQP344" s="29"/>
      <c r="TQQ344" s="29"/>
      <c r="TQR344" s="29"/>
      <c r="TQS344" s="29"/>
      <c r="TQT344" s="29"/>
      <c r="TQU344" s="29"/>
      <c r="TQV344" s="29"/>
      <c r="TQW344" s="29"/>
      <c r="TQX344" s="29"/>
      <c r="TQY344" s="29"/>
      <c r="TQZ344" s="29"/>
      <c r="TRA344" s="29"/>
      <c r="TRB344" s="29"/>
      <c r="TRC344" s="29"/>
      <c r="TRD344" s="29"/>
      <c r="TRE344" s="29"/>
      <c r="TRF344" s="29"/>
      <c r="TRG344" s="29"/>
      <c r="TRH344" s="29"/>
      <c r="TRI344" s="29"/>
      <c r="TRJ344" s="29"/>
      <c r="TRK344" s="29"/>
      <c r="TRL344" s="29"/>
      <c r="TRM344" s="29"/>
      <c r="TRN344" s="29"/>
      <c r="TRO344" s="29"/>
      <c r="TRP344" s="29"/>
      <c r="TRQ344" s="29"/>
      <c r="TRR344" s="29"/>
      <c r="TRS344" s="29"/>
      <c r="TRT344" s="29"/>
      <c r="TRU344" s="29"/>
      <c r="TRV344" s="29"/>
      <c r="TRW344" s="29"/>
      <c r="TRX344" s="29"/>
      <c r="TRY344" s="29"/>
      <c r="TRZ344" s="29"/>
      <c r="TSA344" s="29"/>
      <c r="TSB344" s="29"/>
      <c r="TSC344" s="29"/>
      <c r="TSD344" s="29"/>
      <c r="TSE344" s="29"/>
      <c r="TSF344" s="29"/>
      <c r="TSG344" s="29"/>
      <c r="TSH344" s="29"/>
      <c r="TSI344" s="29"/>
      <c r="TSJ344" s="29"/>
      <c r="TSK344" s="29"/>
      <c r="TSL344" s="29"/>
      <c r="TSM344" s="29"/>
      <c r="TSN344" s="29"/>
      <c r="TSO344" s="29"/>
      <c r="TSP344" s="29"/>
      <c r="TSQ344" s="29"/>
      <c r="TSR344" s="29"/>
      <c r="TSS344" s="29"/>
      <c r="TST344" s="29"/>
      <c r="TSU344" s="29"/>
      <c r="TSV344" s="29"/>
      <c r="TSW344" s="29"/>
      <c r="TSX344" s="29"/>
      <c r="TSY344" s="29"/>
      <c r="TSZ344" s="29"/>
      <c r="TTA344" s="29"/>
      <c r="TTB344" s="29"/>
      <c r="TTC344" s="29"/>
      <c r="TTD344" s="29"/>
      <c r="TTE344" s="29"/>
      <c r="TTF344" s="29"/>
      <c r="TTG344" s="29"/>
      <c r="TTH344" s="29"/>
      <c r="TTI344" s="29"/>
      <c r="TTJ344" s="29"/>
      <c r="TTK344" s="29"/>
      <c r="TTL344" s="29"/>
      <c r="TTM344" s="29"/>
      <c r="TTN344" s="29"/>
      <c r="TTO344" s="29"/>
      <c r="TTP344" s="29"/>
      <c r="TTQ344" s="29"/>
      <c r="TTR344" s="29"/>
      <c r="TTS344" s="29"/>
      <c r="TTT344" s="29"/>
      <c r="TTU344" s="29"/>
      <c r="TTV344" s="29"/>
      <c r="TTW344" s="29"/>
      <c r="TTX344" s="29"/>
      <c r="TTY344" s="29"/>
      <c r="TTZ344" s="29"/>
      <c r="TUA344" s="29"/>
      <c r="TUB344" s="29"/>
      <c r="TUC344" s="29"/>
      <c r="TUD344" s="29"/>
      <c r="TUE344" s="29"/>
      <c r="TUF344" s="29"/>
      <c r="TUG344" s="29"/>
      <c r="TUH344" s="29"/>
      <c r="TUI344" s="29"/>
      <c r="TUJ344" s="29"/>
      <c r="TUK344" s="29"/>
      <c r="TUL344" s="29"/>
      <c r="TUM344" s="29"/>
      <c r="TUN344" s="29"/>
      <c r="TUO344" s="29"/>
      <c r="TUP344" s="29"/>
      <c r="TUQ344" s="29"/>
      <c r="TUR344" s="29"/>
      <c r="TUS344" s="29"/>
      <c r="TUT344" s="29"/>
      <c r="TUU344" s="29"/>
      <c r="TUV344" s="29"/>
      <c r="TUW344" s="29"/>
      <c r="TUX344" s="29"/>
      <c r="TUY344" s="29"/>
      <c r="TUZ344" s="29"/>
      <c r="TVA344" s="29"/>
      <c r="TVB344" s="29"/>
      <c r="TVC344" s="29"/>
      <c r="TVD344" s="29"/>
      <c r="TVE344" s="29"/>
      <c r="TVF344" s="29"/>
      <c r="TVG344" s="29"/>
      <c r="TVH344" s="29"/>
      <c r="TVI344" s="29"/>
      <c r="TVJ344" s="29"/>
      <c r="TVK344" s="29"/>
      <c r="TVL344" s="29"/>
      <c r="TVM344" s="29"/>
      <c r="TVN344" s="29"/>
      <c r="TVO344" s="29"/>
      <c r="TVP344" s="29"/>
      <c r="TVQ344" s="29"/>
      <c r="TVR344" s="29"/>
      <c r="TVS344" s="29"/>
      <c r="TVT344" s="29"/>
      <c r="TVU344" s="29"/>
      <c r="TVV344" s="29"/>
      <c r="TVW344" s="29"/>
      <c r="TVX344" s="29"/>
      <c r="TVY344" s="29"/>
      <c r="TVZ344" s="29"/>
      <c r="TWA344" s="29"/>
      <c r="TWB344" s="29"/>
      <c r="TWC344" s="29"/>
      <c r="TWD344" s="29"/>
      <c r="TWE344" s="29"/>
      <c r="TWF344" s="29"/>
      <c r="TWG344" s="29"/>
      <c r="TWH344" s="29"/>
      <c r="TWI344" s="29"/>
      <c r="TWJ344" s="29"/>
      <c r="TWK344" s="29"/>
      <c r="TWL344" s="29"/>
      <c r="TWM344" s="29"/>
      <c r="TWN344" s="29"/>
      <c r="TWO344" s="29"/>
      <c r="TWP344" s="29"/>
      <c r="TWQ344" s="29"/>
      <c r="TWR344" s="29"/>
      <c r="TWS344" s="29"/>
      <c r="TWT344" s="29"/>
      <c r="TWU344" s="29"/>
      <c r="TWV344" s="29"/>
      <c r="TWW344" s="29"/>
      <c r="TWX344" s="29"/>
      <c r="TWY344" s="29"/>
      <c r="TWZ344" s="29"/>
      <c r="TXA344" s="29"/>
      <c r="TXB344" s="29"/>
      <c r="TXC344" s="29"/>
      <c r="TXD344" s="29"/>
      <c r="TXE344" s="29"/>
      <c r="TXF344" s="29"/>
      <c r="TXG344" s="29"/>
      <c r="TXH344" s="29"/>
      <c r="TXI344" s="29"/>
      <c r="TXJ344" s="29"/>
      <c r="TXK344" s="29"/>
      <c r="TXL344" s="29"/>
      <c r="TXM344" s="29"/>
      <c r="TXN344" s="29"/>
      <c r="TXO344" s="29"/>
      <c r="TXP344" s="29"/>
      <c r="TXQ344" s="29"/>
      <c r="TXR344" s="29"/>
      <c r="TXS344" s="29"/>
      <c r="TXT344" s="29"/>
      <c r="TXU344" s="29"/>
      <c r="TXV344" s="29"/>
      <c r="TXW344" s="29"/>
      <c r="TXX344" s="29"/>
      <c r="TXY344" s="29"/>
      <c r="TXZ344" s="29"/>
      <c r="TYA344" s="29"/>
      <c r="TYB344" s="29"/>
      <c r="TYC344" s="29"/>
      <c r="TYD344" s="29"/>
      <c r="TYE344" s="29"/>
      <c r="TYF344" s="29"/>
      <c r="TYG344" s="29"/>
      <c r="TYH344" s="29"/>
      <c r="TYI344" s="29"/>
      <c r="TYJ344" s="29"/>
      <c r="TYK344" s="29"/>
      <c r="TYL344" s="29"/>
      <c r="TYM344" s="29"/>
      <c r="TYN344" s="29"/>
      <c r="TYO344" s="29"/>
      <c r="TYP344" s="29"/>
      <c r="TYQ344" s="29"/>
      <c r="TYR344" s="29"/>
      <c r="TYS344" s="29"/>
      <c r="TYT344" s="29"/>
      <c r="TYU344" s="29"/>
      <c r="TYV344" s="29"/>
      <c r="TYW344" s="29"/>
      <c r="TYX344" s="29"/>
      <c r="TYY344" s="29"/>
      <c r="TYZ344" s="29"/>
      <c r="TZA344" s="29"/>
      <c r="TZB344" s="29"/>
      <c r="TZC344" s="29"/>
      <c r="TZD344" s="29"/>
      <c r="TZE344" s="29"/>
      <c r="TZF344" s="29"/>
      <c r="TZG344" s="29"/>
      <c r="TZH344" s="29"/>
      <c r="TZI344" s="29"/>
      <c r="TZJ344" s="29"/>
      <c r="TZK344" s="29"/>
      <c r="TZL344" s="29"/>
      <c r="TZM344" s="29"/>
      <c r="TZN344" s="29"/>
      <c r="TZO344" s="29"/>
      <c r="TZP344" s="29"/>
      <c r="TZQ344" s="29"/>
      <c r="TZR344" s="29"/>
      <c r="TZS344" s="29"/>
      <c r="TZT344" s="29"/>
      <c r="TZU344" s="29"/>
      <c r="TZV344" s="29"/>
      <c r="TZW344" s="29"/>
      <c r="TZX344" s="29"/>
      <c r="TZY344" s="29"/>
      <c r="TZZ344" s="29"/>
      <c r="UAA344" s="29"/>
      <c r="UAB344" s="29"/>
      <c r="UAC344" s="29"/>
      <c r="UAD344" s="29"/>
      <c r="UAE344" s="29"/>
      <c r="UAF344" s="29"/>
      <c r="UAG344" s="29"/>
      <c r="UAH344" s="29"/>
      <c r="UAI344" s="29"/>
      <c r="UAJ344" s="29"/>
      <c r="UAK344" s="29"/>
      <c r="UAL344" s="29"/>
      <c r="UAM344" s="29"/>
      <c r="UAN344" s="29"/>
      <c r="UAO344" s="29"/>
      <c r="UAP344" s="29"/>
      <c r="UAQ344" s="29"/>
      <c r="UAR344" s="29"/>
      <c r="UAS344" s="29"/>
      <c r="UAT344" s="29"/>
      <c r="UAU344" s="29"/>
      <c r="UAV344" s="29"/>
      <c r="UAW344" s="29"/>
      <c r="UAX344" s="29"/>
      <c r="UAY344" s="29"/>
      <c r="UAZ344" s="29"/>
      <c r="UBA344" s="29"/>
      <c r="UBB344" s="29"/>
      <c r="UBC344" s="29"/>
      <c r="UBD344" s="29"/>
      <c r="UBE344" s="29"/>
      <c r="UBF344" s="29"/>
      <c r="UBG344" s="29"/>
      <c r="UBH344" s="29"/>
      <c r="UBI344" s="29"/>
      <c r="UBJ344" s="29"/>
      <c r="UBK344" s="29"/>
      <c r="UBL344" s="29"/>
      <c r="UBM344" s="29"/>
      <c r="UBN344" s="29"/>
      <c r="UBO344" s="29"/>
      <c r="UBP344" s="29"/>
      <c r="UBQ344" s="29"/>
      <c r="UBR344" s="29"/>
      <c r="UBS344" s="29"/>
      <c r="UBT344" s="29"/>
      <c r="UBU344" s="29"/>
      <c r="UBV344" s="29"/>
      <c r="UBW344" s="29"/>
      <c r="UBX344" s="29"/>
      <c r="UBY344" s="29"/>
      <c r="UBZ344" s="29"/>
      <c r="UCA344" s="29"/>
      <c r="UCB344" s="29"/>
      <c r="UCC344" s="29"/>
      <c r="UCD344" s="29"/>
      <c r="UCE344" s="29"/>
      <c r="UCF344" s="29"/>
      <c r="UCG344" s="29"/>
      <c r="UCH344" s="29"/>
      <c r="UCI344" s="29"/>
      <c r="UCJ344" s="29"/>
      <c r="UCK344" s="29"/>
      <c r="UCL344" s="29"/>
      <c r="UCM344" s="29"/>
      <c r="UCN344" s="29"/>
      <c r="UCO344" s="29"/>
      <c r="UCP344" s="29"/>
      <c r="UCQ344" s="29"/>
      <c r="UCR344" s="29"/>
      <c r="UCS344" s="29"/>
      <c r="UCT344" s="29"/>
      <c r="UCU344" s="29"/>
      <c r="UCV344" s="29"/>
      <c r="UCW344" s="29"/>
      <c r="UCX344" s="29"/>
      <c r="UCY344" s="29"/>
      <c r="UCZ344" s="29"/>
      <c r="UDA344" s="29"/>
      <c r="UDB344" s="29"/>
      <c r="UDC344" s="29"/>
      <c r="UDD344" s="29"/>
      <c r="UDE344" s="29"/>
      <c r="UDF344" s="29"/>
      <c r="UDG344" s="29"/>
      <c r="UDH344" s="29"/>
      <c r="UDI344" s="29"/>
      <c r="UDJ344" s="29"/>
      <c r="UDK344" s="29"/>
      <c r="UDL344" s="29"/>
      <c r="UDM344" s="29"/>
      <c r="UDN344" s="29"/>
      <c r="UDO344" s="29"/>
      <c r="UDP344" s="29"/>
      <c r="UDQ344" s="29"/>
      <c r="UDR344" s="29"/>
      <c r="UDS344" s="29"/>
      <c r="UDT344" s="29"/>
      <c r="UDU344" s="29"/>
      <c r="UDV344" s="29"/>
      <c r="UDW344" s="29"/>
      <c r="UDX344" s="29"/>
      <c r="UDY344" s="29"/>
      <c r="UDZ344" s="29"/>
      <c r="UEA344" s="29"/>
      <c r="UEB344" s="29"/>
      <c r="UEC344" s="29"/>
      <c r="UED344" s="29"/>
      <c r="UEE344" s="29"/>
      <c r="UEF344" s="29"/>
      <c r="UEG344" s="29"/>
      <c r="UEH344" s="29"/>
      <c r="UEI344" s="29"/>
      <c r="UEJ344" s="29"/>
      <c r="UEK344" s="29"/>
      <c r="UEL344" s="29"/>
      <c r="UEM344" s="29"/>
      <c r="UEN344" s="29"/>
      <c r="UEO344" s="29"/>
      <c r="UEP344" s="29"/>
      <c r="UEQ344" s="29"/>
      <c r="UER344" s="29"/>
      <c r="UES344" s="29"/>
      <c r="UET344" s="29"/>
      <c r="UEU344" s="29"/>
      <c r="UEV344" s="29"/>
      <c r="UEW344" s="29"/>
      <c r="UEX344" s="29"/>
      <c r="UEY344" s="29"/>
      <c r="UEZ344" s="29"/>
      <c r="UFA344" s="29"/>
      <c r="UFB344" s="29"/>
      <c r="UFC344" s="29"/>
      <c r="UFD344" s="29"/>
      <c r="UFE344" s="29"/>
      <c r="UFF344" s="29"/>
      <c r="UFG344" s="29"/>
      <c r="UFH344" s="29"/>
      <c r="UFI344" s="29"/>
      <c r="UFJ344" s="29"/>
      <c r="UFK344" s="29"/>
      <c r="UFL344" s="29"/>
      <c r="UFM344" s="29"/>
      <c r="UFN344" s="29"/>
      <c r="UFO344" s="29"/>
      <c r="UFP344" s="29"/>
      <c r="UFQ344" s="29"/>
      <c r="UFR344" s="29"/>
      <c r="UFS344" s="29"/>
      <c r="UFT344" s="29"/>
      <c r="UFU344" s="29"/>
      <c r="UFV344" s="29"/>
      <c r="UFW344" s="29"/>
      <c r="UFX344" s="29"/>
      <c r="UFY344" s="29"/>
      <c r="UFZ344" s="29"/>
      <c r="UGA344" s="29"/>
      <c r="UGB344" s="29"/>
      <c r="UGC344" s="29"/>
      <c r="UGD344" s="29"/>
      <c r="UGE344" s="29"/>
      <c r="UGF344" s="29"/>
      <c r="UGG344" s="29"/>
      <c r="UGH344" s="29"/>
      <c r="UGI344" s="29"/>
      <c r="UGJ344" s="29"/>
      <c r="UGK344" s="29"/>
      <c r="UGL344" s="29"/>
      <c r="UGM344" s="29"/>
      <c r="UGN344" s="29"/>
      <c r="UGO344" s="29"/>
      <c r="UGP344" s="29"/>
      <c r="UGQ344" s="29"/>
      <c r="UGR344" s="29"/>
      <c r="UGS344" s="29"/>
      <c r="UGT344" s="29"/>
      <c r="UGU344" s="29"/>
      <c r="UGV344" s="29"/>
      <c r="UGW344" s="29"/>
      <c r="UGX344" s="29"/>
      <c r="UGY344" s="29"/>
      <c r="UGZ344" s="29"/>
      <c r="UHA344" s="29"/>
      <c r="UHB344" s="29"/>
      <c r="UHC344" s="29"/>
      <c r="UHD344" s="29"/>
      <c r="UHE344" s="29"/>
      <c r="UHF344" s="29"/>
      <c r="UHG344" s="29"/>
      <c r="UHH344" s="29"/>
      <c r="UHI344" s="29"/>
      <c r="UHJ344" s="29"/>
      <c r="UHK344" s="29"/>
      <c r="UHL344" s="29"/>
      <c r="UHM344" s="29"/>
      <c r="UHN344" s="29"/>
      <c r="UHO344" s="29"/>
      <c r="UHP344" s="29"/>
      <c r="UHQ344" s="29"/>
      <c r="UHR344" s="29"/>
      <c r="UHS344" s="29"/>
      <c r="UHT344" s="29"/>
      <c r="UHU344" s="29"/>
      <c r="UHV344" s="29"/>
      <c r="UHW344" s="29"/>
      <c r="UHX344" s="29"/>
      <c r="UHY344" s="29"/>
      <c r="UHZ344" s="29"/>
      <c r="UIA344" s="29"/>
      <c r="UIB344" s="29"/>
      <c r="UIC344" s="29"/>
      <c r="UID344" s="29"/>
      <c r="UIE344" s="29"/>
      <c r="UIF344" s="29"/>
      <c r="UIG344" s="29"/>
      <c r="UIH344" s="29"/>
      <c r="UII344" s="29"/>
      <c r="UIJ344" s="29"/>
      <c r="UIK344" s="29"/>
      <c r="UIL344" s="29"/>
      <c r="UIM344" s="29"/>
      <c r="UIN344" s="29"/>
      <c r="UIO344" s="29"/>
      <c r="UIP344" s="29"/>
      <c r="UIQ344" s="29"/>
      <c r="UIR344" s="29"/>
      <c r="UIS344" s="29"/>
      <c r="UIT344" s="29"/>
      <c r="UIU344" s="29"/>
      <c r="UIV344" s="29"/>
      <c r="UIW344" s="29"/>
      <c r="UIX344" s="29"/>
      <c r="UIY344" s="29"/>
      <c r="UIZ344" s="29"/>
      <c r="UJA344" s="29"/>
      <c r="UJB344" s="29"/>
      <c r="UJC344" s="29"/>
      <c r="UJD344" s="29"/>
      <c r="UJE344" s="29"/>
      <c r="UJF344" s="29"/>
      <c r="UJG344" s="29"/>
      <c r="UJH344" s="29"/>
      <c r="UJI344" s="29"/>
      <c r="UJJ344" s="29"/>
      <c r="UJK344" s="29"/>
      <c r="UJL344" s="29"/>
      <c r="UJM344" s="29"/>
      <c r="UJN344" s="29"/>
      <c r="UJO344" s="29"/>
      <c r="UJP344" s="29"/>
      <c r="UJQ344" s="29"/>
      <c r="UJR344" s="29"/>
      <c r="UJS344" s="29"/>
      <c r="UJT344" s="29"/>
      <c r="UJU344" s="29"/>
      <c r="UJV344" s="29"/>
      <c r="UJW344" s="29"/>
      <c r="UJX344" s="29"/>
      <c r="UJY344" s="29"/>
      <c r="UJZ344" s="29"/>
      <c r="UKA344" s="29"/>
      <c r="UKB344" s="29"/>
      <c r="UKC344" s="29"/>
      <c r="UKD344" s="29"/>
      <c r="UKE344" s="29"/>
      <c r="UKF344" s="29"/>
      <c r="UKG344" s="29"/>
      <c r="UKH344" s="29"/>
      <c r="UKI344" s="29"/>
      <c r="UKJ344" s="29"/>
      <c r="UKK344" s="29"/>
      <c r="UKL344" s="29"/>
      <c r="UKM344" s="29"/>
      <c r="UKN344" s="29"/>
      <c r="UKO344" s="29"/>
      <c r="UKP344" s="29"/>
      <c r="UKQ344" s="29"/>
      <c r="UKR344" s="29"/>
      <c r="UKS344" s="29"/>
      <c r="UKT344" s="29"/>
      <c r="UKU344" s="29"/>
      <c r="UKV344" s="29"/>
      <c r="UKW344" s="29"/>
      <c r="UKX344" s="29"/>
      <c r="UKY344" s="29"/>
      <c r="UKZ344" s="29"/>
      <c r="ULA344" s="29"/>
      <c r="ULB344" s="29"/>
      <c r="ULC344" s="29"/>
      <c r="ULD344" s="29"/>
      <c r="ULE344" s="29"/>
      <c r="ULF344" s="29"/>
      <c r="ULG344" s="29"/>
      <c r="ULH344" s="29"/>
      <c r="ULI344" s="29"/>
      <c r="ULJ344" s="29"/>
      <c r="ULK344" s="29"/>
      <c r="ULL344" s="29"/>
      <c r="ULM344" s="29"/>
      <c r="ULN344" s="29"/>
      <c r="ULO344" s="29"/>
      <c r="ULP344" s="29"/>
      <c r="ULQ344" s="29"/>
      <c r="ULR344" s="29"/>
      <c r="ULS344" s="29"/>
      <c r="ULT344" s="29"/>
      <c r="ULU344" s="29"/>
      <c r="ULV344" s="29"/>
      <c r="ULW344" s="29"/>
      <c r="ULX344" s="29"/>
      <c r="ULY344" s="29"/>
      <c r="ULZ344" s="29"/>
      <c r="UMA344" s="29"/>
      <c r="UMB344" s="29"/>
      <c r="UMC344" s="29"/>
      <c r="UMD344" s="29"/>
      <c r="UME344" s="29"/>
      <c r="UMF344" s="29"/>
      <c r="UMG344" s="29"/>
      <c r="UMH344" s="29"/>
      <c r="UMI344" s="29"/>
      <c r="UMJ344" s="29"/>
      <c r="UMK344" s="29"/>
      <c r="UML344" s="29"/>
      <c r="UMM344" s="29"/>
      <c r="UMN344" s="29"/>
      <c r="UMO344" s="29"/>
      <c r="UMP344" s="29"/>
      <c r="UMQ344" s="29"/>
      <c r="UMR344" s="29"/>
      <c r="UMS344" s="29"/>
      <c r="UMT344" s="29"/>
      <c r="UMU344" s="29"/>
      <c r="UMV344" s="29"/>
      <c r="UMW344" s="29"/>
      <c r="UMX344" s="29"/>
      <c r="UMY344" s="29"/>
      <c r="UMZ344" s="29"/>
      <c r="UNA344" s="29"/>
      <c r="UNB344" s="29"/>
      <c r="UNC344" s="29"/>
      <c r="UND344" s="29"/>
      <c r="UNE344" s="29"/>
      <c r="UNF344" s="29"/>
      <c r="UNG344" s="29"/>
      <c r="UNH344" s="29"/>
      <c r="UNI344" s="29"/>
      <c r="UNJ344" s="29"/>
      <c r="UNK344" s="29"/>
      <c r="UNL344" s="29"/>
      <c r="UNM344" s="29"/>
      <c r="UNN344" s="29"/>
      <c r="UNO344" s="29"/>
      <c r="UNP344" s="29"/>
      <c r="UNQ344" s="29"/>
      <c r="UNR344" s="29"/>
      <c r="UNS344" s="29"/>
      <c r="UNT344" s="29"/>
      <c r="UNU344" s="29"/>
      <c r="UNV344" s="29"/>
      <c r="UNW344" s="29"/>
      <c r="UNX344" s="29"/>
      <c r="UNY344" s="29"/>
      <c r="UNZ344" s="29"/>
      <c r="UOA344" s="29"/>
      <c r="UOB344" s="29"/>
      <c r="UOC344" s="29"/>
      <c r="UOD344" s="29"/>
      <c r="UOE344" s="29"/>
      <c r="UOF344" s="29"/>
      <c r="UOG344" s="29"/>
      <c r="UOH344" s="29"/>
      <c r="UOI344" s="29"/>
      <c r="UOJ344" s="29"/>
      <c r="UOK344" s="29"/>
      <c r="UOL344" s="29"/>
      <c r="UOM344" s="29"/>
      <c r="UON344" s="29"/>
      <c r="UOO344" s="29"/>
      <c r="UOP344" s="29"/>
      <c r="UOQ344" s="29"/>
      <c r="UOR344" s="29"/>
      <c r="UOS344" s="29"/>
      <c r="UOT344" s="29"/>
      <c r="UOU344" s="29"/>
      <c r="UOV344" s="29"/>
      <c r="UOW344" s="29"/>
      <c r="UOX344" s="29"/>
      <c r="UOY344" s="29"/>
      <c r="UOZ344" s="29"/>
      <c r="UPA344" s="29"/>
      <c r="UPB344" s="29"/>
      <c r="UPC344" s="29"/>
      <c r="UPD344" s="29"/>
      <c r="UPE344" s="29"/>
      <c r="UPF344" s="29"/>
      <c r="UPG344" s="29"/>
      <c r="UPH344" s="29"/>
      <c r="UPI344" s="29"/>
      <c r="UPJ344" s="29"/>
      <c r="UPK344" s="29"/>
      <c r="UPL344" s="29"/>
      <c r="UPM344" s="29"/>
      <c r="UPN344" s="29"/>
      <c r="UPO344" s="29"/>
      <c r="UPP344" s="29"/>
      <c r="UPQ344" s="29"/>
      <c r="UPR344" s="29"/>
      <c r="UPS344" s="29"/>
      <c r="UPT344" s="29"/>
      <c r="UPU344" s="29"/>
      <c r="UPV344" s="29"/>
      <c r="UPW344" s="29"/>
      <c r="UPX344" s="29"/>
      <c r="UPY344" s="29"/>
      <c r="UPZ344" s="29"/>
      <c r="UQA344" s="29"/>
      <c r="UQB344" s="29"/>
      <c r="UQC344" s="29"/>
      <c r="UQD344" s="29"/>
      <c r="UQE344" s="29"/>
      <c r="UQF344" s="29"/>
      <c r="UQG344" s="29"/>
      <c r="UQH344" s="29"/>
      <c r="UQI344" s="29"/>
      <c r="UQJ344" s="29"/>
      <c r="UQK344" s="29"/>
      <c r="UQL344" s="29"/>
      <c r="UQM344" s="29"/>
      <c r="UQN344" s="29"/>
      <c r="UQO344" s="29"/>
      <c r="UQP344" s="29"/>
      <c r="UQQ344" s="29"/>
      <c r="UQR344" s="29"/>
      <c r="UQS344" s="29"/>
      <c r="UQT344" s="29"/>
      <c r="UQU344" s="29"/>
      <c r="UQV344" s="29"/>
      <c r="UQW344" s="29"/>
      <c r="UQX344" s="29"/>
      <c r="UQY344" s="29"/>
      <c r="UQZ344" s="29"/>
      <c r="URA344" s="29"/>
      <c r="URB344" s="29"/>
      <c r="URC344" s="29"/>
      <c r="URD344" s="29"/>
      <c r="URE344" s="29"/>
      <c r="URF344" s="29"/>
      <c r="URG344" s="29"/>
      <c r="URH344" s="29"/>
      <c r="URI344" s="29"/>
      <c r="URJ344" s="29"/>
      <c r="URK344" s="29"/>
      <c r="URL344" s="29"/>
      <c r="URM344" s="29"/>
      <c r="URN344" s="29"/>
      <c r="URO344" s="29"/>
      <c r="URP344" s="29"/>
      <c r="URQ344" s="29"/>
      <c r="URR344" s="29"/>
      <c r="URS344" s="29"/>
      <c r="URT344" s="29"/>
      <c r="URU344" s="29"/>
      <c r="URV344" s="29"/>
      <c r="URW344" s="29"/>
      <c r="URX344" s="29"/>
      <c r="URY344" s="29"/>
      <c r="URZ344" s="29"/>
      <c r="USA344" s="29"/>
      <c r="USB344" s="29"/>
      <c r="USC344" s="29"/>
      <c r="USD344" s="29"/>
      <c r="USE344" s="29"/>
      <c r="USF344" s="29"/>
      <c r="USG344" s="29"/>
      <c r="USH344" s="29"/>
      <c r="USI344" s="29"/>
      <c r="USJ344" s="29"/>
      <c r="USK344" s="29"/>
      <c r="USL344" s="29"/>
      <c r="USM344" s="29"/>
      <c r="USN344" s="29"/>
      <c r="USO344" s="29"/>
      <c r="USP344" s="29"/>
      <c r="USQ344" s="29"/>
      <c r="USR344" s="29"/>
      <c r="USS344" s="29"/>
      <c r="UST344" s="29"/>
      <c r="USU344" s="29"/>
      <c r="USV344" s="29"/>
      <c r="USW344" s="29"/>
      <c r="USX344" s="29"/>
      <c r="USY344" s="29"/>
      <c r="USZ344" s="29"/>
      <c r="UTA344" s="29"/>
      <c r="UTB344" s="29"/>
      <c r="UTC344" s="29"/>
      <c r="UTD344" s="29"/>
      <c r="UTE344" s="29"/>
      <c r="UTF344" s="29"/>
      <c r="UTG344" s="29"/>
      <c r="UTH344" s="29"/>
      <c r="UTI344" s="29"/>
      <c r="UTJ344" s="29"/>
      <c r="UTK344" s="29"/>
      <c r="UTL344" s="29"/>
      <c r="UTM344" s="29"/>
      <c r="UTN344" s="29"/>
      <c r="UTO344" s="29"/>
      <c r="UTP344" s="29"/>
      <c r="UTQ344" s="29"/>
      <c r="UTR344" s="29"/>
      <c r="UTS344" s="29"/>
      <c r="UTT344" s="29"/>
      <c r="UTU344" s="29"/>
      <c r="UTV344" s="29"/>
      <c r="UTW344" s="29"/>
      <c r="UTX344" s="29"/>
      <c r="UTY344" s="29"/>
      <c r="UTZ344" s="29"/>
      <c r="UUA344" s="29"/>
      <c r="UUB344" s="29"/>
      <c r="UUC344" s="29"/>
      <c r="UUD344" s="29"/>
      <c r="UUE344" s="29"/>
      <c r="UUF344" s="29"/>
      <c r="UUG344" s="29"/>
      <c r="UUH344" s="29"/>
      <c r="UUI344" s="29"/>
      <c r="UUJ344" s="29"/>
      <c r="UUK344" s="29"/>
      <c r="UUL344" s="29"/>
      <c r="UUM344" s="29"/>
      <c r="UUN344" s="29"/>
      <c r="UUO344" s="29"/>
      <c r="UUP344" s="29"/>
      <c r="UUQ344" s="29"/>
      <c r="UUR344" s="29"/>
      <c r="UUS344" s="29"/>
      <c r="UUT344" s="29"/>
      <c r="UUU344" s="29"/>
      <c r="UUV344" s="29"/>
      <c r="UUW344" s="29"/>
      <c r="UUX344" s="29"/>
      <c r="UUY344" s="29"/>
      <c r="UUZ344" s="29"/>
      <c r="UVA344" s="29"/>
      <c r="UVB344" s="29"/>
      <c r="UVC344" s="29"/>
      <c r="UVD344" s="29"/>
      <c r="UVE344" s="29"/>
      <c r="UVF344" s="29"/>
      <c r="UVG344" s="29"/>
      <c r="UVH344" s="29"/>
      <c r="UVI344" s="29"/>
      <c r="UVJ344" s="29"/>
      <c r="UVK344" s="29"/>
      <c r="UVL344" s="29"/>
      <c r="UVM344" s="29"/>
      <c r="UVN344" s="29"/>
      <c r="UVO344" s="29"/>
      <c r="UVP344" s="29"/>
      <c r="UVQ344" s="29"/>
      <c r="UVR344" s="29"/>
      <c r="UVS344" s="29"/>
      <c r="UVT344" s="29"/>
      <c r="UVU344" s="29"/>
      <c r="UVV344" s="29"/>
      <c r="UVW344" s="29"/>
      <c r="UVX344" s="29"/>
      <c r="UVY344" s="29"/>
      <c r="UVZ344" s="29"/>
      <c r="UWA344" s="29"/>
      <c r="UWB344" s="29"/>
      <c r="UWC344" s="29"/>
      <c r="UWD344" s="29"/>
      <c r="UWE344" s="29"/>
      <c r="UWF344" s="29"/>
      <c r="UWG344" s="29"/>
      <c r="UWH344" s="29"/>
      <c r="UWI344" s="29"/>
      <c r="UWJ344" s="29"/>
      <c r="UWK344" s="29"/>
      <c r="UWL344" s="29"/>
      <c r="UWM344" s="29"/>
      <c r="UWN344" s="29"/>
      <c r="UWO344" s="29"/>
      <c r="UWP344" s="29"/>
      <c r="UWQ344" s="29"/>
      <c r="UWR344" s="29"/>
      <c r="UWS344" s="29"/>
      <c r="UWT344" s="29"/>
      <c r="UWU344" s="29"/>
      <c r="UWV344" s="29"/>
      <c r="UWW344" s="29"/>
      <c r="UWX344" s="29"/>
      <c r="UWY344" s="29"/>
      <c r="UWZ344" s="29"/>
      <c r="UXA344" s="29"/>
      <c r="UXB344" s="29"/>
      <c r="UXC344" s="29"/>
      <c r="UXD344" s="29"/>
      <c r="UXE344" s="29"/>
      <c r="UXF344" s="29"/>
      <c r="UXG344" s="29"/>
      <c r="UXH344" s="29"/>
      <c r="UXI344" s="29"/>
      <c r="UXJ344" s="29"/>
      <c r="UXK344" s="29"/>
      <c r="UXL344" s="29"/>
      <c r="UXM344" s="29"/>
      <c r="UXN344" s="29"/>
      <c r="UXO344" s="29"/>
      <c r="UXP344" s="29"/>
      <c r="UXQ344" s="29"/>
      <c r="UXR344" s="29"/>
      <c r="UXS344" s="29"/>
      <c r="UXT344" s="29"/>
      <c r="UXU344" s="29"/>
      <c r="UXV344" s="29"/>
      <c r="UXW344" s="29"/>
      <c r="UXX344" s="29"/>
      <c r="UXY344" s="29"/>
      <c r="UXZ344" s="29"/>
      <c r="UYA344" s="29"/>
      <c r="UYB344" s="29"/>
      <c r="UYC344" s="29"/>
      <c r="UYD344" s="29"/>
      <c r="UYE344" s="29"/>
      <c r="UYF344" s="29"/>
      <c r="UYG344" s="29"/>
      <c r="UYH344" s="29"/>
      <c r="UYI344" s="29"/>
      <c r="UYJ344" s="29"/>
      <c r="UYK344" s="29"/>
      <c r="UYL344" s="29"/>
      <c r="UYM344" s="29"/>
      <c r="UYN344" s="29"/>
      <c r="UYO344" s="29"/>
      <c r="UYP344" s="29"/>
      <c r="UYQ344" s="29"/>
      <c r="UYR344" s="29"/>
      <c r="UYS344" s="29"/>
      <c r="UYT344" s="29"/>
      <c r="UYU344" s="29"/>
      <c r="UYV344" s="29"/>
      <c r="UYW344" s="29"/>
      <c r="UYX344" s="29"/>
      <c r="UYY344" s="29"/>
      <c r="UYZ344" s="29"/>
      <c r="UZA344" s="29"/>
      <c r="UZB344" s="29"/>
      <c r="UZC344" s="29"/>
      <c r="UZD344" s="29"/>
      <c r="UZE344" s="29"/>
      <c r="UZF344" s="29"/>
      <c r="UZG344" s="29"/>
      <c r="UZH344" s="29"/>
      <c r="UZI344" s="29"/>
      <c r="UZJ344" s="29"/>
      <c r="UZK344" s="29"/>
      <c r="UZL344" s="29"/>
      <c r="UZM344" s="29"/>
      <c r="UZN344" s="29"/>
      <c r="UZO344" s="29"/>
      <c r="UZP344" s="29"/>
      <c r="UZQ344" s="29"/>
      <c r="UZR344" s="29"/>
      <c r="UZS344" s="29"/>
      <c r="UZT344" s="29"/>
      <c r="UZU344" s="29"/>
      <c r="UZV344" s="29"/>
      <c r="UZW344" s="29"/>
      <c r="UZX344" s="29"/>
      <c r="UZY344" s="29"/>
      <c r="UZZ344" s="29"/>
      <c r="VAA344" s="29"/>
      <c r="VAB344" s="29"/>
      <c r="VAC344" s="29"/>
      <c r="VAD344" s="29"/>
      <c r="VAE344" s="29"/>
      <c r="VAF344" s="29"/>
      <c r="VAG344" s="29"/>
      <c r="VAH344" s="29"/>
      <c r="VAI344" s="29"/>
      <c r="VAJ344" s="29"/>
      <c r="VAK344" s="29"/>
      <c r="VAL344" s="29"/>
      <c r="VAM344" s="29"/>
      <c r="VAN344" s="29"/>
      <c r="VAO344" s="29"/>
      <c r="VAP344" s="29"/>
      <c r="VAQ344" s="29"/>
      <c r="VAR344" s="29"/>
      <c r="VAS344" s="29"/>
      <c r="VAT344" s="29"/>
      <c r="VAU344" s="29"/>
      <c r="VAV344" s="29"/>
      <c r="VAW344" s="29"/>
      <c r="VAX344" s="29"/>
      <c r="VAY344" s="29"/>
      <c r="VAZ344" s="29"/>
      <c r="VBA344" s="29"/>
      <c r="VBB344" s="29"/>
      <c r="VBC344" s="29"/>
      <c r="VBD344" s="29"/>
      <c r="VBE344" s="29"/>
      <c r="VBF344" s="29"/>
      <c r="VBG344" s="29"/>
      <c r="VBH344" s="29"/>
      <c r="VBI344" s="29"/>
      <c r="VBJ344" s="29"/>
      <c r="VBK344" s="29"/>
      <c r="VBL344" s="29"/>
      <c r="VBM344" s="29"/>
      <c r="VBN344" s="29"/>
      <c r="VBO344" s="29"/>
      <c r="VBP344" s="29"/>
      <c r="VBQ344" s="29"/>
      <c r="VBR344" s="29"/>
      <c r="VBS344" s="29"/>
      <c r="VBT344" s="29"/>
      <c r="VBU344" s="29"/>
      <c r="VBV344" s="29"/>
      <c r="VBW344" s="29"/>
      <c r="VBX344" s="29"/>
      <c r="VBY344" s="29"/>
      <c r="VBZ344" s="29"/>
      <c r="VCA344" s="29"/>
      <c r="VCB344" s="29"/>
      <c r="VCC344" s="29"/>
      <c r="VCD344" s="29"/>
      <c r="VCE344" s="29"/>
      <c r="VCF344" s="29"/>
      <c r="VCG344" s="29"/>
      <c r="VCH344" s="29"/>
      <c r="VCI344" s="29"/>
      <c r="VCJ344" s="29"/>
      <c r="VCK344" s="29"/>
      <c r="VCL344" s="29"/>
      <c r="VCM344" s="29"/>
      <c r="VCN344" s="29"/>
      <c r="VCO344" s="29"/>
      <c r="VCP344" s="29"/>
      <c r="VCQ344" s="29"/>
      <c r="VCR344" s="29"/>
      <c r="VCS344" s="29"/>
      <c r="VCT344" s="29"/>
      <c r="VCU344" s="29"/>
      <c r="VCV344" s="29"/>
      <c r="VCW344" s="29"/>
      <c r="VCX344" s="29"/>
      <c r="VCY344" s="29"/>
      <c r="VCZ344" s="29"/>
      <c r="VDA344" s="29"/>
      <c r="VDB344" s="29"/>
      <c r="VDC344" s="29"/>
      <c r="VDD344" s="29"/>
      <c r="VDE344" s="29"/>
      <c r="VDF344" s="29"/>
      <c r="VDG344" s="29"/>
      <c r="VDH344" s="29"/>
      <c r="VDI344" s="29"/>
      <c r="VDJ344" s="29"/>
      <c r="VDK344" s="29"/>
      <c r="VDL344" s="29"/>
      <c r="VDM344" s="29"/>
      <c r="VDN344" s="29"/>
      <c r="VDO344" s="29"/>
      <c r="VDP344" s="29"/>
      <c r="VDQ344" s="29"/>
      <c r="VDR344" s="29"/>
      <c r="VDS344" s="29"/>
      <c r="VDT344" s="29"/>
      <c r="VDU344" s="29"/>
      <c r="VDV344" s="29"/>
      <c r="VDW344" s="29"/>
      <c r="VDX344" s="29"/>
      <c r="VDY344" s="29"/>
      <c r="VDZ344" s="29"/>
      <c r="VEA344" s="29"/>
      <c r="VEB344" s="29"/>
      <c r="VEC344" s="29"/>
      <c r="VED344" s="29"/>
      <c r="VEE344" s="29"/>
      <c r="VEF344" s="29"/>
      <c r="VEG344" s="29"/>
      <c r="VEH344" s="29"/>
      <c r="VEI344" s="29"/>
      <c r="VEJ344" s="29"/>
      <c r="VEK344" s="29"/>
      <c r="VEL344" s="29"/>
      <c r="VEM344" s="29"/>
      <c r="VEN344" s="29"/>
      <c r="VEO344" s="29"/>
      <c r="VEP344" s="29"/>
      <c r="VEQ344" s="29"/>
      <c r="VER344" s="29"/>
      <c r="VES344" s="29"/>
      <c r="VET344" s="29"/>
      <c r="VEU344" s="29"/>
      <c r="VEV344" s="29"/>
      <c r="VEW344" s="29"/>
      <c r="VEX344" s="29"/>
      <c r="VEY344" s="29"/>
      <c r="VEZ344" s="29"/>
      <c r="VFA344" s="29"/>
      <c r="VFB344" s="29"/>
      <c r="VFC344" s="29"/>
      <c r="VFD344" s="29"/>
      <c r="VFE344" s="29"/>
      <c r="VFF344" s="29"/>
      <c r="VFG344" s="29"/>
      <c r="VFH344" s="29"/>
      <c r="VFI344" s="29"/>
      <c r="VFJ344" s="29"/>
      <c r="VFK344" s="29"/>
      <c r="VFL344" s="29"/>
      <c r="VFM344" s="29"/>
      <c r="VFN344" s="29"/>
      <c r="VFO344" s="29"/>
      <c r="VFP344" s="29"/>
      <c r="VFQ344" s="29"/>
      <c r="VFR344" s="29"/>
      <c r="VFS344" s="29"/>
      <c r="VFT344" s="29"/>
      <c r="VFU344" s="29"/>
      <c r="VFV344" s="29"/>
      <c r="VFW344" s="29"/>
      <c r="VFX344" s="29"/>
      <c r="VFY344" s="29"/>
      <c r="VFZ344" s="29"/>
      <c r="VGA344" s="29"/>
      <c r="VGB344" s="29"/>
      <c r="VGC344" s="29"/>
      <c r="VGD344" s="29"/>
      <c r="VGE344" s="29"/>
      <c r="VGF344" s="29"/>
      <c r="VGG344" s="29"/>
      <c r="VGH344" s="29"/>
      <c r="VGI344" s="29"/>
      <c r="VGJ344" s="29"/>
      <c r="VGK344" s="29"/>
      <c r="VGL344" s="29"/>
      <c r="VGM344" s="29"/>
      <c r="VGN344" s="29"/>
      <c r="VGO344" s="29"/>
      <c r="VGP344" s="29"/>
      <c r="VGQ344" s="29"/>
      <c r="VGR344" s="29"/>
      <c r="VGS344" s="29"/>
      <c r="VGT344" s="29"/>
      <c r="VGU344" s="29"/>
      <c r="VGV344" s="29"/>
      <c r="VGW344" s="29"/>
      <c r="VGX344" s="29"/>
      <c r="VGY344" s="29"/>
      <c r="VGZ344" s="29"/>
      <c r="VHA344" s="29"/>
      <c r="VHB344" s="29"/>
      <c r="VHC344" s="29"/>
      <c r="VHD344" s="29"/>
      <c r="VHE344" s="29"/>
      <c r="VHF344" s="29"/>
      <c r="VHG344" s="29"/>
      <c r="VHH344" s="29"/>
      <c r="VHI344" s="29"/>
      <c r="VHJ344" s="29"/>
      <c r="VHK344" s="29"/>
      <c r="VHL344" s="29"/>
      <c r="VHM344" s="29"/>
      <c r="VHN344" s="29"/>
      <c r="VHO344" s="29"/>
      <c r="VHP344" s="29"/>
      <c r="VHQ344" s="29"/>
      <c r="VHR344" s="29"/>
      <c r="VHS344" s="29"/>
      <c r="VHT344" s="29"/>
      <c r="VHU344" s="29"/>
      <c r="VHV344" s="29"/>
      <c r="VHW344" s="29"/>
      <c r="VHX344" s="29"/>
      <c r="VHY344" s="29"/>
      <c r="VHZ344" s="29"/>
      <c r="VIA344" s="29"/>
      <c r="VIB344" s="29"/>
      <c r="VIC344" s="29"/>
      <c r="VID344" s="29"/>
      <c r="VIE344" s="29"/>
      <c r="VIF344" s="29"/>
      <c r="VIG344" s="29"/>
      <c r="VIH344" s="29"/>
      <c r="VII344" s="29"/>
      <c r="VIJ344" s="29"/>
      <c r="VIK344" s="29"/>
      <c r="VIL344" s="29"/>
      <c r="VIM344" s="29"/>
      <c r="VIN344" s="29"/>
      <c r="VIO344" s="29"/>
      <c r="VIP344" s="29"/>
      <c r="VIQ344" s="29"/>
      <c r="VIR344" s="29"/>
      <c r="VIS344" s="29"/>
      <c r="VIT344" s="29"/>
      <c r="VIU344" s="29"/>
      <c r="VIV344" s="29"/>
      <c r="VIW344" s="29"/>
      <c r="VIX344" s="29"/>
      <c r="VIY344" s="29"/>
      <c r="VIZ344" s="29"/>
      <c r="VJA344" s="29"/>
      <c r="VJB344" s="29"/>
      <c r="VJC344" s="29"/>
      <c r="VJD344" s="29"/>
      <c r="VJE344" s="29"/>
      <c r="VJF344" s="29"/>
      <c r="VJG344" s="29"/>
      <c r="VJH344" s="29"/>
      <c r="VJI344" s="29"/>
      <c r="VJJ344" s="29"/>
      <c r="VJK344" s="29"/>
      <c r="VJL344" s="29"/>
      <c r="VJM344" s="29"/>
      <c r="VJN344" s="29"/>
      <c r="VJO344" s="29"/>
      <c r="VJP344" s="29"/>
      <c r="VJQ344" s="29"/>
      <c r="VJR344" s="29"/>
      <c r="VJS344" s="29"/>
      <c r="VJT344" s="29"/>
      <c r="VJU344" s="29"/>
      <c r="VJV344" s="29"/>
      <c r="VJW344" s="29"/>
      <c r="VJX344" s="29"/>
      <c r="VJY344" s="29"/>
      <c r="VJZ344" s="29"/>
      <c r="VKA344" s="29"/>
      <c r="VKB344" s="29"/>
      <c r="VKC344" s="29"/>
      <c r="VKD344" s="29"/>
      <c r="VKE344" s="29"/>
      <c r="VKF344" s="29"/>
      <c r="VKG344" s="29"/>
      <c r="VKH344" s="29"/>
      <c r="VKI344" s="29"/>
      <c r="VKJ344" s="29"/>
      <c r="VKK344" s="29"/>
      <c r="VKL344" s="29"/>
      <c r="VKM344" s="29"/>
      <c r="VKN344" s="29"/>
      <c r="VKO344" s="29"/>
      <c r="VKP344" s="29"/>
      <c r="VKQ344" s="29"/>
      <c r="VKR344" s="29"/>
      <c r="VKS344" s="29"/>
      <c r="VKT344" s="29"/>
      <c r="VKU344" s="29"/>
      <c r="VKV344" s="29"/>
      <c r="VKW344" s="29"/>
      <c r="VKX344" s="29"/>
      <c r="VKY344" s="29"/>
      <c r="VKZ344" s="29"/>
      <c r="VLA344" s="29"/>
      <c r="VLB344" s="29"/>
      <c r="VLC344" s="29"/>
      <c r="VLD344" s="29"/>
      <c r="VLE344" s="29"/>
      <c r="VLF344" s="29"/>
      <c r="VLG344" s="29"/>
      <c r="VLH344" s="29"/>
      <c r="VLI344" s="29"/>
      <c r="VLJ344" s="29"/>
      <c r="VLK344" s="29"/>
      <c r="VLL344" s="29"/>
      <c r="VLM344" s="29"/>
      <c r="VLN344" s="29"/>
      <c r="VLO344" s="29"/>
      <c r="VLP344" s="29"/>
      <c r="VLQ344" s="29"/>
      <c r="VLR344" s="29"/>
      <c r="VLS344" s="29"/>
      <c r="VLT344" s="29"/>
      <c r="VLU344" s="29"/>
      <c r="VLV344" s="29"/>
      <c r="VLW344" s="29"/>
      <c r="VLX344" s="29"/>
      <c r="VLY344" s="29"/>
      <c r="VLZ344" s="29"/>
      <c r="VMA344" s="29"/>
      <c r="VMB344" s="29"/>
      <c r="VMC344" s="29"/>
      <c r="VMD344" s="29"/>
      <c r="VME344" s="29"/>
      <c r="VMF344" s="29"/>
      <c r="VMG344" s="29"/>
      <c r="VMH344" s="29"/>
      <c r="VMI344" s="29"/>
      <c r="VMJ344" s="29"/>
      <c r="VMK344" s="29"/>
      <c r="VML344" s="29"/>
      <c r="VMM344" s="29"/>
      <c r="VMN344" s="29"/>
      <c r="VMO344" s="29"/>
      <c r="VMP344" s="29"/>
      <c r="VMQ344" s="29"/>
      <c r="VMR344" s="29"/>
      <c r="VMS344" s="29"/>
      <c r="VMT344" s="29"/>
      <c r="VMU344" s="29"/>
      <c r="VMV344" s="29"/>
      <c r="VMW344" s="29"/>
      <c r="VMX344" s="29"/>
      <c r="VMY344" s="29"/>
      <c r="VMZ344" s="29"/>
      <c r="VNA344" s="29"/>
      <c r="VNB344" s="29"/>
      <c r="VNC344" s="29"/>
      <c r="VND344" s="29"/>
      <c r="VNE344" s="29"/>
      <c r="VNF344" s="29"/>
      <c r="VNG344" s="29"/>
      <c r="VNH344" s="29"/>
      <c r="VNI344" s="29"/>
      <c r="VNJ344" s="29"/>
      <c r="VNK344" s="29"/>
      <c r="VNL344" s="29"/>
      <c r="VNM344" s="29"/>
      <c r="VNN344" s="29"/>
      <c r="VNO344" s="29"/>
      <c r="VNP344" s="29"/>
      <c r="VNQ344" s="29"/>
      <c r="VNR344" s="29"/>
      <c r="VNS344" s="29"/>
      <c r="VNT344" s="29"/>
      <c r="VNU344" s="29"/>
      <c r="VNV344" s="29"/>
      <c r="VNW344" s="29"/>
      <c r="VNX344" s="29"/>
      <c r="VNY344" s="29"/>
      <c r="VNZ344" s="29"/>
      <c r="VOA344" s="29"/>
      <c r="VOB344" s="29"/>
      <c r="VOC344" s="29"/>
      <c r="VOD344" s="29"/>
      <c r="VOE344" s="29"/>
      <c r="VOF344" s="29"/>
      <c r="VOG344" s="29"/>
      <c r="VOH344" s="29"/>
      <c r="VOI344" s="29"/>
      <c r="VOJ344" s="29"/>
      <c r="VOK344" s="29"/>
      <c r="VOL344" s="29"/>
      <c r="VOM344" s="29"/>
      <c r="VON344" s="29"/>
      <c r="VOO344" s="29"/>
      <c r="VOP344" s="29"/>
      <c r="VOQ344" s="29"/>
      <c r="VOR344" s="29"/>
      <c r="VOS344" s="29"/>
      <c r="VOT344" s="29"/>
      <c r="VOU344" s="29"/>
      <c r="VOV344" s="29"/>
      <c r="VOW344" s="29"/>
      <c r="VOX344" s="29"/>
      <c r="VOY344" s="29"/>
      <c r="VOZ344" s="29"/>
      <c r="VPA344" s="29"/>
      <c r="VPB344" s="29"/>
      <c r="VPC344" s="29"/>
      <c r="VPD344" s="29"/>
      <c r="VPE344" s="29"/>
      <c r="VPF344" s="29"/>
      <c r="VPG344" s="29"/>
      <c r="VPH344" s="29"/>
      <c r="VPI344" s="29"/>
      <c r="VPJ344" s="29"/>
      <c r="VPK344" s="29"/>
      <c r="VPL344" s="29"/>
      <c r="VPM344" s="29"/>
      <c r="VPN344" s="29"/>
      <c r="VPO344" s="29"/>
      <c r="VPP344" s="29"/>
      <c r="VPQ344" s="29"/>
      <c r="VPR344" s="29"/>
      <c r="VPS344" s="29"/>
      <c r="VPT344" s="29"/>
      <c r="VPU344" s="29"/>
      <c r="VPV344" s="29"/>
      <c r="VPW344" s="29"/>
      <c r="VPX344" s="29"/>
      <c r="VPY344" s="29"/>
      <c r="VPZ344" s="29"/>
      <c r="VQA344" s="29"/>
      <c r="VQB344" s="29"/>
      <c r="VQC344" s="29"/>
      <c r="VQD344" s="29"/>
      <c r="VQE344" s="29"/>
      <c r="VQF344" s="29"/>
      <c r="VQG344" s="29"/>
      <c r="VQH344" s="29"/>
      <c r="VQI344" s="29"/>
      <c r="VQJ344" s="29"/>
      <c r="VQK344" s="29"/>
      <c r="VQL344" s="29"/>
      <c r="VQM344" s="29"/>
      <c r="VQN344" s="29"/>
      <c r="VQO344" s="29"/>
      <c r="VQP344" s="29"/>
      <c r="VQQ344" s="29"/>
      <c r="VQR344" s="29"/>
      <c r="VQS344" s="29"/>
      <c r="VQT344" s="29"/>
      <c r="VQU344" s="29"/>
      <c r="VQV344" s="29"/>
      <c r="VQW344" s="29"/>
      <c r="VQX344" s="29"/>
      <c r="VQY344" s="29"/>
      <c r="VQZ344" s="29"/>
      <c r="VRA344" s="29"/>
      <c r="VRB344" s="29"/>
      <c r="VRC344" s="29"/>
      <c r="VRD344" s="29"/>
      <c r="VRE344" s="29"/>
      <c r="VRF344" s="29"/>
      <c r="VRG344" s="29"/>
      <c r="VRH344" s="29"/>
      <c r="VRI344" s="29"/>
      <c r="VRJ344" s="29"/>
      <c r="VRK344" s="29"/>
      <c r="VRL344" s="29"/>
      <c r="VRM344" s="29"/>
      <c r="VRN344" s="29"/>
      <c r="VRO344" s="29"/>
      <c r="VRP344" s="29"/>
      <c r="VRQ344" s="29"/>
      <c r="VRR344" s="29"/>
      <c r="VRS344" s="29"/>
      <c r="VRT344" s="29"/>
      <c r="VRU344" s="29"/>
      <c r="VRV344" s="29"/>
      <c r="VRW344" s="29"/>
      <c r="VRX344" s="29"/>
      <c r="VRY344" s="29"/>
      <c r="VRZ344" s="29"/>
      <c r="VSA344" s="29"/>
      <c r="VSB344" s="29"/>
      <c r="VSC344" s="29"/>
      <c r="VSD344" s="29"/>
      <c r="VSE344" s="29"/>
      <c r="VSF344" s="29"/>
      <c r="VSG344" s="29"/>
      <c r="VSH344" s="29"/>
      <c r="VSI344" s="29"/>
      <c r="VSJ344" s="29"/>
      <c r="VSK344" s="29"/>
      <c r="VSL344" s="29"/>
      <c r="VSM344" s="29"/>
      <c r="VSN344" s="29"/>
      <c r="VSO344" s="29"/>
      <c r="VSP344" s="29"/>
      <c r="VSQ344" s="29"/>
      <c r="VSR344" s="29"/>
      <c r="VSS344" s="29"/>
      <c r="VST344" s="29"/>
      <c r="VSU344" s="29"/>
      <c r="VSV344" s="29"/>
      <c r="VSW344" s="29"/>
      <c r="VSX344" s="29"/>
      <c r="VSY344" s="29"/>
      <c r="VSZ344" s="29"/>
      <c r="VTA344" s="29"/>
      <c r="VTB344" s="29"/>
      <c r="VTC344" s="29"/>
      <c r="VTD344" s="29"/>
      <c r="VTE344" s="29"/>
      <c r="VTF344" s="29"/>
      <c r="VTG344" s="29"/>
      <c r="VTH344" s="29"/>
      <c r="VTI344" s="29"/>
      <c r="VTJ344" s="29"/>
      <c r="VTK344" s="29"/>
      <c r="VTL344" s="29"/>
      <c r="VTM344" s="29"/>
      <c r="VTN344" s="29"/>
      <c r="VTO344" s="29"/>
      <c r="VTP344" s="29"/>
      <c r="VTQ344" s="29"/>
      <c r="VTR344" s="29"/>
      <c r="VTS344" s="29"/>
      <c r="VTT344" s="29"/>
      <c r="VTU344" s="29"/>
      <c r="VTV344" s="29"/>
      <c r="VTW344" s="29"/>
      <c r="VTX344" s="29"/>
      <c r="VTY344" s="29"/>
      <c r="VTZ344" s="29"/>
      <c r="VUA344" s="29"/>
      <c r="VUB344" s="29"/>
      <c r="VUC344" s="29"/>
      <c r="VUD344" s="29"/>
      <c r="VUE344" s="29"/>
      <c r="VUF344" s="29"/>
      <c r="VUG344" s="29"/>
      <c r="VUH344" s="29"/>
      <c r="VUI344" s="29"/>
      <c r="VUJ344" s="29"/>
      <c r="VUK344" s="29"/>
      <c r="VUL344" s="29"/>
      <c r="VUM344" s="29"/>
      <c r="VUN344" s="29"/>
      <c r="VUO344" s="29"/>
      <c r="VUP344" s="29"/>
      <c r="VUQ344" s="29"/>
      <c r="VUR344" s="29"/>
      <c r="VUS344" s="29"/>
      <c r="VUT344" s="29"/>
      <c r="VUU344" s="29"/>
      <c r="VUV344" s="29"/>
      <c r="VUW344" s="29"/>
      <c r="VUX344" s="29"/>
      <c r="VUY344" s="29"/>
      <c r="VUZ344" s="29"/>
      <c r="VVA344" s="29"/>
      <c r="VVB344" s="29"/>
      <c r="VVC344" s="29"/>
      <c r="VVD344" s="29"/>
      <c r="VVE344" s="29"/>
      <c r="VVF344" s="29"/>
      <c r="VVG344" s="29"/>
      <c r="VVH344" s="29"/>
      <c r="VVI344" s="29"/>
      <c r="VVJ344" s="29"/>
      <c r="VVK344" s="29"/>
      <c r="VVL344" s="29"/>
      <c r="VVM344" s="29"/>
      <c r="VVN344" s="29"/>
      <c r="VVO344" s="29"/>
      <c r="VVP344" s="29"/>
      <c r="VVQ344" s="29"/>
      <c r="VVR344" s="29"/>
      <c r="VVS344" s="29"/>
      <c r="VVT344" s="29"/>
      <c r="VVU344" s="29"/>
      <c r="VVV344" s="29"/>
      <c r="VVW344" s="29"/>
      <c r="VVX344" s="29"/>
      <c r="VVY344" s="29"/>
      <c r="VVZ344" s="29"/>
      <c r="VWA344" s="29"/>
      <c r="VWB344" s="29"/>
      <c r="VWC344" s="29"/>
      <c r="VWD344" s="29"/>
      <c r="VWE344" s="29"/>
      <c r="VWF344" s="29"/>
      <c r="VWG344" s="29"/>
      <c r="VWH344" s="29"/>
      <c r="VWI344" s="29"/>
      <c r="VWJ344" s="29"/>
      <c r="VWK344" s="29"/>
      <c r="VWL344" s="29"/>
      <c r="VWM344" s="29"/>
      <c r="VWN344" s="29"/>
      <c r="VWO344" s="29"/>
      <c r="VWP344" s="29"/>
      <c r="VWQ344" s="29"/>
      <c r="VWR344" s="29"/>
      <c r="VWS344" s="29"/>
      <c r="VWT344" s="29"/>
      <c r="VWU344" s="29"/>
      <c r="VWV344" s="29"/>
      <c r="VWW344" s="29"/>
      <c r="VWX344" s="29"/>
      <c r="VWY344" s="29"/>
      <c r="VWZ344" s="29"/>
      <c r="VXA344" s="29"/>
      <c r="VXB344" s="29"/>
      <c r="VXC344" s="29"/>
      <c r="VXD344" s="29"/>
      <c r="VXE344" s="29"/>
      <c r="VXF344" s="29"/>
      <c r="VXG344" s="29"/>
      <c r="VXH344" s="29"/>
      <c r="VXI344" s="29"/>
      <c r="VXJ344" s="29"/>
      <c r="VXK344" s="29"/>
      <c r="VXL344" s="29"/>
      <c r="VXM344" s="29"/>
      <c r="VXN344" s="29"/>
      <c r="VXO344" s="29"/>
      <c r="VXP344" s="29"/>
      <c r="VXQ344" s="29"/>
      <c r="VXR344" s="29"/>
      <c r="VXS344" s="29"/>
      <c r="VXT344" s="29"/>
      <c r="VXU344" s="29"/>
      <c r="VXV344" s="29"/>
      <c r="VXW344" s="29"/>
      <c r="VXX344" s="29"/>
      <c r="VXY344" s="29"/>
      <c r="VXZ344" s="29"/>
      <c r="VYA344" s="29"/>
      <c r="VYB344" s="29"/>
      <c r="VYC344" s="29"/>
      <c r="VYD344" s="29"/>
      <c r="VYE344" s="29"/>
      <c r="VYF344" s="29"/>
      <c r="VYG344" s="29"/>
      <c r="VYH344" s="29"/>
      <c r="VYI344" s="29"/>
      <c r="VYJ344" s="29"/>
      <c r="VYK344" s="29"/>
      <c r="VYL344" s="29"/>
      <c r="VYM344" s="29"/>
      <c r="VYN344" s="29"/>
      <c r="VYO344" s="29"/>
      <c r="VYP344" s="29"/>
      <c r="VYQ344" s="29"/>
      <c r="VYR344" s="29"/>
      <c r="VYS344" s="29"/>
      <c r="VYT344" s="29"/>
      <c r="VYU344" s="29"/>
      <c r="VYV344" s="29"/>
      <c r="VYW344" s="29"/>
      <c r="VYX344" s="29"/>
      <c r="VYY344" s="29"/>
      <c r="VYZ344" s="29"/>
      <c r="VZA344" s="29"/>
      <c r="VZB344" s="29"/>
      <c r="VZC344" s="29"/>
      <c r="VZD344" s="29"/>
      <c r="VZE344" s="29"/>
      <c r="VZF344" s="29"/>
      <c r="VZG344" s="29"/>
      <c r="VZH344" s="29"/>
      <c r="VZI344" s="29"/>
      <c r="VZJ344" s="29"/>
      <c r="VZK344" s="29"/>
      <c r="VZL344" s="29"/>
      <c r="VZM344" s="29"/>
      <c r="VZN344" s="29"/>
      <c r="VZO344" s="29"/>
      <c r="VZP344" s="29"/>
      <c r="VZQ344" s="29"/>
      <c r="VZR344" s="29"/>
      <c r="VZS344" s="29"/>
      <c r="VZT344" s="29"/>
      <c r="VZU344" s="29"/>
      <c r="VZV344" s="29"/>
      <c r="VZW344" s="29"/>
      <c r="VZX344" s="29"/>
      <c r="VZY344" s="29"/>
      <c r="VZZ344" s="29"/>
      <c r="WAA344" s="29"/>
      <c r="WAB344" s="29"/>
      <c r="WAC344" s="29"/>
      <c r="WAD344" s="29"/>
      <c r="WAE344" s="29"/>
      <c r="WAF344" s="29"/>
      <c r="WAG344" s="29"/>
      <c r="WAH344" s="29"/>
      <c r="WAI344" s="29"/>
      <c r="WAJ344" s="29"/>
      <c r="WAK344" s="29"/>
      <c r="WAL344" s="29"/>
      <c r="WAM344" s="29"/>
      <c r="WAN344" s="29"/>
      <c r="WAO344" s="29"/>
      <c r="WAP344" s="29"/>
      <c r="WAQ344" s="29"/>
      <c r="WAR344" s="29"/>
      <c r="WAS344" s="29"/>
      <c r="WAT344" s="29"/>
      <c r="WAU344" s="29"/>
      <c r="WAV344" s="29"/>
      <c r="WAW344" s="29"/>
      <c r="WAX344" s="29"/>
      <c r="WAY344" s="29"/>
      <c r="WAZ344" s="29"/>
      <c r="WBA344" s="29"/>
      <c r="WBB344" s="29"/>
      <c r="WBC344" s="29"/>
      <c r="WBD344" s="29"/>
      <c r="WBE344" s="29"/>
      <c r="WBF344" s="29"/>
      <c r="WBG344" s="29"/>
      <c r="WBH344" s="29"/>
      <c r="WBI344" s="29"/>
      <c r="WBJ344" s="29"/>
      <c r="WBK344" s="29"/>
      <c r="WBL344" s="29"/>
      <c r="WBM344" s="29"/>
      <c r="WBN344" s="29"/>
      <c r="WBO344" s="29"/>
      <c r="WBP344" s="29"/>
      <c r="WBQ344" s="29"/>
      <c r="WBR344" s="29"/>
      <c r="WBS344" s="29"/>
      <c r="WBT344" s="29"/>
      <c r="WBU344" s="29"/>
      <c r="WBV344" s="29"/>
      <c r="WBW344" s="29"/>
      <c r="WBX344" s="29"/>
      <c r="WBY344" s="29"/>
      <c r="WBZ344" s="29"/>
      <c r="WCA344" s="29"/>
      <c r="WCB344" s="29"/>
      <c r="WCC344" s="29"/>
      <c r="WCD344" s="29"/>
      <c r="WCE344" s="29"/>
      <c r="WCF344" s="29"/>
      <c r="WCG344" s="29"/>
      <c r="WCH344" s="29"/>
      <c r="WCI344" s="29"/>
      <c r="WCJ344" s="29"/>
      <c r="WCK344" s="29"/>
      <c r="WCL344" s="29"/>
      <c r="WCM344" s="29"/>
      <c r="WCN344" s="29"/>
      <c r="WCO344" s="29"/>
      <c r="WCP344" s="29"/>
      <c r="WCQ344" s="29"/>
      <c r="WCR344" s="29"/>
      <c r="WCS344" s="29"/>
      <c r="WCT344" s="29"/>
      <c r="WCU344" s="29"/>
      <c r="WCV344" s="29"/>
      <c r="WCW344" s="29"/>
      <c r="WCX344" s="29"/>
      <c r="WCY344" s="29"/>
      <c r="WCZ344" s="29"/>
      <c r="WDA344" s="29"/>
      <c r="WDB344" s="29"/>
      <c r="WDC344" s="29"/>
      <c r="WDD344" s="29"/>
      <c r="WDE344" s="29"/>
      <c r="WDF344" s="29"/>
      <c r="WDG344" s="29"/>
      <c r="WDH344" s="29"/>
      <c r="WDI344" s="29"/>
      <c r="WDJ344" s="29"/>
      <c r="WDK344" s="29"/>
      <c r="WDL344" s="29"/>
      <c r="WDM344" s="29"/>
      <c r="WDN344" s="29"/>
      <c r="WDO344" s="29"/>
      <c r="WDP344" s="29"/>
      <c r="WDQ344" s="29"/>
      <c r="WDR344" s="29"/>
      <c r="WDS344" s="29"/>
      <c r="WDT344" s="29"/>
      <c r="WDU344" s="29"/>
      <c r="WDV344" s="29"/>
      <c r="WDW344" s="29"/>
      <c r="WDX344" s="29"/>
      <c r="WDY344" s="29"/>
      <c r="WDZ344" s="29"/>
      <c r="WEA344" s="29"/>
      <c r="WEB344" s="29"/>
      <c r="WEC344" s="29"/>
      <c r="WED344" s="29"/>
      <c r="WEE344" s="29"/>
      <c r="WEF344" s="29"/>
      <c r="WEG344" s="29"/>
      <c r="WEH344" s="29"/>
      <c r="WEI344" s="29"/>
      <c r="WEJ344" s="29"/>
      <c r="WEK344" s="29"/>
      <c r="WEL344" s="29"/>
      <c r="WEM344" s="29"/>
      <c r="WEN344" s="29"/>
      <c r="WEO344" s="29"/>
      <c r="WEP344" s="29"/>
      <c r="WEQ344" s="29"/>
      <c r="WER344" s="29"/>
      <c r="WES344" s="29"/>
      <c r="WET344" s="29"/>
      <c r="WEU344" s="29"/>
      <c r="WEV344" s="29"/>
      <c r="WEW344" s="29"/>
      <c r="WEX344" s="29"/>
      <c r="WEY344" s="29"/>
      <c r="WEZ344" s="29"/>
      <c r="WFA344" s="29"/>
      <c r="WFB344" s="29"/>
      <c r="WFC344" s="29"/>
      <c r="WFD344" s="29"/>
      <c r="WFE344" s="29"/>
      <c r="WFF344" s="29"/>
      <c r="WFG344" s="29"/>
      <c r="WFH344" s="29"/>
      <c r="WFI344" s="29"/>
      <c r="WFJ344" s="29"/>
      <c r="WFK344" s="29"/>
      <c r="WFL344" s="29"/>
      <c r="WFM344" s="29"/>
      <c r="WFN344" s="29"/>
      <c r="WFO344" s="29"/>
      <c r="WFP344" s="29"/>
      <c r="WFQ344" s="29"/>
      <c r="WFR344" s="29"/>
      <c r="WFS344" s="29"/>
      <c r="WFT344" s="29"/>
      <c r="WFU344" s="29"/>
      <c r="WFV344" s="29"/>
      <c r="WFW344" s="29"/>
      <c r="WFX344" s="29"/>
      <c r="WFY344" s="29"/>
      <c r="WFZ344" s="29"/>
      <c r="WGA344" s="29"/>
      <c r="WGB344" s="29"/>
      <c r="WGC344" s="29"/>
      <c r="WGD344" s="29"/>
      <c r="WGE344" s="29"/>
      <c r="WGF344" s="29"/>
      <c r="WGG344" s="29"/>
      <c r="WGH344" s="29"/>
      <c r="WGI344" s="29"/>
      <c r="WGJ344" s="29"/>
      <c r="WGK344" s="29"/>
      <c r="WGL344" s="29"/>
      <c r="WGM344" s="29"/>
      <c r="WGN344" s="29"/>
      <c r="WGO344" s="29"/>
      <c r="WGP344" s="29"/>
      <c r="WGQ344" s="29"/>
      <c r="WGR344" s="29"/>
      <c r="WGS344" s="29"/>
      <c r="WGT344" s="29"/>
      <c r="WGU344" s="29"/>
      <c r="WGV344" s="29"/>
      <c r="WGW344" s="29"/>
      <c r="WGX344" s="29"/>
      <c r="WGY344" s="29"/>
      <c r="WGZ344" s="29"/>
      <c r="WHA344" s="29"/>
      <c r="WHB344" s="29"/>
      <c r="WHC344" s="29"/>
      <c r="WHD344" s="29"/>
      <c r="WHE344" s="29"/>
      <c r="WHF344" s="29"/>
      <c r="WHG344" s="29"/>
      <c r="WHH344" s="29"/>
      <c r="WHI344" s="29"/>
      <c r="WHJ344" s="29"/>
      <c r="WHK344" s="29"/>
      <c r="WHL344" s="29"/>
      <c r="WHM344" s="29"/>
      <c r="WHN344" s="29"/>
      <c r="WHO344" s="29"/>
      <c r="WHP344" s="29"/>
      <c r="WHQ344" s="29"/>
      <c r="WHR344" s="29"/>
      <c r="WHS344" s="29"/>
      <c r="WHT344" s="29"/>
      <c r="WHU344" s="29"/>
      <c r="WHV344" s="29"/>
      <c r="WHW344" s="29"/>
      <c r="WHX344" s="29"/>
      <c r="WHY344" s="29"/>
      <c r="WHZ344" s="29"/>
      <c r="WIA344" s="29"/>
      <c r="WIB344" s="29"/>
      <c r="WIC344" s="29"/>
      <c r="WID344" s="29"/>
      <c r="WIE344" s="29"/>
      <c r="WIF344" s="29"/>
      <c r="WIG344" s="29"/>
      <c r="WIH344" s="29"/>
      <c r="WII344" s="29"/>
      <c r="WIJ344" s="29"/>
      <c r="WIK344" s="29"/>
      <c r="WIL344" s="29"/>
      <c r="WIM344" s="29"/>
      <c r="WIN344" s="29"/>
      <c r="WIO344" s="29"/>
      <c r="WIP344" s="29"/>
      <c r="WIQ344" s="29"/>
      <c r="WIR344" s="29"/>
      <c r="WIS344" s="29"/>
      <c r="WIT344" s="29"/>
      <c r="WIU344" s="29"/>
      <c r="WIV344" s="29"/>
      <c r="WIW344" s="29"/>
      <c r="WIX344" s="29"/>
      <c r="WIY344" s="29"/>
      <c r="WIZ344" s="29"/>
      <c r="WJA344" s="29"/>
      <c r="WJB344" s="29"/>
      <c r="WJC344" s="29"/>
      <c r="WJD344" s="29"/>
      <c r="WJE344" s="29"/>
      <c r="WJF344" s="29"/>
      <c r="WJG344" s="29"/>
      <c r="WJH344" s="29"/>
      <c r="WJI344" s="29"/>
      <c r="WJJ344" s="29"/>
      <c r="WJK344" s="29"/>
      <c r="WJL344" s="29"/>
      <c r="WJM344" s="29"/>
      <c r="WJN344" s="29"/>
      <c r="WJO344" s="29"/>
      <c r="WJP344" s="29"/>
      <c r="WJQ344" s="29"/>
      <c r="WJR344" s="29"/>
      <c r="WJS344" s="29"/>
      <c r="WJT344" s="29"/>
      <c r="WJU344" s="29"/>
      <c r="WJV344" s="29"/>
      <c r="WJW344" s="29"/>
      <c r="WJX344" s="29"/>
      <c r="WJY344" s="29"/>
      <c r="WJZ344" s="29"/>
      <c r="WKA344" s="29"/>
      <c r="WKB344" s="29"/>
      <c r="WKC344" s="29"/>
      <c r="WKD344" s="29"/>
      <c r="WKE344" s="29"/>
      <c r="WKF344" s="29"/>
      <c r="WKG344" s="29"/>
      <c r="WKH344" s="29"/>
      <c r="WKI344" s="29"/>
      <c r="WKJ344" s="29"/>
      <c r="WKK344" s="29"/>
      <c r="WKL344" s="29"/>
      <c r="WKM344" s="29"/>
      <c r="WKN344" s="29"/>
      <c r="WKO344" s="29"/>
      <c r="WKP344" s="29"/>
      <c r="WKQ344" s="29"/>
      <c r="WKR344" s="29"/>
      <c r="WKS344" s="29"/>
      <c r="WKT344" s="29"/>
      <c r="WKU344" s="29"/>
      <c r="WKV344" s="29"/>
      <c r="WKW344" s="29"/>
      <c r="WKX344" s="29"/>
      <c r="WKY344" s="29"/>
      <c r="WKZ344" s="29"/>
      <c r="WLA344" s="29"/>
      <c r="WLB344" s="29"/>
      <c r="WLC344" s="29"/>
      <c r="WLD344" s="29"/>
      <c r="WLE344" s="29"/>
      <c r="WLF344" s="29"/>
      <c r="WLG344" s="29"/>
      <c r="WLH344" s="29"/>
      <c r="WLI344" s="29"/>
      <c r="WLJ344" s="29"/>
      <c r="WLK344" s="29"/>
      <c r="WLL344" s="29"/>
      <c r="WLM344" s="29"/>
      <c r="WLN344" s="29"/>
      <c r="WLO344" s="29"/>
      <c r="WLP344" s="29"/>
      <c r="WLQ344" s="29"/>
      <c r="WLR344" s="29"/>
      <c r="WLS344" s="29"/>
      <c r="WLT344" s="29"/>
      <c r="WLU344" s="29"/>
      <c r="WLV344" s="29"/>
      <c r="WLW344" s="29"/>
      <c r="WLX344" s="29"/>
      <c r="WLY344" s="29"/>
      <c r="WLZ344" s="29"/>
      <c r="WMA344" s="29"/>
      <c r="WMB344" s="29"/>
      <c r="WMC344" s="29"/>
      <c r="WMD344" s="29"/>
      <c r="WME344" s="29"/>
      <c r="WMF344" s="29"/>
      <c r="WMG344" s="29"/>
      <c r="WMH344" s="29"/>
      <c r="WMI344" s="29"/>
      <c r="WMJ344" s="29"/>
      <c r="WMK344" s="29"/>
      <c r="WML344" s="29"/>
      <c r="WMM344" s="29"/>
      <c r="WMN344" s="29"/>
      <c r="WMO344" s="29"/>
      <c r="WMP344" s="29"/>
      <c r="WMQ344" s="29"/>
      <c r="WMR344" s="29"/>
      <c r="WMS344" s="29"/>
      <c r="WMT344" s="29"/>
      <c r="WMU344" s="29"/>
      <c r="WMV344" s="29"/>
      <c r="WMW344" s="29"/>
      <c r="WMX344" s="29"/>
      <c r="WMY344" s="29"/>
      <c r="WMZ344" s="29"/>
      <c r="WNA344" s="29"/>
      <c r="WNB344" s="29"/>
      <c r="WNC344" s="29"/>
      <c r="WND344" s="29"/>
      <c r="WNE344" s="29"/>
      <c r="WNF344" s="29"/>
      <c r="WNG344" s="29"/>
      <c r="WNH344" s="29"/>
      <c r="WNI344" s="29"/>
      <c r="WNJ344" s="29"/>
      <c r="WNK344" s="29"/>
      <c r="WNL344" s="29"/>
      <c r="WNM344" s="29"/>
      <c r="WNN344" s="29"/>
      <c r="WNO344" s="29"/>
      <c r="WNP344" s="29"/>
      <c r="WNQ344" s="29"/>
      <c r="WNR344" s="29"/>
      <c r="WNS344" s="29"/>
      <c r="WNT344" s="29"/>
      <c r="WNU344" s="29"/>
      <c r="WNV344" s="29"/>
      <c r="WNW344" s="29"/>
      <c r="WNX344" s="29"/>
      <c r="WNY344" s="29"/>
      <c r="WNZ344" s="29"/>
      <c r="WOA344" s="29"/>
      <c r="WOB344" s="29"/>
      <c r="WOC344" s="29"/>
      <c r="WOD344" s="29"/>
      <c r="WOE344" s="29"/>
      <c r="WOF344" s="29"/>
      <c r="WOG344" s="29"/>
      <c r="WOH344" s="29"/>
      <c r="WOI344" s="29"/>
      <c r="WOJ344" s="29"/>
      <c r="WOK344" s="29"/>
      <c r="WOL344" s="29"/>
      <c r="WOM344" s="29"/>
      <c r="WON344" s="29"/>
      <c r="WOO344" s="29"/>
      <c r="WOP344" s="29"/>
      <c r="WOQ344" s="29"/>
      <c r="WOR344" s="29"/>
      <c r="WOS344" s="29"/>
      <c r="WOT344" s="29"/>
      <c r="WOU344" s="29"/>
      <c r="WOV344" s="29"/>
      <c r="WOW344" s="29"/>
      <c r="WOX344" s="29"/>
      <c r="WOY344" s="29"/>
      <c r="WOZ344" s="29"/>
      <c r="WPA344" s="29"/>
      <c r="WPB344" s="29"/>
      <c r="WPC344" s="29"/>
      <c r="WPD344" s="29"/>
      <c r="WPE344" s="29"/>
      <c r="WPF344" s="29"/>
      <c r="WPG344" s="29"/>
      <c r="WPH344" s="29"/>
      <c r="WPI344" s="29"/>
      <c r="WPJ344" s="29"/>
      <c r="WPK344" s="29"/>
      <c r="WPL344" s="29"/>
      <c r="WPM344" s="29"/>
      <c r="WPN344" s="29"/>
      <c r="WPO344" s="29"/>
      <c r="WPP344" s="29"/>
      <c r="WPQ344" s="29"/>
      <c r="WPR344" s="29"/>
      <c r="WPS344" s="29"/>
      <c r="WPT344" s="29"/>
      <c r="WPU344" s="29"/>
      <c r="WPV344" s="29"/>
      <c r="WPW344" s="29"/>
      <c r="WPX344" s="29"/>
      <c r="WPY344" s="29"/>
      <c r="WPZ344" s="29"/>
      <c r="WQA344" s="29"/>
      <c r="WQB344" s="29"/>
      <c r="WQC344" s="29"/>
      <c r="WQD344" s="29"/>
      <c r="WQE344" s="29"/>
      <c r="WQF344" s="29"/>
      <c r="WQG344" s="29"/>
      <c r="WQH344" s="29"/>
      <c r="WQI344" s="29"/>
      <c r="WQJ344" s="29"/>
      <c r="WQK344" s="29"/>
      <c r="WQL344" s="29"/>
      <c r="WQM344" s="29"/>
      <c r="WQN344" s="29"/>
      <c r="WQO344" s="29"/>
      <c r="WQP344" s="29"/>
      <c r="WQQ344" s="29"/>
      <c r="WQR344" s="29"/>
      <c r="WQS344" s="29"/>
      <c r="WQT344" s="29"/>
      <c r="WQU344" s="29"/>
      <c r="WQV344" s="29"/>
      <c r="WQW344" s="29"/>
      <c r="WQX344" s="29"/>
      <c r="WQY344" s="29"/>
      <c r="WQZ344" s="29"/>
      <c r="WRA344" s="29"/>
      <c r="WRB344" s="29"/>
      <c r="WRC344" s="29"/>
      <c r="WRD344" s="29"/>
      <c r="WRE344" s="29"/>
      <c r="WRF344" s="29"/>
      <c r="WRG344" s="29"/>
      <c r="WRH344" s="29"/>
      <c r="WRI344" s="29"/>
      <c r="WRJ344" s="29"/>
      <c r="WRK344" s="29"/>
      <c r="WRL344" s="29"/>
      <c r="WRM344" s="29"/>
      <c r="WRN344" s="29"/>
      <c r="WRO344" s="29"/>
      <c r="WRP344" s="29"/>
      <c r="WRQ344" s="29"/>
      <c r="WRR344" s="29"/>
      <c r="WRS344" s="29"/>
      <c r="WRT344" s="29"/>
      <c r="WRU344" s="29"/>
      <c r="WRV344" s="29"/>
      <c r="WRW344" s="29"/>
      <c r="WRX344" s="29"/>
      <c r="WRY344" s="29"/>
      <c r="WRZ344" s="29"/>
      <c r="WSA344" s="29"/>
      <c r="WSB344" s="29"/>
      <c r="WSC344" s="29"/>
      <c r="WSD344" s="29"/>
      <c r="WSE344" s="29"/>
      <c r="WSF344" s="29"/>
      <c r="WSG344" s="29"/>
      <c r="WSH344" s="29"/>
      <c r="WSI344" s="29"/>
      <c r="WSJ344" s="29"/>
      <c r="WSK344" s="29"/>
      <c r="WSL344" s="29"/>
      <c r="WSM344" s="29"/>
      <c r="WSN344" s="29"/>
      <c r="WSO344" s="29"/>
      <c r="WSP344" s="29"/>
      <c r="WSQ344" s="29"/>
      <c r="WSR344" s="29"/>
      <c r="WSS344" s="29"/>
      <c r="WST344" s="29"/>
      <c r="WSU344" s="29"/>
      <c r="WSV344" s="29"/>
      <c r="WSW344" s="29"/>
      <c r="WSX344" s="29"/>
      <c r="WSY344" s="29"/>
      <c r="WSZ344" s="29"/>
      <c r="WTA344" s="29"/>
      <c r="WTB344" s="29"/>
      <c r="WTC344" s="29"/>
      <c r="WTD344" s="29"/>
      <c r="WTE344" s="29"/>
      <c r="WTF344" s="29"/>
      <c r="WTG344" s="29"/>
      <c r="WTH344" s="29"/>
      <c r="WTI344" s="29"/>
      <c r="WTJ344" s="29"/>
      <c r="WTK344" s="29"/>
      <c r="WTL344" s="29"/>
      <c r="WTM344" s="29"/>
      <c r="WTN344" s="29"/>
      <c r="WTO344" s="29"/>
      <c r="WTP344" s="29"/>
      <c r="WTQ344" s="29"/>
      <c r="WTR344" s="29"/>
      <c r="WTS344" s="29"/>
      <c r="WTT344" s="29"/>
      <c r="WTU344" s="29"/>
      <c r="WTV344" s="29"/>
      <c r="WTW344" s="29"/>
      <c r="WTX344" s="29"/>
      <c r="WTY344" s="29"/>
      <c r="WTZ344" s="29"/>
      <c r="WUA344" s="29"/>
      <c r="WUB344" s="29"/>
      <c r="WUC344" s="29"/>
      <c r="WUD344" s="29"/>
      <c r="WUE344" s="29"/>
      <c r="WUF344" s="29"/>
      <c r="WUG344" s="29"/>
      <c r="WUH344" s="29"/>
      <c r="WUI344" s="29"/>
      <c r="WUJ344" s="29"/>
      <c r="WUK344" s="29"/>
      <c r="WUL344" s="29"/>
      <c r="WUM344" s="29"/>
      <c r="WUN344" s="29"/>
      <c r="WUO344" s="29"/>
      <c r="WUP344" s="29"/>
      <c r="WUQ344" s="29"/>
      <c r="WUR344" s="29"/>
      <c r="WUS344" s="29"/>
      <c r="WUT344" s="29"/>
      <c r="WUU344" s="29"/>
      <c r="WUV344" s="29"/>
      <c r="WUW344" s="29"/>
      <c r="WUX344" s="29"/>
      <c r="WUY344" s="29"/>
      <c r="WUZ344" s="29"/>
      <c r="WVA344" s="29"/>
      <c r="WVB344" s="29"/>
      <c r="WVC344" s="29"/>
      <c r="WVD344" s="29"/>
      <c r="WVE344" s="29"/>
      <c r="WVF344" s="29"/>
      <c r="WVG344" s="29"/>
      <c r="WVH344" s="29"/>
      <c r="WVI344" s="29"/>
      <c r="WVJ344" s="29"/>
      <c r="WVK344" s="29"/>
      <c r="WVL344" s="29"/>
      <c r="WVM344" s="29"/>
      <c r="WVN344" s="29"/>
      <c r="WVO344" s="29"/>
      <c r="WVP344" s="29"/>
      <c r="WVQ344" s="29"/>
      <c r="WVR344" s="29"/>
      <c r="WVS344" s="29"/>
      <c r="WVT344" s="29"/>
      <c r="WVU344" s="29"/>
      <c r="WVV344" s="29"/>
      <c r="WVW344" s="29"/>
      <c r="WVX344" s="29"/>
      <c r="WVY344" s="29"/>
      <c r="WVZ344" s="29"/>
      <c r="WWA344" s="29"/>
      <c r="WWB344" s="29"/>
      <c r="WWC344" s="29"/>
      <c r="WWD344" s="29"/>
      <c r="WWE344" s="29"/>
      <c r="WWF344" s="29"/>
      <c r="WWG344" s="29"/>
      <c r="WWH344" s="29"/>
      <c r="WWI344" s="29"/>
      <c r="WWJ344" s="29"/>
      <c r="WWK344" s="29"/>
      <c r="WWL344" s="29"/>
      <c r="WWM344" s="29"/>
      <c r="WWN344" s="29"/>
      <c r="WWO344" s="29"/>
      <c r="WWP344" s="29"/>
      <c r="WWQ344" s="29"/>
      <c r="WWR344" s="29"/>
      <c r="WWS344" s="29"/>
      <c r="WWT344" s="29"/>
      <c r="WWU344" s="29"/>
      <c r="WWV344" s="29"/>
      <c r="WWW344" s="29"/>
      <c r="WWX344" s="29"/>
      <c r="WWY344" s="29"/>
      <c r="WWZ344" s="29"/>
      <c r="WXA344" s="29"/>
      <c r="WXB344" s="29"/>
      <c r="WXC344" s="29"/>
      <c r="WXD344" s="29"/>
      <c r="WXE344" s="29"/>
      <c r="WXF344" s="29"/>
      <c r="WXG344" s="29"/>
      <c r="WXH344" s="29"/>
      <c r="WXI344" s="29"/>
      <c r="WXJ344" s="29"/>
      <c r="WXK344" s="29"/>
      <c r="WXL344" s="29"/>
      <c r="WXM344" s="29"/>
      <c r="WXN344" s="29"/>
      <c r="WXO344" s="29"/>
      <c r="WXP344" s="29"/>
      <c r="WXQ344" s="29"/>
      <c r="WXR344" s="29"/>
      <c r="WXS344" s="29"/>
      <c r="WXT344" s="29"/>
      <c r="WXU344" s="29"/>
      <c r="WXV344" s="29"/>
      <c r="WXW344" s="29"/>
      <c r="WXX344" s="29"/>
      <c r="WXY344" s="29"/>
      <c r="WXZ344" s="29"/>
      <c r="WYA344" s="29"/>
      <c r="WYB344" s="29"/>
      <c r="WYC344" s="29"/>
      <c r="WYD344" s="29"/>
      <c r="WYE344" s="29"/>
      <c r="WYF344" s="29"/>
      <c r="WYG344" s="29"/>
      <c r="WYH344" s="29"/>
      <c r="WYI344" s="29"/>
      <c r="WYJ344" s="29"/>
      <c r="WYK344" s="29"/>
      <c r="WYL344" s="29"/>
      <c r="WYM344" s="29"/>
      <c r="WYN344" s="29"/>
      <c r="WYO344" s="29"/>
      <c r="WYP344" s="29"/>
      <c r="WYQ344" s="29"/>
      <c r="WYR344" s="29"/>
      <c r="WYS344" s="29"/>
      <c r="WYT344" s="29"/>
      <c r="WYU344" s="29"/>
      <c r="WYV344" s="29"/>
      <c r="WYW344" s="29"/>
      <c r="WYX344" s="29"/>
      <c r="WYY344" s="29"/>
      <c r="WYZ344" s="29"/>
      <c r="WZA344" s="29"/>
      <c r="WZB344" s="29"/>
      <c r="WZC344" s="29"/>
      <c r="WZD344" s="29"/>
      <c r="WZE344" s="29"/>
      <c r="WZF344" s="29"/>
      <c r="WZG344" s="29"/>
      <c r="WZH344" s="29"/>
      <c r="WZI344" s="29"/>
      <c r="WZJ344" s="29"/>
      <c r="WZK344" s="29"/>
      <c r="WZL344" s="29"/>
      <c r="WZM344" s="29"/>
      <c r="WZN344" s="29"/>
      <c r="WZO344" s="29"/>
      <c r="WZP344" s="29"/>
      <c r="WZQ344" s="29"/>
      <c r="WZR344" s="29"/>
      <c r="WZS344" s="29"/>
      <c r="WZT344" s="29"/>
      <c r="WZU344" s="29"/>
      <c r="WZV344" s="29"/>
      <c r="WZW344" s="29"/>
      <c r="WZX344" s="29"/>
      <c r="WZY344" s="29"/>
      <c r="WZZ344" s="29"/>
      <c r="XAA344" s="29"/>
      <c r="XAB344" s="29"/>
      <c r="XAC344" s="29"/>
      <c r="XAD344" s="29"/>
      <c r="XAE344" s="29"/>
      <c r="XAF344" s="29"/>
      <c r="XAG344" s="29"/>
      <c r="XAH344" s="29"/>
      <c r="XAI344" s="29"/>
      <c r="XAJ344" s="29"/>
      <c r="XAK344" s="29"/>
      <c r="XAL344" s="29"/>
      <c r="XAM344" s="29"/>
      <c r="XAN344" s="29"/>
      <c r="XAO344" s="29"/>
      <c r="XAP344" s="29"/>
      <c r="XAQ344" s="29"/>
      <c r="XAR344" s="29"/>
      <c r="XAS344" s="29"/>
      <c r="XAT344" s="29"/>
      <c r="XAU344" s="29"/>
      <c r="XAV344" s="29"/>
      <c r="XAW344" s="29"/>
      <c r="XAX344" s="29"/>
      <c r="XAY344" s="29"/>
      <c r="XAZ344" s="29"/>
      <c r="XBA344" s="29"/>
      <c r="XBB344" s="29"/>
      <c r="XBC344" s="29"/>
      <c r="XBD344" s="29"/>
      <c r="XBE344" s="29"/>
      <c r="XBF344" s="29"/>
      <c r="XBG344" s="29"/>
      <c r="XBH344" s="29"/>
      <c r="XBI344" s="29"/>
      <c r="XBJ344" s="29"/>
      <c r="XBK344" s="29"/>
      <c r="XBL344" s="29"/>
      <c r="XBM344" s="29"/>
      <c r="XBN344" s="29"/>
      <c r="XBO344" s="29"/>
      <c r="XBP344" s="29"/>
      <c r="XBQ344" s="29"/>
      <c r="XBR344" s="29"/>
      <c r="XBS344" s="29"/>
      <c r="XBT344" s="29"/>
      <c r="XBU344" s="29"/>
      <c r="XBV344" s="29"/>
      <c r="XBW344" s="29"/>
      <c r="XBX344" s="29"/>
      <c r="XBY344" s="29"/>
      <c r="XBZ344" s="29"/>
      <c r="XCA344" s="29"/>
      <c r="XCB344" s="29"/>
      <c r="XCC344" s="29"/>
      <c r="XCD344" s="29"/>
      <c r="XCE344" s="29"/>
      <c r="XCF344" s="29"/>
      <c r="XCG344" s="29"/>
      <c r="XCH344" s="29"/>
      <c r="XCI344" s="29"/>
      <c r="XCJ344" s="29"/>
      <c r="XCK344" s="29"/>
      <c r="XCL344" s="29"/>
      <c r="XCM344" s="29"/>
      <c r="XCN344" s="29"/>
      <c r="XCO344" s="29"/>
      <c r="XCP344" s="29"/>
      <c r="XCQ344" s="29"/>
      <c r="XCR344" s="29"/>
      <c r="XCS344" s="29"/>
      <c r="XCT344" s="29"/>
      <c r="XCU344" s="29"/>
      <c r="XCV344" s="29"/>
      <c r="XCW344" s="29"/>
      <c r="XCX344" s="29"/>
      <c r="XCY344" s="29"/>
      <c r="XCZ344" s="29"/>
      <c r="XDA344" s="29"/>
      <c r="XDB344" s="29"/>
      <c r="XDC344" s="29"/>
      <c r="XDD344" s="29"/>
      <c r="XDE344" s="29"/>
      <c r="XDF344" s="29"/>
      <c r="XDG344" s="29"/>
      <c r="XDH344" s="29"/>
      <c r="XDI344" s="29"/>
      <c r="XDJ344" s="29"/>
      <c r="XDK344" s="29"/>
      <c r="XDL344" s="29"/>
      <c r="XDM344" s="29"/>
      <c r="XDN344" s="29"/>
      <c r="XDO344" s="29"/>
      <c r="XDP344" s="29"/>
      <c r="XDQ344" s="29"/>
      <c r="XDR344" s="29"/>
      <c r="XDS344" s="29"/>
      <c r="XDT344" s="29"/>
      <c r="XDU344" s="29"/>
      <c r="XDV344" s="29"/>
      <c r="XDW344" s="29"/>
      <c r="XDX344" s="29"/>
      <c r="XDY344" s="29"/>
      <c r="XDZ344" s="29"/>
      <c r="XEA344" s="29"/>
      <c r="XEB344" s="29"/>
      <c r="XEC344" s="29"/>
      <c r="XED344" s="29"/>
      <c r="XEE344" s="29"/>
      <c r="XEF344" s="29"/>
      <c r="XEG344" s="29"/>
      <c r="XEH344" s="29"/>
      <c r="XEI344" s="29"/>
      <c r="XEJ344" s="29"/>
      <c r="XEK344" s="29"/>
      <c r="XEL344" s="29"/>
      <c r="XEM344" s="29"/>
      <c r="XEN344" s="29"/>
      <c r="XEO344" s="29"/>
      <c r="XEP344" s="29"/>
      <c r="XEQ344" s="29"/>
      <c r="XER344" s="29"/>
      <c r="XES344" s="29"/>
      <c r="XET344" s="29"/>
      <c r="XEU344" s="29"/>
      <c r="XEV344" s="29"/>
      <c r="XEW344" s="29"/>
      <c r="XEX344" s="29"/>
    </row>
    <row r="345" spans="1:16378">
      <c r="A345" s="238" t="s">
        <v>315</v>
      </c>
      <c r="B345" s="51"/>
      <c r="C345" s="294">
        <v>46050</v>
      </c>
      <c r="D345" s="36"/>
      <c r="E345" s="108" t="s">
        <v>316</v>
      </c>
      <c r="F345" s="36"/>
      <c r="G345" s="294">
        <v>46051</v>
      </c>
      <c r="H345" s="51"/>
      <c r="I345" s="224" t="s">
        <v>317</v>
      </c>
      <c r="J345" s="51"/>
      <c r="K345" s="294">
        <v>46051</v>
      </c>
      <c r="L345" s="73"/>
    </row>
    <row r="346" spans="1:16378" ht="3" customHeight="1">
      <c r="A346" s="446"/>
      <c r="B346" s="443"/>
      <c r="C346" s="443"/>
      <c r="D346" s="443"/>
      <c r="E346" s="443"/>
      <c r="F346" s="443"/>
      <c r="G346" s="443"/>
      <c r="H346" s="443"/>
      <c r="I346" s="443"/>
      <c r="J346" s="443"/>
      <c r="K346" s="447"/>
      <c r="L346" s="73"/>
    </row>
    <row r="347" spans="1:16378" ht="15" customHeight="1">
      <c r="A347" s="448" t="s">
        <v>318</v>
      </c>
      <c r="B347" s="449"/>
      <c r="C347" s="449"/>
      <c r="D347" s="449"/>
      <c r="E347" s="449"/>
      <c r="F347" s="449"/>
      <c r="G347" s="449"/>
      <c r="H347" s="449"/>
      <c r="I347" s="449"/>
      <c r="J347" s="449"/>
      <c r="K347" s="450"/>
      <c r="L347" s="73"/>
    </row>
    <row r="348" spans="1:16378" ht="5.0999999999999996" customHeight="1">
      <c r="A348" s="433"/>
      <c r="B348" s="451"/>
      <c r="C348" s="451"/>
      <c r="D348" s="451"/>
      <c r="E348" s="451"/>
      <c r="F348" s="451"/>
      <c r="G348" s="451"/>
      <c r="H348" s="451"/>
      <c r="I348" s="451"/>
      <c r="J348" s="451"/>
      <c r="K348" s="452"/>
      <c r="L348" s="73"/>
    </row>
    <row r="349" spans="1:16378" ht="15" customHeight="1">
      <c r="A349" s="387" t="s">
        <v>591</v>
      </c>
      <c r="B349" s="388"/>
      <c r="C349" s="388"/>
      <c r="D349" s="388"/>
      <c r="E349" s="388"/>
      <c r="F349" s="388"/>
      <c r="G349" s="388"/>
      <c r="H349" s="388"/>
      <c r="I349" s="388"/>
      <c r="J349" s="388"/>
      <c r="K349" s="389"/>
      <c r="L349" s="73"/>
    </row>
    <row r="350" spans="1:16378" ht="15" customHeight="1">
      <c r="A350" s="390"/>
      <c r="B350" s="391"/>
      <c r="C350" s="391"/>
      <c r="D350" s="391"/>
      <c r="E350" s="391"/>
      <c r="F350" s="391"/>
      <c r="G350" s="391"/>
      <c r="H350" s="391"/>
      <c r="I350" s="391"/>
      <c r="J350" s="391"/>
      <c r="K350" s="392"/>
      <c r="L350" s="73"/>
    </row>
    <row r="351" spans="1:16378" ht="12" customHeight="1">
      <c r="A351" s="390"/>
      <c r="B351" s="391"/>
      <c r="C351" s="391"/>
      <c r="D351" s="391"/>
      <c r="E351" s="391"/>
      <c r="F351" s="391"/>
      <c r="G351" s="391"/>
      <c r="H351" s="391"/>
      <c r="I351" s="391"/>
      <c r="J351" s="391"/>
      <c r="K351" s="392"/>
      <c r="L351" s="73"/>
    </row>
    <row r="352" spans="1:16378" ht="15" customHeight="1">
      <c r="A352" s="390"/>
      <c r="B352" s="391"/>
      <c r="C352" s="391"/>
      <c r="D352" s="391"/>
      <c r="E352" s="391"/>
      <c r="F352" s="391"/>
      <c r="G352" s="391"/>
      <c r="H352" s="391"/>
      <c r="I352" s="391"/>
      <c r="J352" s="391"/>
      <c r="K352" s="392"/>
      <c r="L352" s="73"/>
    </row>
    <row r="353" spans="1:12" ht="15" customHeight="1">
      <c r="A353" s="390"/>
      <c r="B353" s="391"/>
      <c r="C353" s="391"/>
      <c r="D353" s="391"/>
      <c r="E353" s="391"/>
      <c r="F353" s="391"/>
      <c r="G353" s="391"/>
      <c r="H353" s="391"/>
      <c r="I353" s="391"/>
      <c r="J353" s="391"/>
      <c r="K353" s="392"/>
      <c r="L353" s="73"/>
    </row>
    <row r="354" spans="1:12" ht="15" customHeight="1">
      <c r="A354" s="390"/>
      <c r="B354" s="391"/>
      <c r="C354" s="391"/>
      <c r="D354" s="391"/>
      <c r="E354" s="391"/>
      <c r="F354" s="391"/>
      <c r="G354" s="391"/>
      <c r="H354" s="391"/>
      <c r="I354" s="391"/>
      <c r="J354" s="391"/>
      <c r="K354" s="392"/>
      <c r="L354" s="73"/>
    </row>
    <row r="355" spans="1:12" ht="33.950000000000003" customHeight="1">
      <c r="A355" s="393"/>
      <c r="B355" s="394"/>
      <c r="C355" s="394"/>
      <c r="D355" s="394"/>
      <c r="E355" s="394"/>
      <c r="F355" s="394"/>
      <c r="G355" s="394"/>
      <c r="H355" s="394"/>
      <c r="I355" s="394"/>
      <c r="J355" s="394"/>
      <c r="K355" s="395"/>
      <c r="L355" s="73"/>
    </row>
    <row r="356" spans="1:12" ht="1.5" customHeight="1">
      <c r="A356" s="433"/>
      <c r="B356" s="451"/>
      <c r="C356" s="451"/>
      <c r="D356" s="451"/>
      <c r="E356" s="451"/>
      <c r="F356" s="451"/>
      <c r="G356" s="451"/>
      <c r="H356" s="451"/>
      <c r="I356" s="451"/>
      <c r="J356" s="451"/>
      <c r="K356" s="452"/>
      <c r="L356" s="73"/>
    </row>
    <row r="357" spans="1:12" ht="15" customHeight="1">
      <c r="A357" s="453" t="s">
        <v>319</v>
      </c>
      <c r="B357" s="449"/>
      <c r="C357" s="449"/>
      <c r="D357" s="449"/>
      <c r="E357" s="449"/>
      <c r="F357" s="449"/>
      <c r="G357" s="449"/>
      <c r="H357" s="449"/>
      <c r="I357" s="449"/>
      <c r="J357" s="449"/>
      <c r="K357" s="450"/>
      <c r="L357" s="73"/>
    </row>
    <row r="358" spans="1:12" ht="3" customHeight="1">
      <c r="A358" s="295"/>
      <c r="B358" s="296"/>
      <c r="C358" s="296"/>
      <c r="D358" s="296"/>
      <c r="E358" s="296"/>
      <c r="F358" s="296"/>
      <c r="G358" s="296"/>
      <c r="H358" s="296"/>
      <c r="I358" s="296"/>
      <c r="J358" s="296"/>
      <c r="K358" s="297"/>
      <c r="L358" s="73"/>
    </row>
    <row r="359" spans="1:12" ht="18" customHeight="1">
      <c r="A359" t="inlineStr">
        <is>
          <t>Access road / street</t>
        </is>
      </c>
    </row>
    <row r="360" spans="1:12" ht="363" customHeight="1"/>
    <row r="361" spans="1:12" ht="18" customHeight="1">
      <c r="A361" t="inlineStr">
        <is>
          <t>Satellite View</t>
        </is>
      </c>
    </row>
    <row r="362" spans="1:12" ht="363" customHeight="1"/>
    <row r="363" spans="1:12" ht="18" customHeight="1">
      <c r="A363" t="inlineStr">
        <is>
          <t>Map Screenshot</t>
        </is>
      </c>
    </row>
    <row r="364" spans="1:12" ht="363" customHeight="1"/>
    <row r="365" spans="1:12" ht="18" customHeight="1">
      <c r="A365" t="inlineStr">
        <is>
          <t>Approach road / neighbourhood</t>
        </is>
      </c>
      <c r="E365" t="inlineStr">
        <is>
          <t>Interior room</t>
        </is>
      </c>
      <c r="H365" t="inlineStr">
        <is>
          <t>Interior / storage area</t>
        </is>
      </c>
    </row>
    <row r="366" spans="1:12" ht="363" customHeight="1"/>
    <row r="367" spans="1:12" ht="18" customHeight="1">
      <c r="A367" t="inlineStr">
        <is>
          <t>Property exterior</t>
        </is>
      </c>
      <c r="E367" t="inlineStr">
        <is>
          <t>Interior room 2</t>
        </is>
      </c>
      <c r="H367" t="inlineStr">
        <is>
          <t>Property Document</t>
        </is>
      </c>
    </row>
    <row r="368" spans="1:12" ht="363" customHeight="1"/>
    <row r="369" spans="1:12" ht="18" customHeight="1">
      <c r="A369" t="inlineStr">
        <is>
          <t>Interior / utility area</t>
        </is>
      </c>
      <c r="E369" t="inlineStr">
        <is>
          <t>Applicant / surveyor at property</t>
        </is>
      </c>
      <c r="H369" t="inlineStr">
        <is>
          <t>Electricity meter</t>
        </is>
      </c>
    </row>
    <row r="370" spans="1:12" ht="363" customHeight="1"/>
    <row r="371" spans="1:12" ht="18" customHeight="1">
      <c r="A371" t="inlineStr">
        <is>
          <t>Prohibited Property Screenshot</t>
        </is>
      </c>
    </row>
    <row r="372" spans="1:12" ht="363" customHeight="1"/>
    <row r="373" spans="1:12" ht="18" customHeight="1">
      <c r="A373" t="inlineStr">
        <is>
          <t>Power Bill</t>
        </is>
      </c>
    </row>
    <row r="374" spans="1:12" ht="363" customHeight="1"/>
    <row r="375" spans="1:12" ht="18" customHeight="1">
      <c r="A375" t="inlineStr">
        <is>
          <t>Electricity Bill Screenshot</t>
        </is>
      </c>
    </row>
    <row r="376" spans="1:12" ht="363" customHeight="1"/>
    <row r="377" spans="1:12" ht="18" customHeight="1">
      <c r="A377" t="inlineStr">
        <is>
          <t>Government Rate Screenshot</t>
        </is>
      </c>
    </row>
    <row r="378" spans="1:12" ht="363" customHeight="1"/>
    <row r="379" spans="1:12" ht="18" customHeight="1">
      <c r="A379" t="inlineStr">
        <is>
          <t>Cadastral / BhuNaksha Map</t>
        </is>
      </c>
    </row>
    <row r="380" spans="1:12" ht="363" customHeight="1"/>
    <row r="381" spans="1:12" ht="1" customHeight="1"/>
    <row r="382" spans="1:12" ht="1" customHeight="1"/>
    <row r="383" spans="1:12" ht="1" customHeight="1"/>
    <row r="384" spans="1:12" ht="1" customHeight="1"/>
    <row r="385" spans="1:12" ht="1" customHeight="1"/>
    <row r="386" spans="1:12" ht="1" customHeight="1"/>
    <row r="387" spans="1:12" ht="1" customHeight="1"/>
    <row r="388" spans="1:12" ht="1" customHeight="1"/>
    <row r="389" spans="1:12" ht="1" customHeight="1"/>
    <row r="390" spans="1:12" ht="1" customHeight="1"/>
    <row r="391" spans="1:12" ht="1" customHeight="1"/>
    <row r="392" spans="1:12" ht="1" customHeight="1"/>
    <row r="393" spans="1:12" ht="1" customHeight="1"/>
    <row r="394" spans="1:12" ht="1" customHeight="1"/>
    <row r="395" spans="1:12" ht="1" customHeight="1"/>
    <row r="396" spans="1:12" ht="1" customHeight="1"/>
    <row r="397" spans="1:12" ht="1" customHeight="1"/>
    <row r="398" spans="1:12" ht="1" customHeight="1"/>
    <row r="399" spans="1:12" ht="1" customHeight="1"/>
    <row r="400" spans="1:12" ht="1" customHeight="1"/>
    <row r="401" spans="1:12" ht="1" customHeight="1"/>
    <row r="402" spans="1:12" ht="1" customHeight="1"/>
    <row r="403" spans="1:12" ht="1" customHeight="1"/>
    <row r="404" spans="1:12" ht="1" customHeight="1"/>
    <row r="405" spans="1:12" ht="1" customHeight="1"/>
    <row r="406" spans="1:12" ht="1" customHeight="1"/>
    <row r="407" spans="1:12" ht="1" customHeight="1"/>
    <row r="408" spans="1:12" ht="1" customHeight="1"/>
    <row r="409" spans="1:12" ht="1" customHeight="1"/>
    <row r="410" spans="1:12" ht="1" customHeight="1"/>
    <row r="411" spans="1:12" ht="1" customHeight="1"/>
    <row r="412" spans="1:12" ht="1" customHeight="1"/>
    <row r="413" spans="1:12" ht="1" customHeight="1"/>
    <row r="414" spans="1:12" ht="1" customHeight="1"/>
    <row r="415" spans="1:12" ht="1" customHeight="1"/>
    <row r="416" spans="1:12" ht="1" customHeight="1"/>
    <row r="417" spans="1:12" ht="1" customHeight="1"/>
    <row r="418" spans="1:12" ht="1" customHeight="1"/>
    <row r="419" spans="1:12" ht="1" customHeight="1"/>
    <row r="420" spans="1:12" ht="1" customHeight="1"/>
    <row r="421" spans="1:12" ht="1" customHeight="1"/>
    <row r="422" spans="1:12" ht="1" customHeight="1"/>
    <row r="423" spans="1:12" ht="1" customHeight="1"/>
    <row r="424" spans="1:12" ht="1" customHeight="1"/>
    <row r="425" spans="1:12" ht="1" customHeight="1"/>
    <row r="426" spans="1:12" ht="1" customHeight="1"/>
    <row r="427" spans="1:12" ht="1" customHeight="1"/>
    <row r="428" spans="1:12" ht="1" customHeight="1"/>
    <row r="429" spans="1:12" ht="1" customHeight="1"/>
    <row r="430" spans="1:12" ht="1" customHeight="1"/>
    <row r="431" spans="1:12" ht="1" customHeight="1"/>
    <row r="432" spans="1:12" ht="1" customHeight="1"/>
    <row r="433" spans="1:12" ht="1" customHeight="1"/>
    <row r="434" spans="1:12" ht="1" customHeight="1"/>
    <row r="435" spans="1:12" ht="1" customHeight="1"/>
    <row r="436" spans="1:12" ht="1" customHeight="1"/>
    <row r="437" spans="1:12" ht="1" customHeight="1"/>
    <row r="438" spans="1:12" ht="1" customHeight="1"/>
    <row r="439" spans="1:12" ht="1" customHeight="1"/>
    <row r="440" spans="1:12" ht="1" customHeight="1"/>
    <row r="441" spans="1:12" ht="1" customHeight="1"/>
    <row r="442" spans="1:12" ht="1" customHeight="1"/>
    <row r="443" spans="1:12" ht="1" customHeight="1"/>
    <row r="444" spans="1:12" ht="1" customHeight="1"/>
    <row r="445" spans="1:12" ht="1" customHeight="1"/>
    <row r="446" spans="1:12" ht="1" customHeight="1"/>
    <row r="447" spans="1:12" ht="1" customHeight="1"/>
    <row r="448" spans="1:12" ht="1" customHeight="1"/>
    <row r="449" spans="1:12" ht="1" customHeight="1"/>
    <row r="450" spans="1:12" ht="1" customHeight="1"/>
    <row r="451" spans="1:12" ht="1" customHeight="1"/>
    <row r="452" spans="1:12" ht="1" customHeight="1"/>
    <row r="453" spans="1:12" ht="1" customHeight="1"/>
    <row r="454" spans="1:12" ht="1" customHeight="1"/>
    <row r="455" spans="1:12" ht="1" customHeight="1"/>
    <row r="456" spans="1:12" ht="1" customHeight="1"/>
    <row r="457" spans="1:12" ht="1" customHeight="1"/>
    <row r="458" spans="1:12" ht="1" customHeight="1"/>
    <row r="459" spans="1:12" ht="1" customHeight="1"/>
    <row r="460" spans="1:12" ht="1" customHeight="1"/>
    <row r="461" spans="1:12" ht="1" customHeight="1"/>
    <row r="462" spans="1:12" ht="1" customHeight="1"/>
    <row r="463" spans="1:12" s="338" customFormat="1" ht="1" customHeight="1"/>
    <row r="464" spans="1:12" s="338" customFormat="1" ht="1" customHeight="1"/>
    <row r="465" spans="1:12" s="338" customFormat="1" ht="1" customHeight="1"/>
    <row r="466" spans="1:12" s="338" customFormat="1" ht="1" customHeight="1"/>
    <row r="467" spans="1:12" s="338" customFormat="1" ht="1" customHeight="1"/>
    <row r="468" spans="1:12" s="338" customFormat="1" ht="1" customHeight="1"/>
    <row r="469" spans="1:12" s="338" customFormat="1" ht="1" customHeight="1"/>
    <row r="470" spans="1:12" s="338" customFormat="1" ht="1" customHeight="1"/>
    <row r="471" spans="1:12" s="338" customFormat="1" ht="1" customHeight="1"/>
    <row r="472" spans="1:12" s="338" customFormat="1" ht="1" customHeight="1"/>
    <row r="473" spans="1:12" s="338" customFormat="1" ht="1" customHeight="1"/>
    <row r="474" spans="1:12" s="338" customFormat="1" ht="1" customHeight="1"/>
    <row r="475" spans="1:12" s="338" customFormat="1" ht="1" customHeight="1"/>
    <row r="476" spans="1:12" s="338" customFormat="1" ht="1" customHeight="1"/>
    <row r="477" spans="1:12" s="338" customFormat="1" ht="1" customHeight="1"/>
    <row r="478" spans="1:12" s="338" customFormat="1" ht="1" customHeight="1"/>
    <row r="479" spans="1:12" s="338" customFormat="1" ht="1" customHeight="1"/>
    <row r="480" spans="1:12" s="338" customFormat="1" ht="1" customHeight="1"/>
    <row r="481" spans="1:12" s="338" customFormat="1" ht="1" customHeight="1"/>
    <row r="482" spans="1:12" s="338" customFormat="1" ht="1" customHeight="1"/>
    <row r="483" spans="1:12" s="338" customFormat="1" ht="1" customHeight="1"/>
    <row r="484" spans="1:12" s="338" customFormat="1" ht="1" customHeight="1"/>
    <row r="485" spans="1:12" s="338" customFormat="1" ht="1" customHeight="1"/>
    <row r="486" spans="1:12" s="338" customFormat="1" ht="1" customHeight="1"/>
    <row r="487" spans="1:12" s="338" customFormat="1" ht="1" customHeight="1"/>
    <row r="488" spans="1:12" ht="3" customHeight="1">
      <c r="A488" s="429"/>
      <c r="B488" s="430"/>
      <c r="C488" s="430"/>
      <c r="D488" s="430"/>
      <c r="E488" s="430"/>
      <c r="F488" s="430"/>
      <c r="G488" s="430"/>
      <c r="H488" s="430"/>
      <c r="I488" s="430"/>
      <c r="J488" s="430"/>
      <c r="K488" s="431"/>
    </row>
    <row r="489" spans="1:12" ht="16.5" customHeight="1">
      <c r="A489" s="432"/>
      <c r="B489" s="432"/>
      <c r="C489" s="432"/>
      <c r="D489" s="432"/>
      <c r="E489" s="432"/>
      <c r="F489" s="432"/>
      <c r="G489" s="432"/>
      <c r="H489" s="432"/>
      <c r="I489" s="432"/>
      <c r="J489" s="432"/>
      <c r="K489" s="432"/>
    </row>
    <row r="490" spans="1:12" ht="14.25" hidden="1" customHeight="1">
      <c r="L490" s="50"/>
    </row>
    <row r="491" spans="1:12" ht="15" hidden="1" customHeight="1">
      <c r="L491" s="50"/>
    </row>
    <row r="492" spans="1:12" ht="15" hidden="1" customHeight="1">
      <c r="L492" s="50"/>
    </row>
    <row r="493" spans="1:12" ht="15" hidden="1" customHeight="1">
      <c r="L493" s="50"/>
    </row>
    <row r="494" spans="1:12" ht="15" hidden="1" customHeight="1">
      <c r="L494" s="50"/>
    </row>
    <row r="495" spans="1:12" ht="15" hidden="1" customHeight="1">
      <c r="L495" s="50"/>
    </row>
    <row r="496" spans="1:12" ht="15" hidden="1" customHeight="1">
      <c r="L496" s="50"/>
    </row>
    <row r="497" spans="12:12" ht="15" hidden="1" customHeight="1">
      <c r="L497" s="50"/>
    </row>
    <row r="498" spans="12:12" ht="15" hidden="1" customHeight="1">
      <c r="L498" s="50"/>
    </row>
    <row r="499" spans="12:12" ht="15" hidden="1" customHeight="1">
      <c r="L499" s="50"/>
    </row>
    <row r="500" spans="12:12" ht="15" hidden="1" customHeight="1">
      <c r="L500" s="50"/>
    </row>
    <row r="501" spans="12:12" ht="15" hidden="1" customHeight="1">
      <c r="L501" s="50"/>
    </row>
    <row r="502" spans="12:12" ht="15" hidden="1" customHeight="1">
      <c r="L502" s="50"/>
    </row>
    <row r="503" spans="12:12" ht="15" hidden="1" customHeight="1">
      <c r="L503" s="50"/>
    </row>
    <row r="504" spans="12:12" ht="15" hidden="1" customHeight="1">
      <c r="L504" s="50"/>
    </row>
    <row r="505" spans="12:12" ht="15" hidden="1" customHeight="1">
      <c r="L505" s="50"/>
    </row>
    <row r="506" spans="12:12" ht="15" hidden="1" customHeight="1">
      <c r="L506" s="50"/>
    </row>
    <row r="507" spans="12:12" ht="15" hidden="1" customHeight="1">
      <c r="L507" s="50"/>
    </row>
    <row r="508" spans="12:12" ht="15" hidden="1" customHeight="1">
      <c r="L508" s="50"/>
    </row>
    <row r="509" spans="12:12" ht="15" hidden="1" customHeight="1">
      <c r="L509" s="50"/>
    </row>
    <row r="510" spans="12:12" ht="15" hidden="1" customHeight="1">
      <c r="L510" s="50"/>
    </row>
    <row r="511" spans="12:12" ht="15" hidden="1" customHeight="1">
      <c r="L511" s="50"/>
    </row>
    <row r="512" spans="12:12" ht="15" hidden="1" customHeight="1">
      <c r="L512" s="50"/>
    </row>
    <row r="513" spans="12:12" ht="15" hidden="1" customHeight="1">
      <c r="L513" s="50"/>
    </row>
    <row r="514" spans="12:12" ht="15" hidden="1" customHeight="1">
      <c r="L514" s="50"/>
    </row>
    <row r="515" spans="12:12" ht="15" hidden="1" customHeight="1">
      <c r="L515" s="50"/>
    </row>
    <row r="516" spans="12:12" ht="15" hidden="1" customHeight="1">
      <c r="L516" s="50"/>
    </row>
    <row r="517" spans="12:12" ht="15" hidden="1" customHeight="1">
      <c r="L517" s="50"/>
    </row>
    <row r="518" spans="12:12" ht="15" hidden="1" customHeight="1">
      <c r="L518" s="50"/>
    </row>
    <row r="519" spans="12:12" ht="15" hidden="1" customHeight="1">
      <c r="L519" s="50"/>
    </row>
    <row r="520" spans="12:12" ht="15" hidden="1" customHeight="1">
      <c r="L520" s="50"/>
    </row>
    <row r="521" spans="12:12" ht="15" hidden="1" customHeight="1">
      <c r="L521" s="50"/>
    </row>
    <row r="522" spans="12:12" ht="15" hidden="1" customHeight="1">
      <c r="L522" s="50"/>
    </row>
    <row r="523" spans="12:12" ht="15" hidden="1" customHeight="1">
      <c r="L523" s="50"/>
    </row>
    <row r="524" spans="12:12" ht="15" hidden="1" customHeight="1">
      <c r="L524" s="50"/>
    </row>
    <row r="525" spans="12:12" ht="15" hidden="1" customHeight="1">
      <c r="L525" s="50"/>
    </row>
    <row r="526" spans="12:12" ht="15" hidden="1" customHeight="1">
      <c r="L526" s="50"/>
    </row>
    <row r="527" spans="12:12" ht="15" hidden="1" customHeight="1">
      <c r="L527" s="50"/>
    </row>
    <row r="528" spans="12:12" ht="15" hidden="1" customHeight="1">
      <c r="L528" s="50"/>
    </row>
    <row r="529" spans="12:12" ht="15" hidden="1" customHeight="1">
      <c r="L529" s="50"/>
    </row>
    <row r="530" spans="12:12" ht="15" hidden="1" customHeight="1">
      <c r="L530" s="50"/>
    </row>
    <row r="531" spans="12:12" ht="15" hidden="1" customHeight="1">
      <c r="L531" s="50"/>
    </row>
    <row r="532" spans="12:12" ht="15" hidden="1" customHeight="1">
      <c r="L532" s="50"/>
    </row>
    <row r="533" spans="12:12" ht="15" hidden="1" customHeight="1">
      <c r="L533" s="50"/>
    </row>
    <row r="534" spans="12:12" ht="15" hidden="1" customHeight="1">
      <c r="L534" s="50"/>
    </row>
    <row r="535" spans="12:12" ht="15" hidden="1" customHeight="1">
      <c r="L535" s="50"/>
    </row>
    <row r="536" spans="12:12" ht="15" hidden="1" customHeight="1">
      <c r="L536" s="50"/>
    </row>
    <row r="537" spans="12:12" ht="15" hidden="1" customHeight="1">
      <c r="L537" s="50"/>
    </row>
    <row r="538" spans="12:12" ht="15" hidden="1" customHeight="1">
      <c r="L538" s="50"/>
    </row>
    <row r="539" spans="12:12" ht="15" hidden="1" customHeight="1">
      <c r="L539" s="50"/>
    </row>
    <row r="540" spans="12:12" ht="15" hidden="1" customHeight="1">
      <c r="L540" s="50"/>
    </row>
    <row r="541" spans="12:12" ht="15" hidden="1" customHeight="1">
      <c r="L541" s="50"/>
    </row>
    <row r="542" spans="12:12" ht="15" hidden="1" customHeight="1">
      <c r="L542" s="50"/>
    </row>
    <row r="543" spans="12:12" ht="15" hidden="1" customHeight="1">
      <c r="L543" s="50"/>
    </row>
    <row r="544" spans="12:12" ht="15" hidden="1" customHeight="1">
      <c r="L544" s="50"/>
    </row>
    <row r="545" spans="12:12" ht="15" hidden="1" customHeight="1">
      <c r="L545" s="50"/>
    </row>
    <row r="546" spans="12:12" ht="15" hidden="1" customHeight="1">
      <c r="L546" s="50"/>
    </row>
    <row r="547" spans="12:12" ht="15" hidden="1" customHeight="1">
      <c r="L547" s="50"/>
    </row>
    <row r="548" spans="12:12" ht="15" hidden="1" customHeight="1">
      <c r="L548" s="50"/>
    </row>
    <row r="549" spans="12:12" ht="15" hidden="1" customHeight="1">
      <c r="L549" s="50"/>
    </row>
    <row r="550" spans="12:12" ht="15" hidden="1" customHeight="1">
      <c r="L550" s="50"/>
    </row>
    <row r="551" spans="12:12" ht="15" hidden="1" customHeight="1">
      <c r="L551" s="50"/>
    </row>
    <row r="552" spans="12:12" ht="15" hidden="1" customHeight="1">
      <c r="L552" s="50"/>
    </row>
    <row r="553" spans="12:12" ht="15" hidden="1" customHeight="1">
      <c r="L553" s="50"/>
    </row>
    <row r="554" spans="12:12" ht="15" hidden="1" customHeight="1">
      <c r="L554" s="50"/>
    </row>
    <row r="555" spans="12:12" ht="15" hidden="1" customHeight="1">
      <c r="L555" s="50"/>
    </row>
    <row r="556" spans="12:12" ht="15" hidden="1" customHeight="1">
      <c r="L556" s="50"/>
    </row>
    <row r="557" spans="12:12" ht="15" hidden="1" customHeight="1">
      <c r="L557" s="50"/>
    </row>
    <row r="558" spans="12:12" ht="15" hidden="1" customHeight="1">
      <c r="L558" s="50"/>
    </row>
    <row r="559" spans="12:12" ht="15" hidden="1" customHeight="1">
      <c r="L559" s="50"/>
    </row>
    <row r="560" spans="12:12" ht="15" hidden="1" customHeight="1">
      <c r="L560" s="50"/>
    </row>
    <row r="561" spans="12:12" ht="15" hidden="1" customHeight="1">
      <c r="L561" s="50"/>
    </row>
    <row r="562" spans="12:12" ht="15" hidden="1" customHeight="1">
      <c r="L562" s="50"/>
    </row>
    <row r="563" spans="12:12" ht="15" hidden="1" customHeight="1">
      <c r="L563" s="50"/>
    </row>
    <row r="564" spans="12:12" ht="15" hidden="1" customHeight="1">
      <c r="L564" s="50"/>
    </row>
    <row r="565" spans="12:12" ht="15" hidden="1" customHeight="1">
      <c r="L565" s="50"/>
    </row>
    <row r="566" spans="12:12" ht="15" hidden="1" customHeight="1">
      <c r="L566" s="50"/>
    </row>
    <row r="567" spans="12:12" ht="15" hidden="1" customHeight="1">
      <c r="L567" s="50"/>
    </row>
    <row r="568" spans="12:12" ht="15" hidden="1" customHeight="1">
      <c r="L568" s="50"/>
    </row>
    <row r="569" spans="12:12" ht="15" hidden="1" customHeight="1">
      <c r="L569" s="50"/>
    </row>
    <row r="570" spans="12:12" ht="15" hidden="1" customHeight="1">
      <c r="L570" s="50"/>
    </row>
    <row r="571" spans="12:12" ht="15" hidden="1" customHeight="1">
      <c r="L571" s="50"/>
    </row>
    <row r="572" spans="12:12" ht="15" hidden="1" customHeight="1">
      <c r="L572" s="50"/>
    </row>
    <row r="573" spans="12:12" ht="15" hidden="1" customHeight="1">
      <c r="L573" s="50"/>
    </row>
    <row r="574" spans="12:12" ht="15" hidden="1" customHeight="1">
      <c r="L574" s="50"/>
    </row>
    <row r="575" spans="12:12" ht="15" hidden="1" customHeight="1">
      <c r="L575" s="50"/>
    </row>
    <row r="576" spans="12:12" ht="15" hidden="1" customHeight="1">
      <c r="L576" s="50"/>
    </row>
    <row r="577" spans="12:12" ht="15" hidden="1" customHeight="1">
      <c r="L577" s="50"/>
    </row>
    <row r="578" spans="12:12" ht="15" hidden="1" customHeight="1">
      <c r="L578" s="50"/>
    </row>
    <row r="579" spans="12:12" ht="15" hidden="1" customHeight="1">
      <c r="L579" s="50"/>
    </row>
    <row r="580" spans="12:12" ht="15" hidden="1" customHeight="1">
      <c r="L580" s="50"/>
    </row>
    <row r="581" spans="12:12" ht="15" hidden="1" customHeight="1">
      <c r="L581" s="50"/>
    </row>
    <row r="582" spans="12:12" ht="15" hidden="1" customHeight="1">
      <c r="L582" s="50"/>
    </row>
    <row r="583" spans="12:12" ht="15" hidden="1" customHeight="1">
      <c r="L583" s="50"/>
    </row>
    <row r="584" spans="12:12" ht="15" hidden="1" customHeight="1">
      <c r="L584" s="50"/>
    </row>
    <row r="585" spans="12:12" ht="15" hidden="1" customHeight="1">
      <c r="L585" s="50"/>
    </row>
    <row r="586" spans="12:12" ht="15" hidden="1" customHeight="1">
      <c r="L586" s="50"/>
    </row>
    <row r="587" spans="12:12" ht="15" hidden="1" customHeight="1">
      <c r="L587" s="50"/>
    </row>
    <row r="588" spans="12:12" ht="15" hidden="1" customHeight="1">
      <c r="L588" s="50"/>
    </row>
    <row r="589" spans="12:12" ht="15" hidden="1" customHeight="1">
      <c r="L589" s="50"/>
    </row>
    <row r="590" spans="12:12" ht="15" hidden="1" customHeight="1">
      <c r="L590" s="50"/>
    </row>
    <row r="591" spans="12:12" ht="15" hidden="1" customHeight="1">
      <c r="L591" s="50"/>
    </row>
    <row r="592" spans="12:12" ht="15" hidden="1" customHeight="1">
      <c r="L592" s="50"/>
    </row>
    <row r="593" spans="12:12" ht="15" hidden="1" customHeight="1">
      <c r="L593" s="50"/>
    </row>
    <row r="594" spans="12:12" ht="15" hidden="1" customHeight="1">
      <c r="L594" s="50"/>
    </row>
    <row r="595" spans="12:12" ht="15" hidden="1" customHeight="1">
      <c r="L595" s="50"/>
    </row>
    <row r="596" spans="12:12" ht="15" hidden="1" customHeight="1">
      <c r="L596" s="50"/>
    </row>
    <row r="597" spans="12:12" ht="15" hidden="1" customHeight="1">
      <c r="L597" s="50"/>
    </row>
    <row r="598" spans="12:12" ht="15" hidden="1" customHeight="1">
      <c r="L598" s="50"/>
    </row>
    <row r="599" spans="12:12" ht="15" hidden="1" customHeight="1">
      <c r="L599" s="50"/>
    </row>
    <row r="600" spans="12:12" ht="15" hidden="1" customHeight="1">
      <c r="L600" s="50"/>
    </row>
    <row r="601" spans="12:12" ht="15" hidden="1" customHeight="1">
      <c r="L601" s="50"/>
    </row>
    <row r="602" spans="12:12" ht="15" hidden="1" customHeight="1">
      <c r="L602" s="50"/>
    </row>
    <row r="603" spans="12:12" ht="15" hidden="1" customHeight="1">
      <c r="L603" s="50"/>
    </row>
    <row r="604" spans="12:12" ht="15" hidden="1" customHeight="1">
      <c r="L604" s="50"/>
    </row>
    <row r="605" spans="12:12" ht="15" hidden="1" customHeight="1">
      <c r="L605" s="50"/>
    </row>
    <row r="606" spans="12:12" ht="15" hidden="1" customHeight="1">
      <c r="L606" s="50"/>
    </row>
    <row r="607" spans="12:12" ht="15" hidden="1" customHeight="1">
      <c r="L607" s="50"/>
    </row>
    <row r="608" spans="12:12" ht="15" hidden="1" customHeight="1">
      <c r="L608" s="50"/>
    </row>
    <row r="609" spans="12:12" ht="15" hidden="1" customHeight="1">
      <c r="L609" s="50"/>
    </row>
    <row r="610" spans="12:12" ht="15" hidden="1" customHeight="1">
      <c r="L610" s="50"/>
    </row>
    <row r="611" spans="12:12" ht="15" hidden="1" customHeight="1">
      <c r="L611" s="50"/>
    </row>
    <row r="612" spans="12:12" ht="15" hidden="1" customHeight="1">
      <c r="L612" s="50"/>
    </row>
    <row r="613" spans="12:12" ht="15" hidden="1" customHeight="1">
      <c r="L613" s="50"/>
    </row>
    <row r="614" spans="12:12" ht="15" hidden="1" customHeight="1">
      <c r="L614" s="50"/>
    </row>
    <row r="615" spans="12:12" ht="15" hidden="1" customHeight="1">
      <c r="L615" s="50"/>
    </row>
    <row r="616" spans="12:12" ht="15" hidden="1" customHeight="1">
      <c r="L616" s="50"/>
    </row>
    <row r="617" spans="12:12" ht="15" hidden="1" customHeight="1">
      <c r="L617" s="50"/>
    </row>
    <row r="618" spans="12:12" ht="15" hidden="1" customHeight="1">
      <c r="L618" s="50"/>
    </row>
    <row r="619" spans="12:12" ht="15" hidden="1" customHeight="1">
      <c r="L619" s="50"/>
    </row>
    <row r="620" spans="12:12" ht="15" hidden="1" customHeight="1">
      <c r="L620" s="50"/>
    </row>
    <row r="621" spans="12:12" ht="15" hidden="1" customHeight="1">
      <c r="L621" s="50"/>
    </row>
    <row r="622" spans="12:12" ht="15" hidden="1" customHeight="1">
      <c r="L622" s="50"/>
    </row>
    <row r="623" spans="12:12" ht="15" hidden="1" customHeight="1">
      <c r="L623" s="50"/>
    </row>
    <row r="624" spans="12:12" ht="15" hidden="1" customHeight="1">
      <c r="L624" s="50"/>
    </row>
    <row r="625" spans="12:12" ht="15" hidden="1" customHeight="1">
      <c r="L625" s="50"/>
    </row>
    <row r="626" spans="12:12" ht="15" hidden="1" customHeight="1">
      <c r="L626" s="50"/>
    </row>
    <row r="627" spans="12:12" ht="15" hidden="1" customHeight="1">
      <c r="L627" s="50"/>
    </row>
    <row r="628" spans="12:12" ht="15" hidden="1" customHeight="1">
      <c r="L628" s="50"/>
    </row>
    <row r="629" spans="12:12" ht="15" hidden="1" customHeight="1">
      <c r="L629" s="50"/>
    </row>
    <row r="630" spans="12:12" ht="15" hidden="1" customHeight="1">
      <c r="L630" s="50"/>
    </row>
    <row r="631" spans="12:12" ht="15" hidden="1" customHeight="1">
      <c r="L631" s="50"/>
    </row>
    <row r="632" spans="12:12" ht="15" hidden="1" customHeight="1">
      <c r="L632" s="50"/>
    </row>
    <row r="633" spans="12:12" ht="15" hidden="1" customHeight="1">
      <c r="L633" s="50"/>
    </row>
    <row r="634" spans="12:12" ht="15" hidden="1" customHeight="1">
      <c r="L634" s="50"/>
    </row>
    <row r="635" spans="12:12" ht="15" hidden="1" customHeight="1">
      <c r="L635" s="50"/>
    </row>
    <row r="636" spans="12:12" ht="15" hidden="1" customHeight="1">
      <c r="L636" s="50"/>
    </row>
    <row r="637" spans="12:12" ht="15" hidden="1" customHeight="1">
      <c r="L637" s="50"/>
    </row>
    <row r="638" spans="12:12" ht="15" hidden="1" customHeight="1">
      <c r="L638" s="50"/>
    </row>
    <row r="639" spans="12:12" ht="15" hidden="1" customHeight="1">
      <c r="L639" s="50"/>
    </row>
    <row r="640" spans="12:12" ht="15" hidden="1" customHeight="1">
      <c r="L640" s="50"/>
    </row>
    <row r="641" spans="12:12" ht="15" hidden="1" customHeight="1">
      <c r="L641" s="50"/>
    </row>
    <row r="642" spans="12:12" ht="15" hidden="1" customHeight="1">
      <c r="L642" s="50"/>
    </row>
    <row r="643" spans="12:12" ht="15" hidden="1" customHeight="1">
      <c r="L643" s="50"/>
    </row>
    <row r="644" spans="12:12" ht="15" hidden="1" customHeight="1">
      <c r="L644" s="50"/>
    </row>
    <row r="645" spans="12:12" ht="15" hidden="1" customHeight="1">
      <c r="L645" s="50"/>
    </row>
    <row r="646" spans="12:12" ht="15" hidden="1" customHeight="1">
      <c r="L646" s="50"/>
    </row>
    <row r="647" spans="12:12" ht="15" hidden="1" customHeight="1">
      <c r="L647" s="50"/>
    </row>
    <row r="648" spans="12:12" ht="15" hidden="1" customHeight="1">
      <c r="L648" s="50"/>
    </row>
    <row r="649" spans="12:12" ht="15" hidden="1" customHeight="1">
      <c r="L649" s="50"/>
    </row>
    <row r="650" spans="12:12" ht="15" hidden="1" customHeight="1">
      <c r="L650" s="50"/>
    </row>
    <row r="651" spans="12:12" ht="15" hidden="1" customHeight="1">
      <c r="L651" s="50"/>
    </row>
    <row r="652" spans="12:12" ht="15" hidden="1" customHeight="1">
      <c r="L652" s="50"/>
    </row>
    <row r="653" spans="12:12" ht="15" hidden="1" customHeight="1">
      <c r="L653" s="50"/>
    </row>
    <row r="654" spans="12:12" ht="15" hidden="1" customHeight="1">
      <c r="L654" s="50"/>
    </row>
    <row r="655" spans="12:12" ht="15" hidden="1" customHeight="1">
      <c r="L655" s="50"/>
    </row>
    <row r="656" spans="12:12" ht="15" hidden="1" customHeight="1">
      <c r="L656" s="50"/>
    </row>
    <row r="657" spans="12:12" ht="15" hidden="1" customHeight="1">
      <c r="L657" s="50"/>
    </row>
    <row r="658" spans="12:12" ht="15" hidden="1" customHeight="1">
      <c r="L658" s="50"/>
    </row>
    <row r="659" spans="12:12" ht="15" hidden="1" customHeight="1">
      <c r="L659" s="50"/>
    </row>
    <row r="660" spans="12:12" ht="15" hidden="1" customHeight="1">
      <c r="L660" s="50"/>
    </row>
    <row r="661" spans="12:12" ht="15" hidden="1" customHeight="1">
      <c r="L661" s="50"/>
    </row>
    <row r="662" spans="12:12" ht="15" hidden="1" customHeight="1">
      <c r="L662" s="50"/>
    </row>
    <row r="663" spans="12:12" ht="15" hidden="1" customHeight="1">
      <c r="L663" s="50"/>
    </row>
    <row r="664" spans="12:12" ht="15" hidden="1" customHeight="1">
      <c r="L664" s="50"/>
    </row>
    <row r="665" spans="12:12" ht="15" hidden="1" customHeight="1">
      <c r="L665" s="50"/>
    </row>
    <row r="666" spans="12:12" ht="15" hidden="1" customHeight="1">
      <c r="L666" s="50"/>
    </row>
    <row r="667" spans="12:12" ht="15" hidden="1" customHeight="1">
      <c r="L667" s="50"/>
    </row>
    <row r="668" spans="12:12" ht="15" hidden="1" customHeight="1">
      <c r="L668" s="50"/>
    </row>
    <row r="669" spans="12:12" ht="15" hidden="1" customHeight="1">
      <c r="L669" s="50"/>
    </row>
    <row r="670" spans="12:12" ht="15" hidden="1" customHeight="1">
      <c r="L670" s="50"/>
    </row>
    <row r="671" spans="12:12" ht="15" hidden="1" customHeight="1">
      <c r="L671" s="50"/>
    </row>
    <row r="672" spans="12:12" ht="15" hidden="1" customHeight="1">
      <c r="L672" s="50"/>
    </row>
    <row r="673" spans="12:12" ht="15" hidden="1" customHeight="1">
      <c r="L673" s="50"/>
    </row>
    <row r="674" spans="12:12" ht="15" hidden="1" customHeight="1">
      <c r="L674" s="50"/>
    </row>
    <row r="675" spans="12:12" ht="15" hidden="1" customHeight="1">
      <c r="L675" s="50"/>
    </row>
    <row r="676" spans="12:12" ht="15" hidden="1" customHeight="1">
      <c r="L676" s="50"/>
    </row>
    <row r="677" spans="12:12" ht="15" hidden="1" customHeight="1">
      <c r="L677" s="50"/>
    </row>
    <row r="678" spans="12:12" ht="15" hidden="1" customHeight="1">
      <c r="L678" s="50"/>
    </row>
    <row r="679" spans="12:12" ht="15" hidden="1" customHeight="1">
      <c r="L679" s="50"/>
    </row>
    <row r="680" spans="12:12" ht="15" hidden="1" customHeight="1">
      <c r="L680" s="50"/>
    </row>
    <row r="681" spans="12:12" ht="15" hidden="1" customHeight="1">
      <c r="L681" s="50"/>
    </row>
    <row r="682" spans="12:12" ht="15" customHeight="1"/>
    <row r="683" spans="12:12" ht="15" customHeight="1"/>
    <row r="684" spans="12:12" ht="15" customHeight="1"/>
    <row r="685" spans="12:12" ht="15" customHeight="1"/>
    <row r="686" spans="12:12" ht="15" customHeight="1"/>
    <row r="687" spans="12:12" ht="15" customHeight="1"/>
    <row r="688" spans="12:12" ht="15" customHeight="1"/>
    <row r="689" spans="1:13" ht="15" hidden="1" customHeight="1">
      <c r="A689" s="300" t="s">
        <v>324</v>
      </c>
      <c r="B689" s="301"/>
      <c r="C689" s="302"/>
      <c r="D689" s="301"/>
      <c r="E689" s="300" t="s">
        <v>325</v>
      </c>
      <c r="G689" s="302" t="s">
        <v>326</v>
      </c>
      <c r="H689" s="303"/>
      <c r="I689" s="303" t="s">
        <v>327</v>
      </c>
      <c r="J689" s="303"/>
      <c r="K689" s="312" t="s">
        <v>328</v>
      </c>
      <c r="M689" s="313" t="s">
        <v>257</v>
      </c>
    </row>
    <row r="690" spans="1:13" ht="15" hidden="1" customHeight="1">
      <c r="A690" s="69" t="s">
        <v>134</v>
      </c>
      <c r="B690" s="29"/>
      <c r="C690" s="50" t="s">
        <v>79</v>
      </c>
      <c r="D690" s="29"/>
      <c r="E690" s="69" t="s">
        <v>136</v>
      </c>
      <c r="G690" s="50" t="s">
        <v>329</v>
      </c>
      <c r="H690" s="29"/>
      <c r="I690" s="29" t="s">
        <v>330</v>
      </c>
      <c r="J690" s="29"/>
      <c r="K690" s="17" t="s">
        <v>79</v>
      </c>
      <c r="M690" s="313" t="s">
        <v>331</v>
      </c>
    </row>
    <row r="691" spans="1:13" ht="15" hidden="1" customHeight="1">
      <c r="A691" s="69" t="s">
        <v>332</v>
      </c>
      <c r="B691" s="29"/>
      <c r="C691" s="50" t="s">
        <v>24</v>
      </c>
      <c r="D691" s="29"/>
      <c r="E691" s="69" t="s">
        <v>333</v>
      </c>
      <c r="G691" s="50" t="s">
        <v>334</v>
      </c>
      <c r="H691" s="29"/>
      <c r="I691" s="29" t="s">
        <v>335</v>
      </c>
      <c r="J691" s="29"/>
      <c r="K691" s="17" t="s">
        <v>24</v>
      </c>
      <c r="L691" s="301"/>
    </row>
    <row r="692" spans="1:13" ht="15" hidden="1" customHeight="1">
      <c r="A692" s="69" t="s">
        <v>336</v>
      </c>
      <c r="B692" s="29"/>
      <c r="C692" s="50"/>
      <c r="D692" s="29"/>
      <c r="E692" s="69" t="s">
        <v>337</v>
      </c>
      <c r="G692" s="50" t="s">
        <v>338</v>
      </c>
      <c r="H692" s="29"/>
      <c r="I692" s="29" t="s">
        <v>339</v>
      </c>
      <c r="J692" s="29"/>
      <c r="K692" s="17"/>
      <c r="L692" s="29"/>
    </row>
    <row r="693" spans="1:13" ht="15" hidden="1" customHeight="1">
      <c r="A693" s="69" t="s">
        <v>340</v>
      </c>
      <c r="B693" s="29"/>
      <c r="C693" s="50"/>
      <c r="D693" s="29"/>
      <c r="E693" s="69" t="s">
        <v>341</v>
      </c>
      <c r="G693" s="50" t="s">
        <v>342</v>
      </c>
      <c r="H693" s="29"/>
      <c r="I693" s="29" t="s">
        <v>343</v>
      </c>
      <c r="J693" s="29"/>
      <c r="K693" s="17"/>
      <c r="L693" s="29"/>
    </row>
    <row r="694" spans="1:13" ht="15" hidden="1" customHeight="1">
      <c r="L694" s="29"/>
    </row>
    <row r="695" spans="1:13" ht="15" hidden="1" customHeight="1">
      <c r="A695" s="300" t="s">
        <v>344</v>
      </c>
      <c r="B695" s="301"/>
      <c r="C695" s="302" t="s">
        <v>345</v>
      </c>
      <c r="D695" s="301"/>
      <c r="E695" s="300" t="s">
        <v>346</v>
      </c>
      <c r="G695" s="302" t="s">
        <v>347</v>
      </c>
      <c r="H695" s="303"/>
      <c r="I695" s="303" t="s">
        <v>348</v>
      </c>
      <c r="J695" s="303"/>
      <c r="K695" s="312" t="s">
        <v>349</v>
      </c>
      <c r="L695" s="29"/>
      <c r="M695" s="7" t="s">
        <v>291</v>
      </c>
    </row>
    <row r="696" spans="1:13" ht="15" hidden="1" customHeight="1">
      <c r="A696" s="69" t="s">
        <v>350</v>
      </c>
      <c r="B696" s="29"/>
      <c r="C696" s="50" t="s">
        <v>351</v>
      </c>
      <c r="D696" s="29"/>
      <c r="E696" s="69" t="s">
        <v>352</v>
      </c>
      <c r="G696" s="50" t="s">
        <v>353</v>
      </c>
      <c r="H696" s="29"/>
      <c r="I696" s="29" t="s">
        <v>104</v>
      </c>
      <c r="J696" s="29"/>
      <c r="K696" s="17">
        <v>33</v>
      </c>
      <c r="M696" s="7" t="s">
        <v>354</v>
      </c>
    </row>
    <row r="697" spans="1:13" ht="15" hidden="1" customHeight="1">
      <c r="A697" s="69" t="s">
        <v>355</v>
      </c>
      <c r="B697" s="29"/>
      <c r="C697" s="50" t="s">
        <v>98</v>
      </c>
      <c r="D697" s="29"/>
      <c r="E697" s="69" t="s">
        <v>356</v>
      </c>
      <c r="G697" s="50" t="s">
        <v>357</v>
      </c>
      <c r="H697" s="29"/>
      <c r="I697" s="29" t="s">
        <v>358</v>
      </c>
      <c r="J697" s="29"/>
      <c r="K697" s="17">
        <v>39</v>
      </c>
      <c r="L697" s="301"/>
      <c r="M697" s="7" t="s">
        <v>359</v>
      </c>
    </row>
    <row r="698" spans="1:13" ht="15" hidden="1" customHeight="1">
      <c r="A698" s="69" t="s">
        <v>360</v>
      </c>
      <c r="B698" s="29"/>
      <c r="C698" s="50" t="s">
        <v>361</v>
      </c>
      <c r="D698" s="29"/>
      <c r="E698" s="69"/>
      <c r="G698" s="50" t="s">
        <v>362</v>
      </c>
      <c r="H698" s="29"/>
      <c r="I698" s="29" t="s">
        <v>363</v>
      </c>
      <c r="J698" s="29"/>
      <c r="K698" s="17">
        <v>44</v>
      </c>
      <c r="L698" s="29"/>
      <c r="M698" s="7" t="s">
        <v>292</v>
      </c>
    </row>
    <row r="699" spans="1:13" ht="15" hidden="1" customHeight="1">
      <c r="A699" s="69" t="s">
        <v>364</v>
      </c>
      <c r="B699" s="29"/>
      <c r="C699" s="50"/>
      <c r="D699" s="29"/>
      <c r="E699" s="69"/>
      <c r="G699" s="50" t="s">
        <v>365</v>
      </c>
      <c r="H699" s="29"/>
      <c r="I699" s="29" t="s">
        <v>366</v>
      </c>
      <c r="J699" s="29"/>
      <c r="K699" s="17">
        <v>47</v>
      </c>
      <c r="L699" s="29"/>
      <c r="M699" s="7" t="s">
        <v>367</v>
      </c>
    </row>
    <row r="700" spans="1:13" ht="15" hidden="1" customHeight="1">
      <c r="A700" s="69" t="s">
        <v>368</v>
      </c>
      <c r="B700" s="29"/>
      <c r="C700" s="50"/>
      <c r="D700" s="29"/>
      <c r="E700" s="69"/>
      <c r="G700" s="50" t="s">
        <v>369</v>
      </c>
      <c r="H700" s="29"/>
      <c r="I700" s="29"/>
      <c r="J700" s="29"/>
      <c r="K700" s="17">
        <v>50</v>
      </c>
      <c r="L700" s="29"/>
    </row>
    <row r="701" spans="1:13" ht="15" hidden="1" customHeight="1">
      <c r="A701" s="69"/>
      <c r="B701" s="29"/>
      <c r="C701" s="50"/>
      <c r="D701" s="29"/>
      <c r="E701" s="69"/>
      <c r="F701" s="29"/>
      <c r="G701" s="50"/>
      <c r="H701" s="29"/>
      <c r="I701" s="29"/>
      <c r="J701" s="29"/>
      <c r="K701" s="17">
        <v>55</v>
      </c>
      <c r="L701" s="29"/>
    </row>
    <row r="702" spans="1:13" ht="15" hidden="1" customHeight="1">
      <c r="A702" s="300" t="s">
        <v>370</v>
      </c>
      <c r="B702" s="301"/>
      <c r="C702" s="302"/>
      <c r="D702" s="301"/>
      <c r="E702" s="300" t="s">
        <v>371</v>
      </c>
      <c r="G702" s="302" t="s">
        <v>372</v>
      </c>
      <c r="H702" s="303"/>
      <c r="I702" s="303" t="s">
        <v>373</v>
      </c>
      <c r="J702" s="303"/>
      <c r="K702" s="312" t="s">
        <v>374</v>
      </c>
      <c r="L702" s="29"/>
    </row>
    <row r="703" spans="1:13" ht="15" hidden="1" customHeight="1">
      <c r="A703" s="69" t="s">
        <v>375</v>
      </c>
      <c r="B703" s="29"/>
      <c r="C703" s="50"/>
      <c r="D703" s="29"/>
      <c r="E703" s="69" t="s">
        <v>376</v>
      </c>
      <c r="G703" s="50" t="s">
        <v>79</v>
      </c>
      <c r="H703" s="29"/>
      <c r="I703" s="29" t="s">
        <v>377</v>
      </c>
      <c r="J703" s="29"/>
      <c r="K703" s="17" t="s">
        <v>79</v>
      </c>
      <c r="L703" s="29"/>
    </row>
    <row r="704" spans="1:13" ht="15" hidden="1" customHeight="1">
      <c r="A704" s="69" t="s">
        <v>378</v>
      </c>
      <c r="B704" s="29"/>
      <c r="C704" s="50"/>
      <c r="D704" s="29"/>
      <c r="E704" s="69" t="s">
        <v>359</v>
      </c>
      <c r="G704" s="50" t="s">
        <v>24</v>
      </c>
      <c r="H704" s="29"/>
      <c r="I704" s="29" t="s">
        <v>379</v>
      </c>
      <c r="J704" s="29"/>
      <c r="K704" s="17" t="s">
        <v>24</v>
      </c>
      <c r="L704" s="301"/>
    </row>
    <row r="705" spans="1:12" ht="15" hidden="1" customHeight="1">
      <c r="A705" s="69" t="s">
        <v>380</v>
      </c>
      <c r="B705" s="29"/>
      <c r="C705" s="50"/>
      <c r="D705" s="29"/>
      <c r="E705" s="69" t="s">
        <v>381</v>
      </c>
      <c r="G705" s="50"/>
      <c r="H705" s="29"/>
      <c r="I705" s="29" t="s">
        <v>382</v>
      </c>
      <c r="J705" s="29"/>
      <c r="K705" s="17"/>
      <c r="L705" s="29"/>
    </row>
    <row r="706" spans="1:12" ht="15" hidden="1" customHeight="1">
      <c r="A706" s="69" t="s">
        <v>383</v>
      </c>
      <c r="B706" s="29"/>
      <c r="C706" s="50"/>
      <c r="D706" s="29"/>
      <c r="E706" s="69"/>
      <c r="F706" s="29"/>
      <c r="G706" s="50"/>
      <c r="H706" s="29"/>
      <c r="I706" s="29" t="s">
        <v>384</v>
      </c>
      <c r="J706" s="29"/>
      <c r="K706" s="17"/>
      <c r="L706" s="29"/>
    </row>
    <row r="707" spans="1:12" ht="15" hidden="1" customHeight="1">
      <c r="A707" s="69" t="s">
        <v>385</v>
      </c>
      <c r="B707" s="29"/>
      <c r="C707" s="50"/>
      <c r="D707" s="29"/>
      <c r="E707" s="69"/>
      <c r="F707" s="29"/>
      <c r="G707" s="50"/>
      <c r="H707" s="29"/>
      <c r="I707" s="29" t="s">
        <v>386</v>
      </c>
      <c r="J707" s="29"/>
      <c r="K707" s="17"/>
      <c r="L707" s="29"/>
    </row>
    <row r="708" spans="1:12" ht="15" hidden="1" customHeight="1">
      <c r="C708" s="5" t="s">
        <v>387</v>
      </c>
      <c r="L708" s="29"/>
    </row>
    <row r="709" spans="1:12" ht="15" hidden="1" customHeight="1">
      <c r="A709" s="300" t="s">
        <v>388</v>
      </c>
      <c r="B709" s="301"/>
      <c r="C709" s="304" t="s">
        <v>389</v>
      </c>
      <c r="D709" s="301"/>
      <c r="E709" s="300" t="s">
        <v>390</v>
      </c>
      <c r="G709" s="305" t="s">
        <v>391</v>
      </c>
      <c r="H709" s="303"/>
      <c r="I709" s="314" t="s">
        <v>73</v>
      </c>
      <c r="J709" s="303"/>
      <c r="K709" s="315" t="s">
        <v>90</v>
      </c>
      <c r="L709" s="29"/>
    </row>
    <row r="710" spans="1:12" ht="15" hidden="1" customHeight="1">
      <c r="A710" s="69" t="s">
        <v>392</v>
      </c>
      <c r="B710" s="29"/>
      <c r="C710" s="304" t="s">
        <v>83</v>
      </c>
      <c r="D710" s="29"/>
      <c r="E710" s="69" t="s">
        <v>79</v>
      </c>
      <c r="G710" s="50" t="s">
        <v>393</v>
      </c>
      <c r="H710" s="29"/>
      <c r="I710" s="7" t="s">
        <v>394</v>
      </c>
      <c r="J710" s="29"/>
      <c r="K710" s="17" t="s">
        <v>395</v>
      </c>
    </row>
    <row r="711" spans="1:12" ht="15" hidden="1" customHeight="1">
      <c r="A711" s="69" t="s">
        <v>129</v>
      </c>
      <c r="B711" s="29"/>
      <c r="C711" s="304" t="s">
        <v>396</v>
      </c>
      <c r="D711" s="29"/>
      <c r="E711" s="69" t="s">
        <v>24</v>
      </c>
      <c r="G711" s="50" t="s">
        <v>397</v>
      </c>
      <c r="H711" s="29"/>
      <c r="I711" s="29" t="s">
        <v>398</v>
      </c>
      <c r="J711" s="29"/>
      <c r="K711" s="17" t="s">
        <v>399</v>
      </c>
      <c r="L711" s="301"/>
    </row>
    <row r="712" spans="1:12" ht="15" hidden="1" customHeight="1">
      <c r="A712" s="69" t="s">
        <v>132</v>
      </c>
      <c r="B712" s="29"/>
      <c r="C712" s="304" t="s">
        <v>400</v>
      </c>
      <c r="D712" s="29"/>
      <c r="E712" s="69"/>
      <c r="G712" s="50" t="s">
        <v>81</v>
      </c>
      <c r="H712" s="29"/>
      <c r="I712" s="29" t="s">
        <v>401</v>
      </c>
      <c r="J712" s="29"/>
      <c r="K712" s="17" t="s">
        <v>402</v>
      </c>
      <c r="L712" s="29"/>
    </row>
    <row r="713" spans="1:12" ht="15" hidden="1" customHeight="1">
      <c r="A713" s="69" t="s">
        <v>403</v>
      </c>
      <c r="B713" s="29"/>
      <c r="C713" s="304" t="s">
        <v>404</v>
      </c>
      <c r="D713" s="29"/>
      <c r="E713" s="69"/>
      <c r="G713" s="50" t="s">
        <v>405</v>
      </c>
      <c r="H713" s="29"/>
      <c r="I713" s="29" t="s">
        <v>406</v>
      </c>
      <c r="J713" s="29"/>
      <c r="K713" s="17" t="s">
        <v>91</v>
      </c>
      <c r="L713" s="29"/>
    </row>
    <row r="714" spans="1:12" ht="15" hidden="1" customHeight="1">
      <c r="A714" s="69"/>
      <c r="B714" s="29"/>
      <c r="C714" s="304" t="s">
        <v>407</v>
      </c>
      <c r="D714" s="29"/>
      <c r="E714" s="69"/>
      <c r="G714" s="50" t="s">
        <v>408</v>
      </c>
      <c r="H714" s="29"/>
      <c r="I714" s="7" t="s">
        <v>409</v>
      </c>
      <c r="J714" s="29"/>
      <c r="K714" s="17" t="s">
        <v>410</v>
      </c>
      <c r="L714" s="29"/>
    </row>
    <row r="715" spans="1:12" ht="15" hidden="1" customHeight="1">
      <c r="C715" s="304" t="s">
        <v>411</v>
      </c>
      <c r="G715" s="5" t="s">
        <v>412</v>
      </c>
      <c r="I715" s="29" t="s">
        <v>413</v>
      </c>
      <c r="K715" s="8" t="s">
        <v>26</v>
      </c>
      <c r="L715" s="29"/>
    </row>
    <row r="716" spans="1:12" ht="15" hidden="1" customHeight="1">
      <c r="A716" s="306" t="s">
        <v>414</v>
      </c>
      <c r="B716" s="29"/>
      <c r="C716" s="101" t="s">
        <v>11</v>
      </c>
      <c r="D716" s="29"/>
      <c r="E716" s="307" t="s">
        <v>193</v>
      </c>
      <c r="F716" s="308" t="s">
        <v>11</v>
      </c>
      <c r="G716" s="305"/>
      <c r="H716" s="308"/>
      <c r="I716" s="308" t="s">
        <v>415</v>
      </c>
      <c r="J716" s="308"/>
      <c r="K716" s="315" t="s">
        <v>416</v>
      </c>
      <c r="L716" s="29"/>
    </row>
    <row r="717" spans="1:12" ht="15" hidden="1" customHeight="1">
      <c r="A717" s="69" t="s">
        <v>417</v>
      </c>
      <c r="B717" s="29"/>
      <c r="C717" s="50" t="s">
        <v>12</v>
      </c>
      <c r="D717" s="29"/>
      <c r="E717" s="309" t="s">
        <v>418</v>
      </c>
      <c r="F717" s="29" t="s">
        <v>235</v>
      </c>
      <c r="G717" s="50"/>
      <c r="H717" s="29"/>
      <c r="I717" s="29" t="s">
        <v>419</v>
      </c>
      <c r="J717" s="29"/>
      <c r="K717" s="17" t="s">
        <v>420</v>
      </c>
    </row>
    <row r="718" spans="1:12" ht="15" hidden="1" customHeight="1">
      <c r="A718" s="69" t="s">
        <v>421</v>
      </c>
      <c r="B718" s="29"/>
      <c r="C718" s="50" t="s">
        <v>422</v>
      </c>
      <c r="D718" s="29"/>
      <c r="E718" s="309" t="s">
        <v>423</v>
      </c>
      <c r="F718" s="29" t="s">
        <v>424</v>
      </c>
      <c r="G718" s="50"/>
      <c r="H718" s="29"/>
      <c r="I718" s="29" t="s">
        <v>425</v>
      </c>
      <c r="J718" s="29"/>
      <c r="K718" s="17" t="s">
        <v>426</v>
      </c>
      <c r="L718" s="301"/>
    </row>
    <row r="719" spans="1:12" ht="15" hidden="1" customHeight="1">
      <c r="A719" s="69" t="s">
        <v>427</v>
      </c>
      <c r="B719" s="29"/>
      <c r="C719" s="5" t="s">
        <v>428</v>
      </c>
      <c r="D719" s="29"/>
      <c r="E719" s="309" t="s">
        <v>429</v>
      </c>
      <c r="F719" s="29"/>
      <c r="G719" s="50"/>
      <c r="H719" s="29"/>
      <c r="I719" s="29" t="s">
        <v>430</v>
      </c>
      <c r="J719" s="29"/>
      <c r="K719" s="17" t="s">
        <v>431</v>
      </c>
      <c r="L719" s="29"/>
    </row>
    <row r="720" spans="1:12" ht="15" hidden="1" customHeight="1">
      <c r="A720" s="69" t="s">
        <v>432</v>
      </c>
      <c r="B720" s="29"/>
      <c r="C720" s="50" t="s">
        <v>235</v>
      </c>
      <c r="D720" s="29"/>
      <c r="E720" s="309" t="s">
        <v>433</v>
      </c>
      <c r="F720" s="29"/>
      <c r="G720" s="50"/>
      <c r="H720" s="29"/>
      <c r="I720" s="29" t="s">
        <v>434</v>
      </c>
      <c r="J720" s="29"/>
      <c r="K720" s="17" t="s">
        <v>435</v>
      </c>
      <c r="L720" s="29"/>
    </row>
    <row r="721" spans="1:14" ht="15" hidden="1" customHeight="1">
      <c r="A721" s="69" t="s">
        <v>89</v>
      </c>
      <c r="B721" s="29"/>
      <c r="C721" s="50" t="s">
        <v>436</v>
      </c>
      <c r="D721" s="29"/>
      <c r="E721" s="69"/>
      <c r="F721" s="29"/>
      <c r="G721" s="50"/>
      <c r="H721" s="29"/>
      <c r="I721" s="29"/>
      <c r="J721" s="29"/>
      <c r="K721" s="17" t="s">
        <v>437</v>
      </c>
      <c r="L721" s="29"/>
    </row>
    <row r="722" spans="1:14" ht="15" hidden="1" customHeight="1">
      <c r="A722" s="69" t="s">
        <v>438</v>
      </c>
      <c r="B722" s="29"/>
      <c r="C722" s="50"/>
      <c r="D722" s="29"/>
      <c r="E722" s="307" t="s">
        <v>439</v>
      </c>
      <c r="F722" s="29"/>
      <c r="G722" s="305" t="s">
        <v>440</v>
      </c>
      <c r="H722" s="29"/>
      <c r="I722" s="308" t="s">
        <v>441</v>
      </c>
      <c r="J722" s="29"/>
      <c r="K722" s="17" t="s">
        <v>442</v>
      </c>
      <c r="L722" s="29"/>
    </row>
    <row r="723" spans="1:14" ht="15" hidden="1" customHeight="1">
      <c r="A723" s="69" t="s">
        <v>443</v>
      </c>
      <c r="B723" s="29"/>
      <c r="C723" s="50"/>
      <c r="D723" s="29"/>
      <c r="E723" s="69" t="s">
        <v>444</v>
      </c>
      <c r="F723" s="29"/>
      <c r="G723" s="50" t="s">
        <v>445</v>
      </c>
      <c r="H723" s="29"/>
      <c r="I723" s="29" t="s">
        <v>277</v>
      </c>
      <c r="J723" s="29"/>
      <c r="K723" s="17" t="s">
        <v>446</v>
      </c>
      <c r="L723" s="29"/>
    </row>
    <row r="724" spans="1:14" ht="15" hidden="1" customHeight="1">
      <c r="A724" s="69" t="s">
        <v>447</v>
      </c>
      <c r="B724" s="29"/>
      <c r="C724" s="50"/>
      <c r="D724" s="29"/>
      <c r="E724" s="4" t="s">
        <v>448</v>
      </c>
      <c r="F724" s="29"/>
      <c r="G724" s="50" t="s">
        <v>449</v>
      </c>
      <c r="H724" s="29"/>
      <c r="I724" s="29" t="s">
        <v>450</v>
      </c>
      <c r="J724" s="29"/>
      <c r="K724" s="17" t="s">
        <v>451</v>
      </c>
      <c r="L724" s="29"/>
    </row>
    <row r="725" spans="1:14" ht="15" hidden="1" customHeight="1">
      <c r="A725" s="69" t="s">
        <v>452</v>
      </c>
      <c r="B725" s="29"/>
      <c r="C725" s="50"/>
      <c r="D725" s="29"/>
      <c r="E725" s="4" t="s">
        <v>223</v>
      </c>
      <c r="F725" s="29"/>
      <c r="G725" s="50" t="s">
        <v>453</v>
      </c>
      <c r="H725" s="29"/>
      <c r="I725" s="29" t="s">
        <v>454</v>
      </c>
      <c r="J725" s="29"/>
      <c r="K725" s="17" t="s">
        <v>455</v>
      </c>
      <c r="L725" s="29"/>
    </row>
    <row r="726" spans="1:14" ht="15" hidden="1" customHeight="1">
      <c r="A726" s="69" t="s">
        <v>456</v>
      </c>
      <c r="B726" s="29"/>
      <c r="C726" s="50"/>
      <c r="D726" s="29"/>
      <c r="E726" s="4" t="s">
        <v>225</v>
      </c>
      <c r="F726" s="29"/>
      <c r="G726" s="50" t="s">
        <v>457</v>
      </c>
      <c r="H726" s="29"/>
      <c r="I726" s="29"/>
      <c r="J726" s="29"/>
      <c r="K726" s="17"/>
      <c r="L726" s="316" t="s">
        <v>458</v>
      </c>
      <c r="M726" s="217">
        <f>I155</f>
        <v>0</v>
      </c>
    </row>
    <row r="727" spans="1:14" ht="15" hidden="1" customHeight="1">
      <c r="A727" s="4" t="s">
        <v>455</v>
      </c>
      <c r="E727" s="4" t="s">
        <v>12</v>
      </c>
      <c r="G727" s="5" t="s">
        <v>12</v>
      </c>
      <c r="L727" s="316" t="s">
        <v>222</v>
      </c>
      <c r="M727" s="317">
        <f>I169</f>
        <v>657415</v>
      </c>
      <c r="N727" s="318"/>
    </row>
    <row r="728" spans="1:14" ht="15" hidden="1" customHeight="1">
      <c r="E728" s="4" t="s">
        <v>436</v>
      </c>
      <c r="G728" s="5" t="s">
        <v>436</v>
      </c>
      <c r="N728" s="318"/>
    </row>
    <row r="729" spans="1:14" ht="15" hidden="1" customHeight="1">
      <c r="E729" s="307" t="s">
        <v>459</v>
      </c>
      <c r="G729" s="305" t="s">
        <v>460</v>
      </c>
    </row>
    <row r="730" spans="1:14" ht="15" hidden="1" customHeight="1">
      <c r="A730" s="309" t="s">
        <v>461</v>
      </c>
      <c r="B730" s="301"/>
      <c r="C730" s="302"/>
      <c r="D730" s="301"/>
      <c r="E730" s="69" t="s">
        <v>462</v>
      </c>
      <c r="G730" s="50" t="s">
        <v>463</v>
      </c>
      <c r="H730" s="29"/>
      <c r="I730" s="307" t="s">
        <v>464</v>
      </c>
      <c r="J730" s="303"/>
      <c r="K730" s="312" t="s">
        <v>9</v>
      </c>
      <c r="M730" s="7" t="s">
        <v>465</v>
      </c>
    </row>
    <row r="731" spans="1:14" ht="15" hidden="1" customHeight="1">
      <c r="A731" s="69" t="s">
        <v>26</v>
      </c>
      <c r="B731" s="29"/>
      <c r="C731" s="50"/>
      <c r="D731" s="29"/>
      <c r="E731" s="69" t="s">
        <v>466</v>
      </c>
      <c r="G731" s="50" t="s">
        <v>467</v>
      </c>
      <c r="H731" s="29"/>
      <c r="I731" s="29"/>
      <c r="J731" s="29"/>
      <c r="K731" s="17" t="s">
        <v>468</v>
      </c>
      <c r="M731" s="7" t="s">
        <v>469</v>
      </c>
    </row>
    <row r="732" spans="1:14" ht="15" hidden="1" customHeight="1">
      <c r="A732" s="69" t="s">
        <v>470</v>
      </c>
      <c r="B732" s="29"/>
      <c r="C732" s="50"/>
      <c r="D732" s="29"/>
      <c r="E732" s="69" t="s">
        <v>471</v>
      </c>
      <c r="G732" s="50" t="s">
        <v>472</v>
      </c>
      <c r="H732" s="29"/>
      <c r="I732" s="29" t="s">
        <v>473</v>
      </c>
      <c r="J732" s="29"/>
      <c r="K732" s="17" t="s">
        <v>474</v>
      </c>
      <c r="L732" s="29"/>
      <c r="M732" s="7" t="s">
        <v>475</v>
      </c>
    </row>
    <row r="733" spans="1:14" ht="15" hidden="1" customHeight="1">
      <c r="A733" s="69" t="s">
        <v>476</v>
      </c>
      <c r="B733" s="29"/>
      <c r="C733" s="50"/>
      <c r="D733" s="29"/>
      <c r="E733" s="69" t="s">
        <v>477</v>
      </c>
      <c r="G733" s="50" t="s">
        <v>478</v>
      </c>
      <c r="H733" s="29"/>
      <c r="I733" s="29" t="s">
        <v>479</v>
      </c>
      <c r="J733" s="29"/>
      <c r="K733" s="17" t="s">
        <v>480</v>
      </c>
      <c r="L733" s="29"/>
      <c r="M733" s="7" t="s">
        <v>481</v>
      </c>
    </row>
    <row r="734" spans="1:14" ht="15" hidden="1" customHeight="1">
      <c r="A734" s="69" t="s">
        <v>93</v>
      </c>
      <c r="B734" s="29"/>
      <c r="C734" s="50"/>
      <c r="D734" s="29"/>
      <c r="E734" s="69" t="s">
        <v>482</v>
      </c>
      <c r="G734" s="50" t="s">
        <v>483</v>
      </c>
      <c r="H734" s="29"/>
      <c r="I734" s="29" t="s">
        <v>257</v>
      </c>
      <c r="J734" s="29"/>
      <c r="K734" s="17" t="s">
        <v>484</v>
      </c>
      <c r="L734" s="29"/>
      <c r="M734" s="7" t="s">
        <v>26</v>
      </c>
    </row>
    <row r="735" spans="1:14" ht="15" hidden="1" customHeight="1">
      <c r="B735" s="29"/>
      <c r="C735" s="310"/>
      <c r="D735" s="29"/>
      <c r="E735" s="69" t="s">
        <v>485</v>
      </c>
      <c r="G735" s="50" t="s">
        <v>486</v>
      </c>
      <c r="H735" s="29"/>
      <c r="I735" s="29"/>
      <c r="J735" s="29"/>
      <c r="K735" s="17" t="s">
        <v>487</v>
      </c>
      <c r="L735" s="29"/>
    </row>
    <row r="736" spans="1:14" ht="15" hidden="1" customHeight="1">
      <c r="A736" s="311" t="s">
        <v>7</v>
      </c>
      <c r="B736" s="29"/>
      <c r="C736" s="50"/>
      <c r="D736" s="29"/>
      <c r="E736" s="69" t="s">
        <v>488</v>
      </c>
      <c r="G736" s="50" t="s">
        <v>489</v>
      </c>
      <c r="H736" s="29"/>
      <c r="I736" s="29"/>
      <c r="J736" s="29"/>
      <c r="K736" s="17" t="s">
        <v>490</v>
      </c>
      <c r="M736" s="7" t="s">
        <v>491</v>
      </c>
    </row>
    <row r="737" spans="1:13" ht="15" hidden="1" customHeight="1">
      <c r="A737" s="69" t="s">
        <v>492</v>
      </c>
      <c r="B737" s="29"/>
      <c r="C737" s="50"/>
      <c r="D737" s="29"/>
      <c r="E737" s="69" t="s">
        <v>477</v>
      </c>
      <c r="G737" s="50" t="s">
        <v>493</v>
      </c>
      <c r="H737" s="29"/>
      <c r="I737" s="307" t="s">
        <v>309</v>
      </c>
      <c r="J737" s="29"/>
      <c r="K737" s="17" t="s">
        <v>494</v>
      </c>
      <c r="M737" s="29" t="s">
        <v>79</v>
      </c>
    </row>
    <row r="738" spans="1:13" ht="15" hidden="1" customHeight="1">
      <c r="A738" s="69" t="s">
        <v>495</v>
      </c>
      <c r="B738" s="29"/>
      <c r="C738" s="50"/>
      <c r="D738" s="29"/>
      <c r="E738" s="69" t="s">
        <v>496</v>
      </c>
      <c r="G738" s="50" t="s">
        <v>497</v>
      </c>
      <c r="H738" s="29"/>
      <c r="I738" s="50" t="s">
        <v>498</v>
      </c>
      <c r="J738" s="29"/>
      <c r="K738" s="17" t="s">
        <v>499</v>
      </c>
      <c r="M738" s="29" t="s">
        <v>24</v>
      </c>
    </row>
    <row r="739" spans="1:13" ht="15" hidden="1" customHeight="1">
      <c r="A739" s="69" t="s">
        <v>500</v>
      </c>
      <c r="B739" s="29"/>
      <c r="C739" s="50"/>
      <c r="D739" s="29"/>
      <c r="E739" s="69" t="s">
        <v>501</v>
      </c>
      <c r="G739" s="50" t="s">
        <v>502</v>
      </c>
      <c r="H739" s="29"/>
      <c r="I739" s="50" t="s">
        <v>503</v>
      </c>
      <c r="J739" s="29"/>
      <c r="K739" s="17" t="s">
        <v>504</v>
      </c>
      <c r="M739" s="7" t="s">
        <v>505</v>
      </c>
    </row>
    <row r="740" spans="1:13" ht="15" hidden="1" customHeight="1">
      <c r="A740" s="69"/>
      <c r="B740" s="29"/>
      <c r="C740" s="50"/>
      <c r="D740" s="29"/>
      <c r="E740" s="69" t="s">
        <v>506</v>
      </c>
      <c r="G740" s="50" t="s">
        <v>507</v>
      </c>
      <c r="H740" s="29"/>
      <c r="I740" s="50" t="s">
        <v>310</v>
      </c>
      <c r="J740" s="29"/>
      <c r="K740" s="17" t="s">
        <v>508</v>
      </c>
    </row>
    <row r="741" spans="1:13" ht="15" hidden="1" customHeight="1">
      <c r="A741" s="311" t="s">
        <v>509</v>
      </c>
      <c r="B741" s="29"/>
      <c r="C741" s="50"/>
      <c r="D741" s="29"/>
      <c r="E741" s="69" t="s">
        <v>510</v>
      </c>
      <c r="G741" s="50" t="s">
        <v>511</v>
      </c>
      <c r="H741" s="29"/>
      <c r="I741" s="50" t="s">
        <v>512</v>
      </c>
      <c r="J741" s="29"/>
      <c r="K741" s="17" t="s">
        <v>513</v>
      </c>
    </row>
    <row r="742" spans="1:13" ht="15" hidden="1" customHeight="1">
      <c r="A742" s="69" t="s">
        <v>514</v>
      </c>
      <c r="B742" s="29"/>
      <c r="D742" s="29"/>
      <c r="E742" s="69" t="s">
        <v>515</v>
      </c>
      <c r="G742" s="50" t="s">
        <v>516</v>
      </c>
      <c r="H742" s="29"/>
      <c r="I742" s="29"/>
      <c r="J742" s="29"/>
      <c r="K742" s="17" t="s">
        <v>517</v>
      </c>
    </row>
    <row r="743" spans="1:13" ht="15" hidden="1" customHeight="1">
      <c r="A743" s="69" t="s">
        <v>513</v>
      </c>
      <c r="B743" s="29"/>
      <c r="D743" s="29"/>
      <c r="E743" s="69" t="s">
        <v>518</v>
      </c>
      <c r="G743" s="50" t="s">
        <v>519</v>
      </c>
      <c r="H743" s="29"/>
      <c r="I743" s="29"/>
      <c r="J743" s="29"/>
      <c r="K743" s="17" t="s">
        <v>520</v>
      </c>
    </row>
    <row r="744" spans="1:13" ht="15" hidden="1" customHeight="1">
      <c r="A744" s="69" t="s">
        <v>521</v>
      </c>
      <c r="B744" s="29"/>
      <c r="D744" s="29"/>
      <c r="E744" s="69" t="s">
        <v>522</v>
      </c>
      <c r="G744" s="50" t="s">
        <v>523</v>
      </c>
      <c r="H744" s="29"/>
      <c r="I744" s="29"/>
      <c r="J744" s="29"/>
      <c r="K744" s="17" t="s">
        <v>524</v>
      </c>
    </row>
    <row r="745" spans="1:13" ht="15" hidden="1" customHeight="1">
      <c r="A745" s="69" t="s">
        <v>525</v>
      </c>
      <c r="B745" s="29"/>
      <c r="D745" s="29"/>
      <c r="E745" s="69" t="s">
        <v>526</v>
      </c>
      <c r="G745" s="50" t="s">
        <v>527</v>
      </c>
      <c r="H745" s="29"/>
      <c r="I745" s="29"/>
      <c r="J745" s="29"/>
      <c r="K745" s="17" t="s">
        <v>528</v>
      </c>
    </row>
    <row r="746" spans="1:13" ht="15" hidden="1" customHeight="1">
      <c r="A746" s="69" t="s">
        <v>529</v>
      </c>
      <c r="B746" s="29"/>
      <c r="D746" s="29"/>
      <c r="E746" s="69" t="s">
        <v>530</v>
      </c>
      <c r="G746" s="50" t="s">
        <v>531</v>
      </c>
      <c r="H746" s="29"/>
      <c r="I746" s="29"/>
      <c r="J746" s="29"/>
      <c r="K746" s="17" t="s">
        <v>532</v>
      </c>
    </row>
    <row r="747" spans="1:13" ht="15" hidden="1" customHeight="1">
      <c r="A747" s="69" t="s">
        <v>533</v>
      </c>
      <c r="B747" s="29"/>
      <c r="D747" s="29"/>
      <c r="E747" s="69" t="s">
        <v>534</v>
      </c>
      <c r="G747" s="50" t="s">
        <v>535</v>
      </c>
      <c r="H747" s="29"/>
      <c r="I747" s="29"/>
      <c r="J747" s="29"/>
      <c r="K747" s="17" t="s">
        <v>536</v>
      </c>
    </row>
    <row r="748" spans="1:13" ht="15" hidden="1" customHeight="1">
      <c r="A748" s="69" t="s">
        <v>537</v>
      </c>
      <c r="B748" s="29"/>
      <c r="D748" s="29"/>
      <c r="E748" s="69" t="s">
        <v>538</v>
      </c>
      <c r="G748" s="50" t="s">
        <v>539</v>
      </c>
      <c r="H748" s="29"/>
      <c r="I748" s="29"/>
      <c r="J748" s="29"/>
      <c r="K748" s="17" t="s">
        <v>540</v>
      </c>
    </row>
    <row r="749" spans="1:13" ht="15" hidden="1" customHeight="1">
      <c r="A749" s="69" t="s">
        <v>541</v>
      </c>
      <c r="B749" s="29"/>
      <c r="D749" s="29"/>
      <c r="E749" s="69" t="s">
        <v>542</v>
      </c>
      <c r="G749" s="50" t="s">
        <v>543</v>
      </c>
      <c r="H749" s="29"/>
      <c r="I749" s="29"/>
      <c r="J749" s="29"/>
      <c r="K749" s="17" t="s">
        <v>544</v>
      </c>
    </row>
    <row r="750" spans="1:13" ht="15" hidden="1" customHeight="1">
      <c r="A750" s="69" t="s">
        <v>545</v>
      </c>
      <c r="E750" s="69" t="s">
        <v>546</v>
      </c>
      <c r="G750" s="50" t="s">
        <v>547</v>
      </c>
      <c r="H750" s="29"/>
      <c r="I750" s="29"/>
      <c r="J750" s="29"/>
      <c r="K750" s="17" t="s">
        <v>548</v>
      </c>
    </row>
    <row r="751" spans="1:13" ht="15" hidden="1" customHeight="1">
      <c r="A751" s="69" t="s">
        <v>549</v>
      </c>
      <c r="E751" s="69" t="s">
        <v>550</v>
      </c>
      <c r="G751" s="50" t="s">
        <v>551</v>
      </c>
      <c r="H751" s="29"/>
      <c r="I751" s="29"/>
      <c r="J751" s="29"/>
      <c r="K751" s="17" t="s">
        <v>552</v>
      </c>
    </row>
    <row r="752" spans="1:13" ht="15" hidden="1" customHeight="1">
      <c r="A752" s="69" t="s">
        <v>553</v>
      </c>
      <c r="E752" s="69" t="s">
        <v>554</v>
      </c>
      <c r="G752" s="50" t="s">
        <v>555</v>
      </c>
      <c r="H752" s="29"/>
      <c r="I752" s="29"/>
      <c r="J752" s="29"/>
      <c r="K752" s="17" t="s">
        <v>556</v>
      </c>
    </row>
    <row r="753" spans="1:11" ht="15" hidden="1" customHeight="1">
      <c r="A753" s="69" t="s">
        <v>557</v>
      </c>
      <c r="E753" s="69" t="s">
        <v>558</v>
      </c>
      <c r="G753" s="50" t="s">
        <v>559</v>
      </c>
      <c r="H753" s="29"/>
      <c r="I753" s="29"/>
      <c r="J753" s="29"/>
      <c r="K753" s="17" t="s">
        <v>560</v>
      </c>
    </row>
    <row r="754" spans="1:11" ht="15" hidden="1" customHeight="1">
      <c r="A754" s="69" t="s">
        <v>561</v>
      </c>
      <c r="E754" s="69" t="s">
        <v>562</v>
      </c>
      <c r="G754" s="50" t="s">
        <v>563</v>
      </c>
      <c r="H754" s="29"/>
      <c r="I754" s="29"/>
      <c r="J754" s="29"/>
      <c r="K754" s="17"/>
    </row>
    <row r="755" spans="1:11" ht="15" hidden="1" customHeight="1">
      <c r="A755" s="69" t="s">
        <v>564</v>
      </c>
      <c r="E755" s="69" t="s">
        <v>565</v>
      </c>
      <c r="G755" s="5" t="s">
        <v>566</v>
      </c>
      <c r="H755" s="29"/>
      <c r="I755" s="29"/>
      <c r="J755" s="29"/>
      <c r="K755" s="17"/>
    </row>
    <row r="756" spans="1:11" ht="15" hidden="1" customHeight="1">
      <c r="A756" s="69" t="s">
        <v>567</v>
      </c>
    </row>
    <row r="757" spans="1:11" ht="15" hidden="1" customHeight="1">
      <c r="A757" s="69" t="s">
        <v>568</v>
      </c>
    </row>
    <row r="758" spans="1:11" ht="15" hidden="1" customHeight="1">
      <c r="A758" s="69" t="s">
        <v>569</v>
      </c>
    </row>
    <row r="759" spans="1:11" ht="15" hidden="1" customHeight="1">
      <c r="A759" s="69" t="s">
        <v>570</v>
      </c>
    </row>
    <row r="760" spans="1:11" ht="15" hidden="1" customHeight="1">
      <c r="A760" s="69" t="s">
        <v>571</v>
      </c>
    </row>
    <row r="761" spans="1:11" ht="15" hidden="1" customHeight="1">
      <c r="A761" s="69" t="s">
        <v>572</v>
      </c>
    </row>
    <row r="762" spans="1:11" ht="15" hidden="1" customHeight="1">
      <c r="A762" s="69" t="s">
        <v>573</v>
      </c>
    </row>
    <row r="763" spans="1:11" ht="15" hidden="1" customHeight="1">
      <c r="A763" s="69" t="s">
        <v>574</v>
      </c>
    </row>
    <row r="764" spans="1:11" ht="15" hidden="1" customHeight="1">
      <c r="E764" s="319">
        <f ca="1">YEAR(TODAY())</f>
        <v>2026</v>
      </c>
    </row>
    <row r="765" spans="1:11" ht="15" hidden="1" customHeight="1">
      <c r="A765" s="320"/>
      <c r="C765" s="321"/>
      <c r="E765" s="177" t="s">
        <v>75</v>
      </c>
      <c r="G765" s="322" t="s">
        <v>575</v>
      </c>
      <c r="I765" s="314" t="s">
        <v>576</v>
      </c>
      <c r="K765" s="8">
        <v>2020</v>
      </c>
    </row>
    <row r="766" spans="1:11" ht="15" hidden="1" customHeight="1">
      <c r="A766" s="323"/>
      <c r="C766" s="5" t="s">
        <v>26</v>
      </c>
      <c r="E766" s="8" t="s">
        <v>26</v>
      </c>
      <c r="G766" s="5">
        <v>12500</v>
      </c>
      <c r="I766" s="7" t="s">
        <v>172</v>
      </c>
    </row>
    <row r="767" spans="1:11" ht="15" hidden="1" customHeight="1">
      <c r="A767" s="323"/>
      <c r="C767" s="5" t="s">
        <v>577</v>
      </c>
      <c r="E767" s="8" t="s">
        <v>578</v>
      </c>
      <c r="G767" s="5">
        <v>2</v>
      </c>
      <c r="I767" s="7" t="s">
        <v>175</v>
      </c>
      <c r="K767" s="8">
        <f ca="1">IF(K765="NOT APPLICABLE","NOT APPLICABLE",IF(K765="INFO NOT AVAILABLE","INFO NOT AVAILABLE",IF(K765&gt;YEAR(TODAY()),"ERRONOUS YEAR OF CONSTRUCTION",(E764-K765))))</f>
        <v>6</v>
      </c>
    </row>
    <row r="768" spans="1:11" ht="15" hidden="1" customHeight="1">
      <c r="A768" s="323"/>
      <c r="C768" s="5" t="s">
        <v>392</v>
      </c>
      <c r="E768" s="8">
        <v>2030</v>
      </c>
      <c r="G768" s="5">
        <v>3</v>
      </c>
      <c r="I768" s="7" t="s">
        <v>579</v>
      </c>
    </row>
    <row r="769" spans="1:9" ht="15" hidden="1" customHeight="1">
      <c r="A769" s="323"/>
      <c r="C769" s="5" t="s">
        <v>129</v>
      </c>
      <c r="E769" s="8">
        <v>2029</v>
      </c>
      <c r="G769" s="5">
        <v>4</v>
      </c>
      <c r="I769" s="7" t="s">
        <v>580</v>
      </c>
    </row>
    <row r="770" spans="1:9" ht="15" hidden="1" customHeight="1">
      <c r="A770" s="323"/>
      <c r="C770" s="5" t="s">
        <v>132</v>
      </c>
      <c r="E770" s="8">
        <v>2028</v>
      </c>
      <c r="G770" s="5">
        <v>5</v>
      </c>
      <c r="I770" s="7" t="s">
        <v>178</v>
      </c>
    </row>
    <row r="771" spans="1:9" ht="15" hidden="1" customHeight="1">
      <c r="A771" s="323"/>
      <c r="E771" s="8">
        <v>2027</v>
      </c>
      <c r="G771" s="5">
        <v>6</v>
      </c>
      <c r="I771" s="7" t="s">
        <v>581</v>
      </c>
    </row>
    <row r="772" spans="1:9" ht="15" hidden="1" customHeight="1">
      <c r="A772" s="323"/>
      <c r="E772" s="8">
        <v>2026</v>
      </c>
      <c r="G772" s="5">
        <v>7</v>
      </c>
      <c r="I772" s="7" t="s">
        <v>582</v>
      </c>
    </row>
    <row r="773" spans="1:9" ht="15" hidden="1" customHeight="1">
      <c r="A773" s="323"/>
      <c r="E773" s="8">
        <v>2025</v>
      </c>
      <c r="G773" s="5">
        <v>8</v>
      </c>
      <c r="I773" s="7" t="s">
        <v>583</v>
      </c>
    </row>
    <row r="774" spans="1:9" ht="15" hidden="1" customHeight="1">
      <c r="A774" s="323"/>
      <c r="E774" s="8">
        <v>2024</v>
      </c>
      <c r="G774" s="5">
        <v>9</v>
      </c>
      <c r="I774" s="7" t="s">
        <v>584</v>
      </c>
    </row>
    <row r="775" spans="1:9" ht="15" hidden="1" customHeight="1">
      <c r="A775" s="323"/>
      <c r="E775" s="8">
        <v>2023</v>
      </c>
      <c r="G775" s="5">
        <v>10</v>
      </c>
      <c r="I775" s="7" t="s">
        <v>585</v>
      </c>
    </row>
    <row r="776" spans="1:9" ht="15" hidden="1" customHeight="1">
      <c r="A776" s="323"/>
      <c r="E776" s="8">
        <v>2022</v>
      </c>
      <c r="G776" s="5">
        <v>11</v>
      </c>
    </row>
    <row r="777" spans="1:9" ht="15" hidden="1" customHeight="1">
      <c r="A777" s="323"/>
      <c r="E777" s="8">
        <v>2021</v>
      </c>
      <c r="G777" s="5">
        <v>12</v>
      </c>
    </row>
    <row r="778" spans="1:9" ht="15" hidden="1" customHeight="1">
      <c r="A778" s="323"/>
      <c r="E778" s="8">
        <v>2020</v>
      </c>
      <c r="G778" s="5">
        <v>13</v>
      </c>
    </row>
    <row r="779" spans="1:9" ht="15" hidden="1" customHeight="1">
      <c r="A779" s="323"/>
      <c r="E779" s="8">
        <v>2019</v>
      </c>
      <c r="G779" s="5">
        <v>14</v>
      </c>
    </row>
    <row r="780" spans="1:9" ht="15" hidden="1" customHeight="1">
      <c r="A780" s="323"/>
      <c r="E780" s="8">
        <v>2018</v>
      </c>
      <c r="G780" s="5">
        <v>15</v>
      </c>
    </row>
    <row r="781" spans="1:9" ht="15" hidden="1" customHeight="1">
      <c r="A781" s="323"/>
      <c r="E781" s="8">
        <v>2017</v>
      </c>
      <c r="G781" s="5">
        <v>16</v>
      </c>
    </row>
    <row r="782" spans="1:9" ht="15" hidden="1" customHeight="1">
      <c r="A782" s="323"/>
      <c r="E782" s="8">
        <v>2016</v>
      </c>
      <c r="G782" s="5">
        <v>17</v>
      </c>
    </row>
    <row r="783" spans="1:9" ht="15" hidden="1" customHeight="1">
      <c r="A783" s="323"/>
      <c r="E783" s="8">
        <v>2015</v>
      </c>
      <c r="G783" s="5">
        <v>18</v>
      </c>
    </row>
    <row r="784" spans="1:9" ht="15" hidden="1" customHeight="1">
      <c r="A784" s="323"/>
      <c r="E784" s="8">
        <v>2014</v>
      </c>
      <c r="G784" s="5">
        <v>19</v>
      </c>
    </row>
    <row r="785" spans="1:7" ht="15" hidden="1" customHeight="1">
      <c r="A785" s="323"/>
      <c r="E785" s="8">
        <v>2013</v>
      </c>
      <c r="G785" s="5">
        <v>20</v>
      </c>
    </row>
    <row r="786" spans="1:7" ht="15" hidden="1" customHeight="1">
      <c r="A786" s="323"/>
      <c r="E786" s="8">
        <v>2012</v>
      </c>
      <c r="G786" s="5">
        <v>21</v>
      </c>
    </row>
    <row r="787" spans="1:7" ht="15" hidden="1" customHeight="1">
      <c r="A787" s="323"/>
      <c r="E787" s="8">
        <v>2011</v>
      </c>
      <c r="G787" s="5">
        <v>22</v>
      </c>
    </row>
    <row r="788" spans="1:7" ht="15" hidden="1" customHeight="1">
      <c r="A788" s="323"/>
      <c r="E788" s="8">
        <v>2010</v>
      </c>
      <c r="G788" s="5">
        <v>23</v>
      </c>
    </row>
    <row r="789" spans="1:7" ht="15" hidden="1" customHeight="1">
      <c r="A789" s="323"/>
      <c r="E789" s="8">
        <v>2009</v>
      </c>
      <c r="G789" s="5">
        <v>24</v>
      </c>
    </row>
    <row r="790" spans="1:7" ht="15" hidden="1" customHeight="1">
      <c r="A790" s="323"/>
      <c r="E790" s="8">
        <v>2008</v>
      </c>
      <c r="G790" s="5">
        <v>25</v>
      </c>
    </row>
    <row r="791" spans="1:7" ht="15" hidden="1" customHeight="1">
      <c r="A791" s="323"/>
      <c r="E791" s="8">
        <v>2007</v>
      </c>
      <c r="G791" s="5">
        <v>26</v>
      </c>
    </row>
    <row r="792" spans="1:7" ht="15" hidden="1" customHeight="1">
      <c r="A792" s="323"/>
      <c r="E792" s="8">
        <v>2006</v>
      </c>
      <c r="G792" s="5">
        <v>27</v>
      </c>
    </row>
    <row r="793" spans="1:7" ht="15" hidden="1" customHeight="1">
      <c r="A793" s="323"/>
      <c r="E793" s="8">
        <v>2005</v>
      </c>
      <c r="G793" s="5">
        <v>28</v>
      </c>
    </row>
    <row r="794" spans="1:7" ht="15" hidden="1" customHeight="1">
      <c r="A794" s="323"/>
      <c r="E794" s="8">
        <v>2004</v>
      </c>
      <c r="G794" s="5">
        <v>29</v>
      </c>
    </row>
    <row r="795" spans="1:7" ht="15" hidden="1" customHeight="1">
      <c r="A795" s="323"/>
      <c r="E795" s="8">
        <v>2003</v>
      </c>
      <c r="G795" s="5">
        <v>30</v>
      </c>
    </row>
    <row r="796" spans="1:7" ht="15" hidden="1" customHeight="1">
      <c r="A796" s="323"/>
      <c r="E796" s="8">
        <v>2002</v>
      </c>
      <c r="G796" s="5">
        <v>31</v>
      </c>
    </row>
    <row r="797" spans="1:7" ht="15" hidden="1" customHeight="1">
      <c r="A797" s="323"/>
      <c r="E797" s="8">
        <v>2001</v>
      </c>
      <c r="G797" s="5">
        <v>32</v>
      </c>
    </row>
    <row r="798" spans="1:7" ht="15" hidden="1" customHeight="1">
      <c r="A798" s="323"/>
      <c r="E798" s="8">
        <v>2000</v>
      </c>
      <c r="G798" s="5">
        <v>33</v>
      </c>
    </row>
    <row r="799" spans="1:7" ht="15" hidden="1" customHeight="1">
      <c r="A799" s="323"/>
      <c r="E799" s="8">
        <v>1999</v>
      </c>
      <c r="G799" s="5">
        <v>34</v>
      </c>
    </row>
    <row r="800" spans="1:7" ht="15" hidden="1" customHeight="1">
      <c r="A800" s="323"/>
      <c r="E800" s="8">
        <v>1998</v>
      </c>
      <c r="G800" s="5">
        <v>35</v>
      </c>
    </row>
    <row r="801" spans="1:7" ht="15" hidden="1" customHeight="1">
      <c r="A801" s="323"/>
      <c r="E801" s="8">
        <v>1997</v>
      </c>
      <c r="G801" s="5">
        <v>36</v>
      </c>
    </row>
    <row r="802" spans="1:7" ht="15" hidden="1" customHeight="1">
      <c r="A802" s="323"/>
      <c r="E802" s="8">
        <v>1996</v>
      </c>
      <c r="G802" s="5">
        <v>37</v>
      </c>
    </row>
    <row r="803" spans="1:7" ht="15" hidden="1" customHeight="1">
      <c r="A803" s="323"/>
      <c r="E803" s="8">
        <v>1995</v>
      </c>
      <c r="G803" s="5">
        <v>38</v>
      </c>
    </row>
    <row r="804" spans="1:7" ht="15" hidden="1" customHeight="1">
      <c r="A804" s="323"/>
      <c r="E804" s="8">
        <v>1994</v>
      </c>
      <c r="G804" s="5">
        <v>39</v>
      </c>
    </row>
    <row r="805" spans="1:7" ht="15" hidden="1" customHeight="1">
      <c r="A805" s="323"/>
      <c r="E805" s="8">
        <v>1993</v>
      </c>
      <c r="G805" s="5">
        <v>40</v>
      </c>
    </row>
    <row r="806" spans="1:7" ht="15" hidden="1" customHeight="1">
      <c r="A806" s="323"/>
      <c r="E806" s="8">
        <v>1992</v>
      </c>
      <c r="G806" s="5">
        <v>41</v>
      </c>
    </row>
    <row r="807" spans="1:7" ht="15" hidden="1" customHeight="1">
      <c r="A807" s="323"/>
      <c r="E807" s="8">
        <v>1991</v>
      </c>
      <c r="G807" s="5">
        <v>42</v>
      </c>
    </row>
    <row r="808" spans="1:7" ht="15" hidden="1" customHeight="1">
      <c r="A808" s="323"/>
      <c r="E808" s="8">
        <v>1990</v>
      </c>
      <c r="G808" s="5">
        <v>43</v>
      </c>
    </row>
    <row r="809" spans="1:7" ht="15" hidden="1" customHeight="1">
      <c r="A809" s="323"/>
      <c r="E809" s="8">
        <v>1989</v>
      </c>
      <c r="G809" s="5">
        <v>44</v>
      </c>
    </row>
    <row r="810" spans="1:7" ht="15" hidden="1" customHeight="1">
      <c r="A810" s="323"/>
      <c r="E810" s="8">
        <v>1988</v>
      </c>
      <c r="G810" s="5">
        <v>45</v>
      </c>
    </row>
    <row r="811" spans="1:7" ht="15" hidden="1" customHeight="1">
      <c r="A811" s="323"/>
      <c r="E811" s="8">
        <v>1987</v>
      </c>
      <c r="G811" s="5">
        <v>46</v>
      </c>
    </row>
    <row r="812" spans="1:7" ht="15" hidden="1" customHeight="1">
      <c r="A812" s="323"/>
      <c r="E812" s="8">
        <v>1986</v>
      </c>
      <c r="G812" s="5">
        <v>47</v>
      </c>
    </row>
    <row r="813" spans="1:7" ht="15" hidden="1" customHeight="1">
      <c r="A813" s="323"/>
      <c r="E813" s="8">
        <v>1985</v>
      </c>
      <c r="G813" s="5">
        <v>48</v>
      </c>
    </row>
    <row r="814" spans="1:7" ht="15" hidden="1" customHeight="1">
      <c r="A814" s="323"/>
      <c r="E814" s="8">
        <v>1984</v>
      </c>
      <c r="G814" s="5">
        <v>49</v>
      </c>
    </row>
    <row r="815" spans="1:7" ht="15" hidden="1" customHeight="1">
      <c r="A815" s="323"/>
      <c r="E815" s="8">
        <v>1983</v>
      </c>
      <c r="G815" s="5">
        <v>50</v>
      </c>
    </row>
    <row r="816" spans="1:7" ht="15" hidden="1" customHeight="1">
      <c r="A816" s="323"/>
      <c r="E816" s="8">
        <v>1982</v>
      </c>
    </row>
    <row r="817" spans="1:5" ht="15" hidden="1" customHeight="1">
      <c r="A817" s="323"/>
      <c r="E817" s="8">
        <v>1981</v>
      </c>
    </row>
    <row r="818" spans="1:5" ht="15" hidden="1" customHeight="1">
      <c r="A818" s="323"/>
      <c r="E818" s="8">
        <v>1980</v>
      </c>
    </row>
    <row r="819" spans="1:5" ht="15" hidden="1" customHeight="1">
      <c r="A819" s="323"/>
      <c r="E819" s="8">
        <v>1979</v>
      </c>
    </row>
    <row r="820" spans="1:5" ht="15" hidden="1" customHeight="1">
      <c r="A820" s="323"/>
      <c r="E820" s="8">
        <v>1978</v>
      </c>
    </row>
    <row r="821" spans="1:5" ht="15" hidden="1" customHeight="1">
      <c r="A821" s="323"/>
      <c r="E821" s="8">
        <v>1977</v>
      </c>
    </row>
    <row r="822" spans="1:5" ht="15" hidden="1" customHeight="1">
      <c r="A822" s="323"/>
      <c r="E822" s="8">
        <v>1976</v>
      </c>
    </row>
    <row r="823" spans="1:5" ht="15" hidden="1" customHeight="1">
      <c r="A823" s="323"/>
      <c r="E823" s="8">
        <v>1975</v>
      </c>
    </row>
    <row r="824" spans="1:5" ht="15" hidden="1" customHeight="1">
      <c r="A824" s="323"/>
      <c r="E824" s="8">
        <v>1974</v>
      </c>
    </row>
    <row r="825" spans="1:5" ht="15" hidden="1" customHeight="1">
      <c r="A825" s="323"/>
      <c r="E825" s="8">
        <v>1973</v>
      </c>
    </row>
    <row r="826" spans="1:5" ht="15" hidden="1" customHeight="1">
      <c r="A826" s="323"/>
      <c r="E826" s="8">
        <v>1972</v>
      </c>
    </row>
    <row r="827" spans="1:5" ht="15" hidden="1" customHeight="1">
      <c r="A827" s="323"/>
      <c r="E827" s="8">
        <v>1971</v>
      </c>
    </row>
    <row r="828" spans="1:5" ht="15" hidden="1" customHeight="1">
      <c r="A828" s="323"/>
      <c r="E828" s="8">
        <v>1970</v>
      </c>
    </row>
    <row r="829" spans="1:5" ht="15" hidden="1" customHeight="1">
      <c r="A829" s="323"/>
      <c r="E829" s="8">
        <v>1969</v>
      </c>
    </row>
    <row r="830" spans="1:5" ht="15" hidden="1" customHeight="1">
      <c r="A830" s="323"/>
      <c r="E830" s="8">
        <v>1968</v>
      </c>
    </row>
    <row r="831" spans="1:5" ht="15" hidden="1" customHeight="1">
      <c r="A831" s="323"/>
      <c r="E831" s="8">
        <v>1967</v>
      </c>
    </row>
    <row r="832" spans="1:5" ht="15" hidden="1" customHeight="1">
      <c r="A832" s="323"/>
      <c r="E832" s="8">
        <v>1966</v>
      </c>
    </row>
    <row r="833" spans="1:5" ht="15" hidden="1" customHeight="1">
      <c r="A833" s="323"/>
      <c r="E833" s="8">
        <v>1965</v>
      </c>
    </row>
    <row r="834" spans="1:5" ht="15" hidden="1" customHeight="1">
      <c r="A834" s="323"/>
      <c r="E834" s="8">
        <v>1964</v>
      </c>
    </row>
    <row r="835" spans="1:5" ht="15" hidden="1" customHeight="1">
      <c r="A835" s="323"/>
      <c r="E835" s="8">
        <v>1963</v>
      </c>
    </row>
    <row r="836" spans="1:5" ht="15" hidden="1" customHeight="1">
      <c r="A836" s="323"/>
      <c r="E836" s="8">
        <v>1962</v>
      </c>
    </row>
    <row r="837" spans="1:5" ht="15" hidden="1" customHeight="1">
      <c r="A837" s="323"/>
      <c r="E837" s="8">
        <v>1961</v>
      </c>
    </row>
    <row r="838" spans="1:5" ht="15" hidden="1" customHeight="1">
      <c r="A838" s="323"/>
      <c r="E838" s="8">
        <v>1960</v>
      </c>
    </row>
    <row r="839" spans="1:5" ht="15" hidden="1" customHeight="1">
      <c r="A839" s="323"/>
      <c r="E839" s="8">
        <v>1959</v>
      </c>
    </row>
    <row r="840" spans="1:5" ht="15" hidden="1" customHeight="1">
      <c r="A840" s="323"/>
      <c r="E840" s="8">
        <v>1958</v>
      </c>
    </row>
    <row r="841" spans="1:5" ht="15" hidden="1" customHeight="1">
      <c r="A841" s="323"/>
      <c r="E841" s="8">
        <v>1957</v>
      </c>
    </row>
    <row r="842" spans="1:5" ht="15" hidden="1" customHeight="1">
      <c r="A842" s="323"/>
      <c r="E842" s="8">
        <v>1956</v>
      </c>
    </row>
    <row r="843" spans="1:5" ht="15" hidden="1" customHeight="1">
      <c r="A843" s="323"/>
      <c r="E843" s="8">
        <v>1955</v>
      </c>
    </row>
    <row r="844" spans="1:5" ht="15" hidden="1" customHeight="1">
      <c r="A844" s="323"/>
      <c r="E844" s="8">
        <v>1954</v>
      </c>
    </row>
    <row r="845" spans="1:5" ht="15" hidden="1" customHeight="1">
      <c r="A845" s="323"/>
      <c r="E845" s="8">
        <v>1953</v>
      </c>
    </row>
    <row r="846" spans="1:5" ht="15" hidden="1" customHeight="1">
      <c r="A846" s="323"/>
      <c r="E846" s="8">
        <v>1952</v>
      </c>
    </row>
    <row r="847" spans="1:5" ht="15" hidden="1" customHeight="1">
      <c r="A847" s="323"/>
      <c r="E847" s="8">
        <v>1951</v>
      </c>
    </row>
    <row r="848" spans="1:5" ht="15" hidden="1" customHeight="1">
      <c r="A848" s="323"/>
      <c r="E848" s="8">
        <v>1950</v>
      </c>
    </row>
    <row r="849" spans="1:5" ht="15" hidden="1" customHeight="1">
      <c r="A849" s="323"/>
      <c r="E849" s="8">
        <v>1949</v>
      </c>
    </row>
    <row r="850" spans="1:5" ht="15" hidden="1" customHeight="1">
      <c r="A850" s="323"/>
      <c r="E850" s="8">
        <v>1948</v>
      </c>
    </row>
    <row r="851" spans="1:5" ht="15" hidden="1" customHeight="1">
      <c r="A851" s="323"/>
      <c r="E851" s="8">
        <v>1947</v>
      </c>
    </row>
    <row r="852" spans="1:5" ht="15" hidden="1" customHeight="1">
      <c r="A852" s="323"/>
      <c r="E852" s="8">
        <v>1946</v>
      </c>
    </row>
    <row r="853" spans="1:5" ht="15" hidden="1" customHeight="1">
      <c r="A853" s="323"/>
      <c r="E853" s="8">
        <v>1945</v>
      </c>
    </row>
    <row r="854" spans="1:5" ht="15" hidden="1" customHeight="1">
      <c r="A854" s="323"/>
      <c r="E854" s="8">
        <v>1944</v>
      </c>
    </row>
    <row r="855" spans="1:5" ht="15" hidden="1" customHeight="1">
      <c r="A855" s="323"/>
      <c r="E855" s="8">
        <v>1943</v>
      </c>
    </row>
    <row r="856" spans="1:5" ht="15" hidden="1" customHeight="1">
      <c r="A856" s="323"/>
      <c r="E856" s="8">
        <v>1942</v>
      </c>
    </row>
    <row r="857" spans="1:5" ht="15" hidden="1" customHeight="1">
      <c r="A857" s="323"/>
      <c r="E857" s="8">
        <v>1941</v>
      </c>
    </row>
    <row r="858" spans="1:5" ht="15" hidden="1" customHeight="1">
      <c r="A858" s="323"/>
      <c r="E858" s="8">
        <v>1940</v>
      </c>
    </row>
    <row r="859" spans="1:5" ht="15" hidden="1" customHeight="1">
      <c r="A859" s="323"/>
      <c r="E859" s="8">
        <v>1939</v>
      </c>
    </row>
    <row r="860" spans="1:5" ht="15" hidden="1" customHeight="1">
      <c r="A860" s="323"/>
      <c r="E860" s="8">
        <v>1938</v>
      </c>
    </row>
    <row r="861" spans="1:5" ht="15" hidden="1" customHeight="1">
      <c r="A861" s="323"/>
      <c r="E861" s="8">
        <v>1937</v>
      </c>
    </row>
    <row r="862" spans="1:5" ht="15" hidden="1" customHeight="1">
      <c r="A862" s="323"/>
      <c r="E862" s="8">
        <v>1936</v>
      </c>
    </row>
    <row r="863" spans="1:5" ht="15" hidden="1" customHeight="1">
      <c r="A863" s="323"/>
      <c r="E863" s="8">
        <v>1935</v>
      </c>
    </row>
    <row r="864" spans="1:5" ht="15" hidden="1" customHeight="1">
      <c r="A864" s="323"/>
      <c r="E864" s="8">
        <v>1934</v>
      </c>
    </row>
    <row r="865" spans="1:5" ht="15" hidden="1" customHeight="1">
      <c r="A865" s="323"/>
      <c r="E865" s="8">
        <v>1933</v>
      </c>
    </row>
    <row r="866" spans="1:5" ht="15" hidden="1" customHeight="1">
      <c r="A866" s="323"/>
      <c r="E866" s="8">
        <v>1932</v>
      </c>
    </row>
    <row r="867" spans="1:5" ht="15" hidden="1" customHeight="1">
      <c r="A867" s="323"/>
      <c r="E867" s="8">
        <v>1931</v>
      </c>
    </row>
    <row r="868" spans="1:5" ht="15" hidden="1" customHeight="1">
      <c r="A868" s="323"/>
      <c r="E868" s="8">
        <v>1930</v>
      </c>
    </row>
    <row r="869" spans="1:5" ht="15" hidden="1" customHeight="1">
      <c r="A869" s="323"/>
      <c r="E869" s="8">
        <v>1929</v>
      </c>
    </row>
    <row r="870" spans="1:5" ht="15" hidden="1" customHeight="1">
      <c r="A870" s="323"/>
      <c r="E870" s="8">
        <v>1928</v>
      </c>
    </row>
    <row r="871" spans="1:5" ht="15" hidden="1" customHeight="1">
      <c r="A871" s="323"/>
      <c r="E871" s="8">
        <v>1927</v>
      </c>
    </row>
    <row r="872" spans="1:5" ht="15" hidden="1" customHeight="1">
      <c r="A872" s="323"/>
      <c r="E872" s="8">
        <v>1926</v>
      </c>
    </row>
    <row r="873" spans="1:5" ht="15" hidden="1" customHeight="1">
      <c r="A873" s="323"/>
      <c r="E873" s="8">
        <v>1925</v>
      </c>
    </row>
    <row r="874" spans="1:5" ht="15" hidden="1" customHeight="1">
      <c r="A874" s="323"/>
      <c r="E874" s="8">
        <v>1924</v>
      </c>
    </row>
    <row r="875" spans="1:5" ht="15" hidden="1" customHeight="1">
      <c r="A875" s="323"/>
      <c r="E875" s="8">
        <v>1923</v>
      </c>
    </row>
    <row r="876" spans="1:5" ht="15" hidden="1" customHeight="1">
      <c r="A876" s="323"/>
      <c r="E876" s="8">
        <v>1922</v>
      </c>
    </row>
    <row r="877" spans="1:5" ht="15" hidden="1" customHeight="1">
      <c r="A877" s="323"/>
      <c r="E877" s="8">
        <v>1921</v>
      </c>
    </row>
    <row r="878" spans="1:5" ht="15" hidden="1" customHeight="1">
      <c r="A878" s="323"/>
      <c r="E878" s="8">
        <v>1920</v>
      </c>
    </row>
    <row r="879" spans="1:5" ht="15" hidden="1" customHeight="1">
      <c r="A879" s="323"/>
      <c r="E879" s="8">
        <v>1919</v>
      </c>
    </row>
    <row r="880" spans="1:5" ht="15" hidden="1" customHeight="1">
      <c r="A880" s="323"/>
      <c r="E880" s="8">
        <v>1918</v>
      </c>
    </row>
    <row r="881" spans="1:5" ht="15" hidden="1" customHeight="1">
      <c r="A881" s="323"/>
      <c r="E881" s="8">
        <v>1917</v>
      </c>
    </row>
    <row r="882" spans="1:5" ht="15" hidden="1" customHeight="1">
      <c r="A882" s="323"/>
      <c r="E882" s="8">
        <v>1916</v>
      </c>
    </row>
    <row r="883" spans="1:5" ht="15" hidden="1" customHeight="1">
      <c r="A883" s="323"/>
      <c r="E883" s="8">
        <v>1915</v>
      </c>
    </row>
    <row r="884" spans="1:5" ht="15" hidden="1" customHeight="1">
      <c r="A884" s="323"/>
      <c r="E884" s="8">
        <v>1914</v>
      </c>
    </row>
    <row r="885" spans="1:5" ht="15" hidden="1" customHeight="1">
      <c r="A885" s="323"/>
      <c r="E885" s="8">
        <v>1913</v>
      </c>
    </row>
    <row r="886" spans="1:5" ht="15" hidden="1" customHeight="1">
      <c r="A886" s="323"/>
      <c r="E886" s="8">
        <v>1912</v>
      </c>
    </row>
    <row r="887" spans="1:5" ht="15" hidden="1" customHeight="1">
      <c r="A887" s="323"/>
      <c r="E887" s="8">
        <v>1911</v>
      </c>
    </row>
    <row r="888" spans="1:5" ht="15" hidden="1" customHeight="1">
      <c r="A888" s="323"/>
      <c r="E888" s="8">
        <v>1910</v>
      </c>
    </row>
    <row r="889" spans="1:5" ht="15" hidden="1" customHeight="1">
      <c r="A889" s="323"/>
      <c r="E889" s="8">
        <v>1909</v>
      </c>
    </row>
    <row r="890" spans="1:5" ht="15" hidden="1" customHeight="1">
      <c r="A890" s="323"/>
      <c r="E890" s="8">
        <v>1908</v>
      </c>
    </row>
    <row r="891" spans="1:5" ht="15" hidden="1" customHeight="1">
      <c r="A891" s="323"/>
      <c r="E891" s="8">
        <v>1907</v>
      </c>
    </row>
    <row r="892" spans="1:5" ht="15" hidden="1" customHeight="1">
      <c r="A892" s="323"/>
      <c r="E892" s="8">
        <v>1906</v>
      </c>
    </row>
    <row r="893" spans="1:5" ht="15" hidden="1" customHeight="1">
      <c r="A893" s="323"/>
      <c r="E893" s="8">
        <v>1905</v>
      </c>
    </row>
    <row r="894" spans="1:5" ht="15" hidden="1" customHeight="1">
      <c r="A894" s="323"/>
      <c r="E894" s="8">
        <v>1904</v>
      </c>
    </row>
    <row r="895" spans="1:5" ht="15" hidden="1" customHeight="1">
      <c r="A895" s="323"/>
      <c r="E895" s="8">
        <v>1903</v>
      </c>
    </row>
    <row r="896" spans="1:5" ht="15" hidden="1" customHeight="1">
      <c r="A896" s="323"/>
      <c r="E896" s="8">
        <v>1902</v>
      </c>
    </row>
    <row r="897" spans="1:11" ht="15" hidden="1" customHeight="1">
      <c r="A897" s="323"/>
      <c r="E897" s="8">
        <v>1901</v>
      </c>
    </row>
    <row r="898" spans="1:11" ht="15" hidden="1" customHeight="1">
      <c r="A898" s="323"/>
      <c r="E898" s="8">
        <v>1900</v>
      </c>
    </row>
    <row r="899" spans="1:11" ht="15" customHeight="1"/>
    <row r="900" spans="1:11" ht="15" hidden="1" customHeight="1">
      <c r="A900" s="324" t="s">
        <v>33</v>
      </c>
      <c r="B900" s="29"/>
      <c r="C900" s="325" t="str">
        <f>IF(OR(C39=" ",C39="NA",C39="na"),"",C39)</f>
        <v xml:space="preserve"> Door. No.1-197 (As per Doc &amp; Tax)</v>
      </c>
      <c r="D900" s="54"/>
      <c r="E900" s="177" t="s">
        <v>34</v>
      </c>
      <c r="G900" s="54" t="str">
        <f>IF(OR(G39="",G39="NA",G39="na"),"",G39)</f>
        <v/>
      </c>
      <c r="I900" s="332" t="s">
        <v>17</v>
      </c>
      <c r="J900" s="29"/>
      <c r="K900" s="110" t="str">
        <f>IF(OR(K39="",K39="NA",K39="na"),"",K39)</f>
        <v>Ground Floor</v>
      </c>
    </row>
    <row r="901" spans="1:11" ht="15" hidden="1" customHeight="1">
      <c r="A901" s="69"/>
      <c r="B901" s="29"/>
      <c r="C901" s="54"/>
      <c r="D901" s="54"/>
      <c r="E901" s="69"/>
      <c r="G901" s="326"/>
      <c r="I901" s="29"/>
      <c r="J901" s="29"/>
      <c r="K901" s="333"/>
    </row>
    <row r="902" spans="1:11" ht="15" hidden="1" customHeight="1">
      <c r="A902" s="327" t="s">
        <v>16</v>
      </c>
      <c r="B902" s="29"/>
      <c r="C902" s="325" t="str">
        <f>IF(OR(C41=" ",C41="NA",C41="na"),"",C41)</f>
        <v/>
      </c>
      <c r="D902" s="54"/>
      <c r="E902" s="182" t="s">
        <v>36</v>
      </c>
      <c r="F902" s="29"/>
      <c r="G902" s="325" t="str">
        <f>IF(OR(G41=" ",G41="NA",G41="na"),"",G41)</f>
        <v/>
      </c>
      <c r="I902" s="334" t="s">
        <v>37</v>
      </c>
      <c r="K902" s="147" t="str">
        <f>IF(OR(K41=" ",K41="NA",K41="na"),"",K41)</f>
        <v/>
      </c>
    </row>
    <row r="903" spans="1:11" ht="15" hidden="1" customHeight="1">
      <c r="A903" s="69"/>
      <c r="B903" s="29"/>
      <c r="C903" s="326"/>
      <c r="D903" s="54"/>
      <c r="E903" s="69"/>
      <c r="F903" s="29"/>
      <c r="G903" s="326"/>
      <c r="I903" s="29"/>
      <c r="K903" s="333"/>
    </row>
    <row r="904" spans="1:11" ht="15" hidden="1" customHeight="1">
      <c r="A904" s="328" t="s">
        <v>38</v>
      </c>
      <c r="B904" s="29"/>
      <c r="C904" s="325" t="str">
        <f>IF(OR(C43=" ",C43="NA",C43="na"),"",C43)</f>
        <v>100</v>
      </c>
      <c r="D904" s="54"/>
      <c r="E904" s="177" t="s">
        <v>39</v>
      </c>
      <c r="F904" s="29"/>
      <c r="G904" s="325" t="str">
        <f>IF(OR(G43=" ",G43="NA",G43="na"),"",G43)</f>
        <v/>
      </c>
      <c r="I904" s="332" t="s">
        <v>40</v>
      </c>
      <c r="J904" s="29"/>
      <c r="K904" s="147" t="str">
        <f>IF(OR(K43=" ",K43="NA",K43="na"),"",K43)</f>
        <v/>
      </c>
    </row>
    <row r="905" spans="1:11" ht="15" hidden="1" customHeight="1">
      <c r="A905" s="69"/>
      <c r="B905" s="29"/>
      <c r="C905" s="326"/>
      <c r="D905" s="54"/>
      <c r="E905" s="69"/>
      <c r="F905" s="29"/>
      <c r="G905" s="326"/>
      <c r="I905" s="29"/>
      <c r="J905" s="29"/>
      <c r="K905" s="335"/>
    </row>
    <row r="906" spans="1:11" ht="15" hidden="1" customHeight="1">
      <c r="A906" s="182" t="s">
        <v>41</v>
      </c>
      <c r="B906" s="29"/>
      <c r="C906" s="325" t="str">
        <f>IF(OR(C45=" ",C45="NA",C45="na"),"",C45)</f>
        <v>Seesali</v>
      </c>
      <c r="E906" s="327" t="s">
        <v>586</v>
      </c>
      <c r="G906" s="325" t="str">
        <f>IF(OR(G45=" ",G45="NA",G45="na"),"",G45)</f>
        <v>Ambedkar statue</v>
      </c>
      <c r="H906" s="29"/>
      <c r="I906" s="327" t="s">
        <v>43</v>
      </c>
      <c r="K906" s="325" t="str">
        <f>IF(OR(K45=" ",K45="NA",K45="na"),"",K45)</f>
        <v/>
      </c>
    </row>
    <row r="907" spans="1:11" ht="15" hidden="1" customHeight="1">
      <c r="D907" s="329"/>
    </row>
    <row r="908" spans="1:11" ht="15" hidden="1" customHeight="1">
      <c r="A908" s="328" t="s">
        <v>587</v>
      </c>
      <c r="B908" s="29"/>
      <c r="C908" s="325" t="str">
        <f>IF(OR(C47=" ",C47="NA",C47="na"),"",C47)</f>
        <v>534237</v>
      </c>
      <c r="D908" s="54"/>
      <c r="E908" s="177"/>
      <c r="F908" s="29"/>
      <c r="G908" s="101"/>
      <c r="H908" s="29"/>
      <c r="I908" s="332"/>
      <c r="J908" s="29"/>
      <c r="K908" s="213"/>
    </row>
    <row r="909" spans="1:11" ht="15" hidden="1" customHeight="1">
      <c r="A909" s="69"/>
      <c r="B909" s="29"/>
      <c r="C909" s="54"/>
      <c r="D909" s="54"/>
      <c r="E909" s="69"/>
      <c r="F909" s="29"/>
      <c r="G909" s="50"/>
      <c r="H909" s="29"/>
      <c r="I909" s="29"/>
      <c r="J909" s="29"/>
    </row>
    <row r="910" spans="1:11" ht="15" hidden="1" customHeight="1">
      <c r="A910" s="327" t="s">
        <v>588</v>
      </c>
      <c r="B910" s="29"/>
      <c r="C910" s="325" t="str">
        <f>IF(OR(G47=" ",G47="NA",G47="na"),"",G47)</f>
        <v>Seesali</v>
      </c>
      <c r="E910" s="182"/>
      <c r="F910" s="29"/>
      <c r="G910" s="193"/>
      <c r="H910" s="29"/>
      <c r="I910" s="334"/>
      <c r="J910" s="29"/>
      <c r="K910" s="104"/>
    </row>
    <row r="911" spans="1:11" ht="15" hidden="1" customHeight="1">
      <c r="A911" s="69"/>
      <c r="B911" s="29"/>
      <c r="E911" s="69"/>
      <c r="F911" s="29"/>
      <c r="G911" s="50"/>
      <c r="H911" s="29"/>
      <c r="I911" s="29"/>
      <c r="J911" s="29"/>
      <c r="K911" s="17"/>
    </row>
    <row r="912" spans="1:11" ht="15" hidden="1" customHeight="1">
      <c r="A912" s="324" t="s">
        <v>46</v>
      </c>
      <c r="B912" s="92"/>
      <c r="C912" s="325" t="str">
        <f>IF(OR(K47=" ",K47="NA",K47="na"),"",K47)</f>
        <v>Seesali</v>
      </c>
      <c r="D912" s="326"/>
      <c r="E912" s="177"/>
      <c r="F912" s="29"/>
      <c r="G912" s="101"/>
      <c r="H912" s="29"/>
      <c r="I912" s="332"/>
      <c r="J912" s="29"/>
      <c r="K912" s="213"/>
    </row>
    <row r="913" spans="1:11" ht="15" hidden="1" customHeight="1">
      <c r="A913" s="271"/>
      <c r="B913" s="92"/>
      <c r="C913" s="326"/>
      <c r="D913" s="326"/>
      <c r="E913" s="69"/>
      <c r="F913" s="29"/>
      <c r="G913" s="50"/>
      <c r="H913" s="29"/>
      <c r="I913" s="29"/>
      <c r="J913" s="29"/>
      <c r="K913" s="17"/>
    </row>
    <row r="914" spans="1:11" ht="15" hidden="1" customHeight="1">
      <c r="A914" s="327" t="s">
        <v>47</v>
      </c>
      <c r="B914" s="29"/>
      <c r="C914" s="325" t="str">
        <f>IF(OR(C49=" ",C49="NA",C49="na"),"",C49)</f>
        <v>West Godavari District</v>
      </c>
      <c r="D914" s="326"/>
      <c r="E914" s="330"/>
      <c r="G914" s="193" t="s">
        <v>48</v>
      </c>
      <c r="I914" s="181"/>
      <c r="K914" s="104" t="s">
        <v>49</v>
      </c>
    </row>
    <row r="915" spans="1:11" ht="15" hidden="1" customHeight="1">
      <c r="A915" s="69"/>
      <c r="B915" s="29"/>
      <c r="C915" s="326"/>
      <c r="D915" s="326"/>
      <c r="E915" s="69"/>
      <c r="I915" s="29"/>
      <c r="J915" s="29"/>
    </row>
    <row r="916" spans="1:11" ht="15" hidden="1" customHeight="1">
      <c r="A916" s="328" t="s">
        <v>50</v>
      </c>
      <c r="B916" s="29"/>
      <c r="C916" s="325" t="str">
        <f>IF(OR(C51=" ",C51="NA",C51="na"),"",C51)</f>
        <v>Andhra Pradesh</v>
      </c>
      <c r="D916" s="326"/>
      <c r="E916" s="177"/>
      <c r="F916" s="29"/>
      <c r="G916" s="101" t="s">
        <v>52</v>
      </c>
      <c r="I916" s="336" t="s">
        <v>589</v>
      </c>
      <c r="J916" s="326"/>
      <c r="K916" s="213" t="s">
        <v>53</v>
      </c>
    </row>
    <row r="917" spans="1:11" ht="15" hidden="1" customHeight="1">
      <c r="A917" s="69"/>
      <c r="B917" s="29"/>
      <c r="C917" s="331"/>
      <c r="D917" s="326"/>
      <c r="E917" s="69"/>
      <c r="F917" s="29"/>
      <c r="G917" s="50"/>
      <c r="H917" s="29"/>
      <c r="I917" s="29"/>
      <c r="J917" s="29"/>
      <c r="K917" s="17"/>
    </row>
    <row r="918" spans="1:11" ht="15" customHeight="1"/>
    <row r="919" spans="1:11" ht="15" customHeight="1"/>
    <row r="920" spans="1:11" ht="15" customHeight="1"/>
    <row r="921" spans="1:11" ht="15" customHeight="1"/>
    <row r="922" spans="1:11" ht="15" customHeight="1"/>
    <row r="923" spans="1:11" ht="15" customHeight="1"/>
    <row r="924" spans="1:11" ht="15" customHeight="1"/>
    <row r="925" spans="1:11" ht="15" customHeight="1"/>
    <row r="926" spans="1:11" ht="15" customHeight="1"/>
    <row r="927" spans="1:11" ht="15" customHeight="1"/>
    <row r="928" spans="1:11" ht="15" customHeight="1"/>
    <row r="929" ht="15" customHeight="1"/>
    <row r="930" ht="15" customHeight="1"/>
    <row r="931" ht="15" customHeight="1"/>
    <row r="932" ht="15" customHeight="1"/>
    <row r="933" ht="15" customHeight="1"/>
    <row r="934" ht="13.15" customHeight="1"/>
    <row r="935" ht="13.15" customHeight="1"/>
    <row r="936" ht="13.15" customHeight="1"/>
    <row r="937" ht="13.15" customHeight="1"/>
    <row r="938" ht="13.15" customHeight="1"/>
    <row r="939" ht="13.15" customHeight="1"/>
    <row r="940" ht="13.15" customHeight="1"/>
    <row r="941" ht="13.15" customHeight="1"/>
    <row r="942" ht="13.15" customHeight="1"/>
    <row r="943" ht="13.15" customHeight="1"/>
    <row r="944" ht="13.15" customHeight="1"/>
    <row r="945" ht="13.15" customHeight="1"/>
    <row r="946" ht="13.15" customHeight="1"/>
    <row r="947" ht="13.15" customHeight="1"/>
    <row r="948" ht="13.15" customHeight="1"/>
    <row r="949" ht="13.15" customHeight="1"/>
    <row r="950" ht="13.15" customHeight="1"/>
    <row r="951" ht="13.15" customHeight="1"/>
    <row r="952" ht="13.15" customHeight="1"/>
    <row r="953" ht="13.15" customHeight="1"/>
    <row r="954" ht="13.15" customHeight="1"/>
    <row r="955" ht="13.15" customHeight="1"/>
    <row r="956" ht="13.15" customHeight="1"/>
    <row r="957" ht="13.15" customHeight="1"/>
    <row r="958" ht="13.15" customHeight="1"/>
    <row r="959" ht="13.15" customHeight="1"/>
    <row r="960" ht="13.15" customHeight="1"/>
    <row r="961" ht="13.15" customHeight="1"/>
    <row r="962" ht="13.15" customHeight="1"/>
    <row r="963" ht="13.15" customHeight="1"/>
    <row r="964" ht="13.15" customHeight="1"/>
    <row r="965" ht="13.15" customHeight="1"/>
    <row r="966" ht="13.15" customHeight="1"/>
    <row r="967" ht="13.15" customHeight="1"/>
    <row r="968" ht="13.15" customHeight="1"/>
    <row r="969" ht="13.15" customHeight="1"/>
    <row r="970" ht="13.15" customHeight="1"/>
    <row r="971" ht="13.15" customHeight="1"/>
    <row r="972" ht="13.15" customHeight="1"/>
    <row r="973" ht="13.15" customHeight="1"/>
    <row r="974" ht="13.15" customHeight="1"/>
    <row r="975" ht="13.15" customHeight="1"/>
    <row r="976" ht="13.15" customHeight="1"/>
    <row r="977" ht="13.15" customHeight="1"/>
    <row r="978" ht="13.15" customHeight="1"/>
    <row r="979" ht="13.15" customHeight="1"/>
    <row r="980" ht="13.15" customHeight="1"/>
    <row r="981" ht="13.15" customHeight="1"/>
    <row r="982" ht="13.15" customHeight="1"/>
    <row r="983" ht="13.15" customHeight="1"/>
    <row r="984" ht="13.15" customHeight="1"/>
    <row r="985" ht="13.15" customHeight="1"/>
    <row r="986" ht="13.15" customHeight="1"/>
    <row r="987" ht="13.15" customHeight="1"/>
    <row r="988" ht="13.15" customHeight="1"/>
    <row r="989" ht="13.15" customHeight="1"/>
    <row r="990" ht="13.15" customHeight="1"/>
    <row r="991" ht="13.15" customHeight="1"/>
    <row r="992" ht="13.15" customHeight="1"/>
    <row r="993" ht="13.15" customHeight="1"/>
    <row r="994" ht="13.15" customHeight="1"/>
    <row r="995" ht="13.15" customHeight="1"/>
    <row r="996" ht="13.15" customHeight="1"/>
    <row r="997" ht="13.15" customHeight="1"/>
    <row r="998" ht="13.15" customHeight="1"/>
    <row r="999" ht="13.15" customHeight="1"/>
    <row r="1000" ht="13.15" customHeight="1"/>
    <row r="1001" ht="13.15" customHeight="1"/>
    <row r="1002" ht="13.15" customHeight="1"/>
    <row r="1003" ht="13.15" customHeight="1"/>
    <row r="1004" ht="13.15" customHeight="1"/>
    <row r="1005" ht="13.15" customHeight="1"/>
    <row r="1006" ht="13.15" customHeight="1"/>
    <row r="1007" ht="13.15" customHeight="1"/>
    <row r="1008" ht="13.15" customHeight="1"/>
    <row r="1009" ht="13.15" customHeight="1"/>
    <row r="1010" ht="13.15" customHeight="1"/>
    <row r="1011" ht="13.15" customHeight="1"/>
    <row r="1012" ht="13.15" customHeight="1"/>
    <row r="1013" ht="13.15" customHeight="1"/>
    <row r="1014" ht="13.15" customHeight="1"/>
    <row r="1015" ht="13.15" customHeight="1"/>
    <row r="1016" ht="13.15" customHeight="1"/>
    <row r="1017" ht="13.15" customHeight="1"/>
    <row r="1018" ht="13.15" customHeight="1"/>
    <row r="1019" ht="13.15" customHeight="1"/>
    <row r="1020" ht="13.15" customHeight="1"/>
    <row r="1021" ht="13.15" customHeight="1"/>
    <row r="1022" ht="13.15" customHeight="1"/>
    <row r="1023" ht="13.15" customHeight="1"/>
    <row r="1024" ht="13.15" customHeight="1"/>
    <row r="1025" ht="13.15" customHeight="1"/>
    <row r="1026" ht="13.15" customHeight="1"/>
    <row r="1027" ht="13.15" customHeight="1"/>
    <row r="1028" ht="13.15" customHeight="1"/>
    <row r="1029" ht="13.15" customHeight="1"/>
    <row r="1030" ht="13.15" customHeight="1"/>
    <row r="1031" ht="13.15" customHeight="1"/>
    <row r="1032" ht="13.15" customHeight="1"/>
    <row r="1033" ht="13.15" customHeight="1"/>
    <row r="1034" ht="13.15" customHeight="1"/>
    <row r="1035" ht="13.15" customHeight="1"/>
    <row r="1036" ht="13.15" customHeight="1"/>
    <row r="1037" ht="13.15" customHeight="1"/>
    <row r="1038" ht="13.15" customHeight="1"/>
    <row r="1039" ht="13.15" customHeight="1"/>
    <row r="1040" ht="13.15" customHeight="1"/>
    <row r="1041" ht="13.15" customHeight="1"/>
    <row r="1042" ht="13.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5"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ht="15" customHeight="1"/>
    <row r="1090" ht="15" customHeight="1"/>
    <row r="1091" ht="15" customHeight="1"/>
    <row r="1092" ht="15" customHeight="1"/>
    <row r="1093" ht="15" customHeight="1"/>
  </sheetData>
  <sheetProtection selectLockedCells="1"/>
  <customSheetViews>
    <customSheetView guid="{3FBA9C3F-EB91-4829-84C8-FEBE6E6062A2}" scale="60" showPageBreaks="1" showGridLines="0" printArea="1" view="pageBreakPreview" topLeftCell="A82">
      <selection activeCell="H119" sqref="H119"/>
      <rowBreaks count="1" manualBreakCount="1">
        <brk id="128" max="16383" man="1"/>
      </rowBreaks>
      <colBreaks count="1" manualBreakCount="1">
        <brk id="12" max="111" man="1"/>
      </colBreaks>
      <pageMargins left="7.8740157480315001E-2" right="3.48" top="0.14000000000000001" bottom="7.8740157480315001E-2" header="0" footer="0"/>
      <pageSetup paperSize="9" scale="29" orientation="portrait"/>
    </customSheetView>
  </customSheetViews>
  <mergeCells count="302">
    <mergeCell ref="A1:K1"/>
    <mergeCell ref="A2:K2"/>
    <mergeCell ref="I3:K3"/>
    <mergeCell ref="A4:K4"/>
    <mergeCell ref="A5:K5"/>
    <mergeCell ref="A6:K6"/>
    <mergeCell ref="K7:M7"/>
    <mergeCell ref="A8:K8"/>
    <mergeCell ref="C9:G9"/>
    <mergeCell ref="A10:K10"/>
    <mergeCell ref="A11:C11"/>
    <mergeCell ref="E11:G11"/>
    <mergeCell ref="A12:K12"/>
    <mergeCell ref="A13:K13"/>
    <mergeCell ref="A14:K14"/>
    <mergeCell ref="A16:K16"/>
    <mergeCell ref="A18:K18"/>
    <mergeCell ref="C19:E19"/>
    <mergeCell ref="I19:K19"/>
    <mergeCell ref="A20:K20"/>
    <mergeCell ref="C21:K21"/>
    <mergeCell ref="A22:K22"/>
    <mergeCell ref="A23:K23"/>
    <mergeCell ref="A24:K24"/>
    <mergeCell ref="A26:K26"/>
    <mergeCell ref="G27:K27"/>
    <mergeCell ref="A28:K28"/>
    <mergeCell ref="A29:K29"/>
    <mergeCell ref="A30:K30"/>
    <mergeCell ref="E31:K31"/>
    <mergeCell ref="E32:K32"/>
    <mergeCell ref="E33:K33"/>
    <mergeCell ref="E34:K34"/>
    <mergeCell ref="E35:I35"/>
    <mergeCell ref="A36:K36"/>
    <mergeCell ref="A37:K37"/>
    <mergeCell ref="A38:K38"/>
    <mergeCell ref="A31:C35"/>
    <mergeCell ref="A40:K40"/>
    <mergeCell ref="A42:K42"/>
    <mergeCell ref="A44:K44"/>
    <mergeCell ref="A46:K46"/>
    <mergeCell ref="A48:K48"/>
    <mergeCell ref="A50:C50"/>
    <mergeCell ref="E50:K50"/>
    <mergeCell ref="A52:K52"/>
    <mergeCell ref="A53:K53"/>
    <mergeCell ref="A54:K54"/>
    <mergeCell ref="C55:K55"/>
    <mergeCell ref="A56:K56"/>
    <mergeCell ref="C57:K57"/>
    <mergeCell ref="C58:K58"/>
    <mergeCell ref="A59:K59"/>
    <mergeCell ref="A60:K60"/>
    <mergeCell ref="A61:K61"/>
    <mergeCell ref="C63:K63"/>
    <mergeCell ref="C65:K65"/>
    <mergeCell ref="A68:K68"/>
    <mergeCell ref="A69:K69"/>
    <mergeCell ref="A70:K70"/>
    <mergeCell ref="C72:K72"/>
    <mergeCell ref="C74:K74"/>
    <mergeCell ref="A76:K76"/>
    <mergeCell ref="A77:K77"/>
    <mergeCell ref="A78:K78"/>
    <mergeCell ref="A80:K80"/>
    <mergeCell ref="A82:K82"/>
    <mergeCell ref="A84:K84"/>
    <mergeCell ref="A86:K86"/>
    <mergeCell ref="A88:K88"/>
    <mergeCell ref="C89:E89"/>
    <mergeCell ref="I89:K89"/>
    <mergeCell ref="A90:K90"/>
    <mergeCell ref="A92:K92"/>
    <mergeCell ref="G93:H93"/>
    <mergeCell ref="A94:K94"/>
    <mergeCell ref="A95:K95"/>
    <mergeCell ref="A96:K96"/>
    <mergeCell ref="A97:K97"/>
    <mergeCell ref="A99:K99"/>
    <mergeCell ref="A101:K101"/>
    <mergeCell ref="A103:K103"/>
    <mergeCell ref="A105:K105"/>
    <mergeCell ref="A107:K107"/>
    <mergeCell ref="A109:G109"/>
    <mergeCell ref="A111:K111"/>
    <mergeCell ref="A112:K112"/>
    <mergeCell ref="A121:G121"/>
    <mergeCell ref="I121:K121"/>
    <mergeCell ref="A122:K122"/>
    <mergeCell ref="I123:K123"/>
    <mergeCell ref="A124:K124"/>
    <mergeCell ref="I125:K125"/>
    <mergeCell ref="A126:K126"/>
    <mergeCell ref="I127:K127"/>
    <mergeCell ref="A128:K128"/>
    <mergeCell ref="I129:K129"/>
    <mergeCell ref="A130:K130"/>
    <mergeCell ref="I131:K131"/>
    <mergeCell ref="A132:K132"/>
    <mergeCell ref="I133:K133"/>
    <mergeCell ref="A134:K134"/>
    <mergeCell ref="I135:K135"/>
    <mergeCell ref="A136:K136"/>
    <mergeCell ref="I137:K137"/>
    <mergeCell ref="A138:K138"/>
    <mergeCell ref="I139:K139"/>
    <mergeCell ref="A140:K140"/>
    <mergeCell ref="A141:K141"/>
    <mergeCell ref="A142:K142"/>
    <mergeCell ref="A143:K143"/>
    <mergeCell ref="A144:K144"/>
    <mergeCell ref="A146:K146"/>
    <mergeCell ref="A148:K148"/>
    <mergeCell ref="A150:K150"/>
    <mergeCell ref="A152:K152"/>
    <mergeCell ref="A154:K154"/>
    <mergeCell ref="A155:G155"/>
    <mergeCell ref="A156:K156"/>
    <mergeCell ref="A157:K157"/>
    <mergeCell ref="A158:K158"/>
    <mergeCell ref="A160:K160"/>
    <mergeCell ref="A162:K162"/>
    <mergeCell ref="A164:K164"/>
    <mergeCell ref="A166:K166"/>
    <mergeCell ref="A168:K168"/>
    <mergeCell ref="A169:G169"/>
    <mergeCell ref="A170:K170"/>
    <mergeCell ref="A171:E171"/>
    <mergeCell ref="I171:K171"/>
    <mergeCell ref="A172:K172"/>
    <mergeCell ref="A178:K178"/>
    <mergeCell ref="A179:K179"/>
    <mergeCell ref="A180:K180"/>
    <mergeCell ref="A182:K182"/>
    <mergeCell ref="A184:K184"/>
    <mergeCell ref="A185:K185"/>
    <mergeCell ref="A186:K186"/>
    <mergeCell ref="C187:E187"/>
    <mergeCell ref="A188:K188"/>
    <mergeCell ref="C189:E189"/>
    <mergeCell ref="A190:K190"/>
    <mergeCell ref="C191:E191"/>
    <mergeCell ref="A192:K192"/>
    <mergeCell ref="C193:E193"/>
    <mergeCell ref="A194:K194"/>
    <mergeCell ref="C195:E195"/>
    <mergeCell ref="A196:K196"/>
    <mergeCell ref="C197:E197"/>
    <mergeCell ref="A198:K198"/>
    <mergeCell ref="C199:E199"/>
    <mergeCell ref="A200:K200"/>
    <mergeCell ref="A201:I201"/>
    <mergeCell ref="A202:K202"/>
    <mergeCell ref="A203:K203"/>
    <mergeCell ref="A204:K204"/>
    <mergeCell ref="A206:K206"/>
    <mergeCell ref="A208:K208"/>
    <mergeCell ref="A210:K210"/>
    <mergeCell ref="A211:E211"/>
    <mergeCell ref="A212:K212"/>
    <mergeCell ref="A213:C213"/>
    <mergeCell ref="E213:K213"/>
    <mergeCell ref="A214:K214"/>
    <mergeCell ref="A215:C215"/>
    <mergeCell ref="E215:K215"/>
    <mergeCell ref="A216:K216"/>
    <mergeCell ref="A217:K217"/>
    <mergeCell ref="A218:K218"/>
    <mergeCell ref="A220:K220"/>
    <mergeCell ref="A221:K221"/>
    <mergeCell ref="A222:K222"/>
    <mergeCell ref="I223:K223"/>
    <mergeCell ref="A224:K224"/>
    <mergeCell ref="A226:G226"/>
    <mergeCell ref="A228:G228"/>
    <mergeCell ref="A230:G230"/>
    <mergeCell ref="A232:G232"/>
    <mergeCell ref="A234:K234"/>
    <mergeCell ref="A235:K235"/>
    <mergeCell ref="A236:K236"/>
    <mergeCell ref="C237:E237"/>
    <mergeCell ref="A238:K238"/>
    <mergeCell ref="A240:K240"/>
    <mergeCell ref="A259:C259"/>
    <mergeCell ref="A260:K260"/>
    <mergeCell ref="A261:K261"/>
    <mergeCell ref="A262:K262"/>
    <mergeCell ref="A263:C263"/>
    <mergeCell ref="A264:K264"/>
    <mergeCell ref="A265:C265"/>
    <mergeCell ref="A266:K266"/>
    <mergeCell ref="A267:C267"/>
    <mergeCell ref="A268:K268"/>
    <mergeCell ref="A269:C269"/>
    <mergeCell ref="A270:K270"/>
    <mergeCell ref="A271:C271"/>
    <mergeCell ref="A272:K272"/>
    <mergeCell ref="A273:C273"/>
    <mergeCell ref="A274:K274"/>
    <mergeCell ref="A275:C275"/>
    <mergeCell ref="A276:K276"/>
    <mergeCell ref="A277:C277"/>
    <mergeCell ref="A278:K278"/>
    <mergeCell ref="A279:C279"/>
    <mergeCell ref="A280:K280"/>
    <mergeCell ref="A281:C281"/>
    <mergeCell ref="A282:K282"/>
    <mergeCell ref="A283:C283"/>
    <mergeCell ref="A284:K284"/>
    <mergeCell ref="A285:C285"/>
    <mergeCell ref="A286:K286"/>
    <mergeCell ref="A290:K290"/>
    <mergeCell ref="A291:K291"/>
    <mergeCell ref="A292:K292"/>
    <mergeCell ref="A293:G293"/>
    <mergeCell ref="A294:K294"/>
    <mergeCell ref="A295:G295"/>
    <mergeCell ref="A296:K296"/>
    <mergeCell ref="A297:G297"/>
    <mergeCell ref="A298:K298"/>
    <mergeCell ref="A299:G299"/>
    <mergeCell ref="A300:K300"/>
    <mergeCell ref="A301:G301"/>
    <mergeCell ref="A302:K302"/>
    <mergeCell ref="A303:G303"/>
    <mergeCell ref="A304:K304"/>
    <mergeCell ref="A305:K305"/>
    <mergeCell ref="A306:K306"/>
    <mergeCell ref="C307:K307"/>
    <mergeCell ref="A308:K308"/>
    <mergeCell ref="C309:K309"/>
    <mergeCell ref="A310:K310"/>
    <mergeCell ref="C311:K311"/>
    <mergeCell ref="A312:K312"/>
    <mergeCell ref="C313:K313"/>
    <mergeCell ref="A314:K314"/>
    <mergeCell ref="A315:K315"/>
    <mergeCell ref="A316:K316"/>
    <mergeCell ref="C317:G317"/>
    <mergeCell ref="A318:K318"/>
    <mergeCell ref="C319:G319"/>
    <mergeCell ref="A320:K320"/>
    <mergeCell ref="C321:G321"/>
    <mergeCell ref="A322:K322"/>
    <mergeCell ref="A334:K334"/>
    <mergeCell ref="C335:G335"/>
    <mergeCell ref="A336:K336"/>
    <mergeCell ref="A337:K337"/>
    <mergeCell ref="A338:K338"/>
    <mergeCell ref="A342:K342"/>
    <mergeCell ref="A344:K344"/>
    <mergeCell ref="C323:G323"/>
    <mergeCell ref="A324:K324"/>
    <mergeCell ref="C325:G325"/>
    <mergeCell ref="A326:K326"/>
    <mergeCell ref="C327:G327"/>
    <mergeCell ref="A328:K328"/>
    <mergeCell ref="C329:G329"/>
    <mergeCell ref="A330:K330"/>
    <mergeCell ref="C331:G331"/>
    <mergeCell ref="A488:K488"/>
    <mergeCell ref="A489:K489"/>
    <mergeCell ref="A62:A67"/>
    <mergeCell ref="A71:A75"/>
    <mergeCell ref="B71:B75"/>
    <mergeCell ref="D49:D51"/>
    <mergeCell ref="E339:E341"/>
    <mergeCell ref="H108:H110"/>
    <mergeCell ref="K243:K245"/>
    <mergeCell ref="A346:K346"/>
    <mergeCell ref="A347:K347"/>
    <mergeCell ref="A348:K348"/>
    <mergeCell ref="A356:K356"/>
    <mergeCell ref="A357:K357"/>
    <mergeCell ref="A332:K332"/>
    <mergeCell ref="C333:G333"/>
    <mergeCell ref="M145:M147"/>
    <mergeCell ref="G339:K341"/>
    <mergeCell ref="A349:K355"/>
    <mergeCell ref="A173:E177"/>
    <mergeCell ref="I173:K177"/>
    <mergeCell ref="I225:K233"/>
    <mergeCell ref="A287:C289"/>
    <mergeCell ref="E287:K289"/>
    <mergeCell ref="A359:D359"/>
    <mergeCell ref="A361:K361"/>
    <mergeCell ref="A363:K363"/>
    <mergeCell ref="A365:D365"/>
    <mergeCell ref="E365:G365"/>
    <mergeCell ref="H365:K365"/>
    <mergeCell ref="A367:D367"/>
    <mergeCell ref="E367:G367"/>
    <mergeCell ref="H367:K367"/>
    <mergeCell ref="A369:D369"/>
    <mergeCell ref="E369:G369"/>
    <mergeCell ref="H369:K369"/>
    <mergeCell ref="A371:K371"/>
    <mergeCell ref="A373:D373"/>
    <mergeCell ref="A375:K375"/>
    <mergeCell ref="A377:K377"/>
    <mergeCell ref="A379:K379"/>
  </mergeCells>
  <dataValidations count="36">
    <dataValidation type="list" allowBlank="1" showInputMessage="1" showErrorMessage="1" sqref="C15">
      <formula1>$C$717:$C$721</formula1>
    </dataValidation>
    <dataValidation type="list" allowBlank="1" showInputMessage="1" showErrorMessage="1" sqref="C25 C27 K81 C100 C102 C104 C106 G106 C110">
      <formula1>$C$690:$C$691</formula1>
    </dataValidation>
    <dataValidation type="list" allowBlank="1" showInputMessage="1" showErrorMessage="1" sqref="G25">
      <formula1>$M$731:$M$734</formula1>
    </dataValidation>
    <dataValidation allowBlank="1" showInputMessage="1" showErrorMessage="1" sqref="K51"/>
    <dataValidation type="list" allowBlank="1" showInputMessage="1" showErrorMessage="1" sqref="C79">
      <formula1>$I$710:$I$715</formula1>
    </dataValidation>
    <dataValidation type="list" allowBlank="1" showInputMessage="1" showErrorMessage="1" sqref="C83">
      <formula1>$G$710:$G$715</formula1>
    </dataValidation>
    <dataValidation type="list" allowBlank="1" showInputMessage="1" showErrorMessage="1" sqref="G83">
      <formula1>$C$709:$C$715</formula1>
    </dataValidation>
    <dataValidation type="list" allowBlank="1" showInputMessage="1" showErrorMessage="1" sqref="K85">
      <formula1>$A$717:$A$727</formula1>
    </dataValidation>
    <dataValidation type="list" allowBlank="1" showInputMessage="1" showErrorMessage="1" sqref="C87">
      <formula1>$K$710:$K$715</formula1>
    </dataValidation>
    <dataValidation type="list" allowBlank="1" showInputMessage="1" showErrorMessage="1" sqref="G87">
      <formula1>$A$731:$A$734</formula1>
    </dataValidation>
    <dataValidation type="list" allowBlank="1" showInputMessage="1" showErrorMessage="1" sqref="C91">
      <formula1>$C$696:$C$698</formula1>
    </dataValidation>
    <dataValidation type="list" allowBlank="1" showInputMessage="1" showErrorMessage="1" sqref="K93 K114">
      <formula1>$I$696:$I$699</formula1>
    </dataValidation>
    <dataValidation type="list" allowBlank="1" showInputMessage="1" showErrorMessage="1" sqref="C113">
      <formula1>$A$710:$A$713</formula1>
    </dataValidation>
    <dataValidation type="list" allowBlank="1" showInputMessage="1" showErrorMessage="1" sqref="G113">
      <formula1>$K$690:$K$691</formula1>
    </dataValidation>
    <dataValidation type="list" allowBlank="1" showInputMessage="1" showErrorMessage="1" sqref="K113">
      <formula1>$C$766:$C$771</formula1>
    </dataValidation>
    <dataValidation type="list" allowBlank="1" showInputMessage="1" showErrorMessage="1" sqref="C114">
      <formula1>$A$690:$A$693</formula1>
    </dataValidation>
    <dataValidation type="list" allowBlank="1" showInputMessage="1" showErrorMessage="1" sqref="G114">
      <formula1>$E$690:$E$693</formula1>
    </dataValidation>
    <dataValidation type="list" allowBlank="1" showInputMessage="1" showErrorMessage="1" sqref="C115">
      <formula1>"None, Convex, Concave, Both"</formula1>
    </dataValidation>
    <dataValidation type="list" allowBlank="1" showInputMessage="1" showErrorMessage="1" sqref="G115">
      <formula1>"Cement, Clay"</formula1>
    </dataValidation>
    <dataValidation type="list" allowBlank="1" showInputMessage="1" showErrorMessage="1" sqref="K115">
      <formula1>"Flat Roof, Pitched Roof, Sloping Roof, Gable Wall, Ridge Wall"</formula1>
    </dataValidation>
    <dataValidation type="list" allowBlank="1" showInputMessage="1" showErrorMessage="1" sqref="C116 G117 C118:C120 K116:K117">
      <formula1>"Yes, No"</formula1>
    </dataValidation>
    <dataValidation type="list" allowBlank="1" showInputMessage="1" showErrorMessage="1" sqref="G118">
      <formula1>"Regular Frame, Regular Frame with shear wall, Irregular Frame, Irregular Frame with shear wall, Shear wall Building"</formula1>
    </dataValidation>
    <dataValidation type="list" allowBlank="1" showInputMessage="1" showErrorMessage="1" sqref="K118">
      <formula1>"Red Soil, Alluvial Soil, Black Cotton Soil, Saline, Desert"</formula1>
    </dataValidation>
    <dataValidation type="list" allowBlank="1" showInputMessage="1" showErrorMessage="1" sqref="G119">
      <formula1>"Mild, Moderate, Severe, Very Severe, Extreme"</formula1>
    </dataValidation>
    <dataValidation type="list" allowBlank="1" showInputMessage="1" showErrorMessage="1" sqref="G120">
      <formula1>CYCLONE</formula1>
    </dataValidation>
    <dataValidation type="list" allowBlank="1" showInputMessage="1" showErrorMessage="1" sqref="K120">
      <formula1>STRATA</formula1>
    </dataValidation>
    <dataValidation type="list" allowBlank="1" showInputMessage="1" showErrorMessage="1" sqref="C125 C127 C129 C131 C133 C135 C137 C139">
      <formula1>$I$766:$I$775</formula1>
    </dataValidation>
    <dataValidation type="list" allowBlank="1" showInputMessage="1" showErrorMessage="1" sqref="I189 I191 I193 I195 I197 I199">
      <formula1>$G$730:$G$755</formula1>
    </dataValidation>
    <dataValidation type="list" allowBlank="1" showInputMessage="1" showErrorMessage="1" sqref="E205">
      <formula1>$L$726:$L$727</formula1>
    </dataValidation>
    <dataValidation type="list" allowBlank="1" showInputMessage="1" showErrorMessage="1" sqref="G237">
      <formula1>$I$732:$I$734</formula1>
    </dataValidation>
    <dataValidation type="list" allowBlank="1" showInputMessage="1" showErrorMessage="1" sqref="G241 G243 G245 G247 G249 G251 G253 G255 G257">
      <formula1>$M$689:$M$690</formula1>
    </dataValidation>
    <dataValidation type="list" allowBlank="1" showInputMessage="1" showErrorMessage="1" sqref="E265 E267 E269 E271 E273 E275 E277 E279 E281 E283 E285">
      <formula1>$I$723:$I$725</formula1>
    </dataValidation>
    <dataValidation type="list" allowBlank="1" showInputMessage="1" showErrorMessage="1" sqref="G265 G267 G269 G271 G273 G275 G277 G279 G281 G283 G285 I319 I321 I323 I325 I327 I329 I331 I333 I335">
      <formula1>$K$703:$K$704</formula1>
    </dataValidation>
    <dataValidation type="list" allowBlank="1" showInputMessage="1" showErrorMessage="1" sqref="I295 K295 I297 K297 I299 K299 I301 K301 I303 K303">
      <formula1>$M$696:$M$699</formula1>
    </dataValidation>
    <dataValidation type="list" allowBlank="1" showInputMessage="1" showErrorMessage="1" sqref="C339">
      <formula1>$E$710:$E$711</formula1>
    </dataValidation>
    <dataValidation type="list" allowBlank="1" showInputMessage="1" showErrorMessage="1" sqref="C341">
      <formula1>$I$738:$I$741</formula1>
    </dataValidation>
  </dataValidations>
  <printOptions horizontalCentered="1"/>
  <pageMargins left="7.8740157480315001E-2" right="7.8740157480315001E-2" top="0.23622047244094499" bottom="0.23622047244094499" header="0" footer="0"/>
  <pageSetup fitToWidth="1" fitToHeight="0" orientation="portrait" r:id="rId1"/>
  <rowBreaks count="4" manualBreakCount="4">
    <brk id="358" min="0" max="16383" man="1"/>
    <brk id="364" min="0" max="16383" man="1"/>
    <brk id="370" min="0" max="16383" man="1"/>
    <brk id="376" min="0"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Retail Technical</vt:lpstr>
      <vt:lpstr>'Retail Technical'!Print_Area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Swachhand Shende</dc:creator>
  <cp:lastModifiedBy>ADMIN</cp:lastModifiedBy>
  <cp:lastPrinted>2026-02-13T10:12:55Z</cp:lastPrinted>
  <dcterms:created xsi:type="dcterms:W3CDTF">2019-07-03T17:35:00Z</dcterms:created>
  <dcterms:modified xsi:type="dcterms:W3CDTF">2026-02-14T04:55:34Z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6B00BB85F9D142BC8AFF84231A2DB696_12</vt:lpwstr>
  </property>
  <property fmtid="{D5CDD505-2E9C-101B-9397-08002B2CF9AE}" pid="3" name="KSOProductBuildVer">
    <vt:lpwstr>1033-12.2.0.23196</vt:lpwstr>
  </property>
</Properties>
</file>