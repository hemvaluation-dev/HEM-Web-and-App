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15600" windowHeight="11160"/>
  </bookViews>
  <sheets>
    <sheet name="Sheet1" sheetId="1" r:id="rId1"/>
  </sheets>
  <definedNames>
    <definedName name="_xlnm.Print_Area" localSheetId="0">Sheet1!$A$1:$F$257</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6" i="1" l="1"/>
  <c r="E47" i="1"/>
  <c r="B42" i="1" l="1"/>
  <c r="B39" i="1" l="1"/>
  <c r="D87" i="1" l="1"/>
  <c r="C87" i="1" l="1"/>
  <c r="E54" i="1"/>
  <c r="E49" i="1"/>
  <c r="E48" i="1"/>
  <c r="C45" i="1"/>
  <c r="E45" i="1" s="1"/>
  <c r="E55" i="1" s="1"/>
  <c r="C42" i="1"/>
  <c r="C41" i="1"/>
  <c r="C40" i="1"/>
  <c r="C39" i="1"/>
  <c r="C38" i="1"/>
</calcChain>
</file>

<file path=xl/sharedStrings.xml><?xml version="1.0" encoding="utf-8"?>
<sst xmlns="http://schemas.openxmlformats.org/spreadsheetml/2006/main" count="299" uniqueCount="237">
  <si>
    <t xml:space="preserve">Tyger Home Finance Pvt. Ltd. </t>
  </si>
  <si>
    <t>LOAN APPLICATION DETAIL</t>
  </si>
  <si>
    <t>Version 3.0</t>
  </si>
  <si>
    <t>BRANCH NAME</t>
  </si>
  <si>
    <t>APPLICANT NAME</t>
  </si>
  <si>
    <t>FILE NO/REF.NO</t>
  </si>
  <si>
    <t xml:space="preserve">PRODUCT </t>
  </si>
  <si>
    <t>TRANSACTION TYPE</t>
  </si>
  <si>
    <t>ADDRESS DETAIL</t>
  </si>
  <si>
    <t>ADDRESS DETAILS ( AS PER SITE INSPECTION )</t>
  </si>
  <si>
    <t>HOUSE/FLAT PLOT/PATTA NO.</t>
  </si>
  <si>
    <t>FLOOR NO./KHATA NO.</t>
  </si>
  <si>
    <t>NA</t>
  </si>
  <si>
    <t>BUILDING/WING NAME &amp; NO.</t>
  </si>
  <si>
    <t>STAGE/SECTOR/WARD NO.</t>
  </si>
  <si>
    <t>STREET NAME &amp; NO.</t>
  </si>
  <si>
    <t>SURVEY NO/KHASRA NO.</t>
  </si>
  <si>
    <t>VILLAGE NAME</t>
  </si>
  <si>
    <t>LANDMARK</t>
  </si>
  <si>
    <t>CITY/TEHSIL/TOWN</t>
  </si>
  <si>
    <t>DISTRICT</t>
  </si>
  <si>
    <t>STATE</t>
  </si>
  <si>
    <t>PIN CODE</t>
  </si>
  <si>
    <t>NEAREST AHFL BARNCH NAME</t>
  </si>
  <si>
    <t>DISTANCE FROM NEAREST BRANCH</t>
  </si>
  <si>
    <t>PROPERTY TYPE</t>
  </si>
  <si>
    <t xml:space="preserve">PERSON MET AT SITE </t>
  </si>
  <si>
    <t>RELENSHIP WITH APPLICANT/CUSTOMER</t>
  </si>
  <si>
    <t>CONTACT NUMBER</t>
  </si>
  <si>
    <t>BOUNDARIES</t>
  </si>
  <si>
    <t>DIRECTION</t>
  </si>
  <si>
    <t xml:space="preserve">NORTH </t>
  </si>
  <si>
    <t>SOUTH</t>
  </si>
  <si>
    <t xml:space="preserve">EAST </t>
  </si>
  <si>
    <t>WEST</t>
  </si>
  <si>
    <t>AS PER SITE INVESTIGATION</t>
  </si>
  <si>
    <t>GENERAL PROPERTY DETAIL</t>
  </si>
  <si>
    <t>APPROVAL AUTHORITY (NAME IF APPROVED)</t>
  </si>
  <si>
    <t>APPROVAL AUTHORITY LIMIT</t>
  </si>
  <si>
    <t>AGE OF PROPERTY</t>
  </si>
  <si>
    <t>SELLER NAME</t>
  </si>
  <si>
    <t>OCCUPANCY STATUS</t>
  </si>
  <si>
    <t>OCCUPANT NAME</t>
  </si>
  <si>
    <t>RESIDUAL AGE OF PROPERTY</t>
  </si>
  <si>
    <t>PROPERTY/DWELLING UNIT TYPE</t>
  </si>
  <si>
    <t>APPROACH ROAD TO PROPERTY</t>
  </si>
  <si>
    <t>PROPERTY FINISHED/UNFINISHED</t>
  </si>
  <si>
    <t>VIOLATIONS OBSERVED IF ANY</t>
  </si>
  <si>
    <t>NO</t>
  </si>
  <si>
    <t>RISK OF DEMOLITIONIN CASE OF VIOLATION</t>
  </si>
  <si>
    <t>PROPERTY FALLING IN CAUTION AREA</t>
  </si>
  <si>
    <t>REASON FOR CAUTION</t>
  </si>
  <si>
    <t>ROOM, KITCHEN,TOILET, HALL DETAIL</t>
  </si>
  <si>
    <t>CLASS OF LOCALITY</t>
  </si>
  <si>
    <t>MIDDLE CLASS</t>
  </si>
  <si>
    <t>PROPERTY INTERIORS</t>
  </si>
  <si>
    <t xml:space="preserve">NA  </t>
  </si>
  <si>
    <t>PROPERTY EXTERIORS</t>
  </si>
  <si>
    <t>DEVELOPMENT IN PARTICULAR COLONY/AREA</t>
  </si>
  <si>
    <t>DEVELOPMENT IN 500 MTR. REDIUS</t>
  </si>
  <si>
    <t>BASIC AMENITIES (ROAD,ELECTRICITY,DRAINAGE )</t>
  </si>
  <si>
    <t>YES</t>
  </si>
  <si>
    <t>SURROUNDING EXTERNAL AMENITIES</t>
  </si>
  <si>
    <t>SR. NO.</t>
  </si>
  <si>
    <t>PRIMISES LIST</t>
  </si>
  <si>
    <t>APPROX DISTANCE FROM PROPERTY</t>
  </si>
  <si>
    <t>NAME OF PRIMISES/DESCRIPTION</t>
  </si>
  <si>
    <t>NEAREST RAILWAY STATION</t>
  </si>
  <si>
    <t>NEAREST HIGHWAY/CONECTING ROAD</t>
  </si>
  <si>
    <t>PROPERTY LENGTH</t>
  </si>
  <si>
    <t>PROPERTY WIDTH</t>
  </si>
  <si>
    <t>PROPERTY LATITUDE AND LONGITUDE.</t>
  </si>
  <si>
    <t>AREA DETAIL</t>
  </si>
  <si>
    <t>AREA TYPE</t>
  </si>
  <si>
    <t>SQUARE FEET</t>
  </si>
  <si>
    <t>SQUARE METER</t>
  </si>
  <si>
    <t>REAMRKS OF AREA PROPERTY</t>
  </si>
  <si>
    <t>PLOT AREA AS PER DOCUMENT/AS PER MEASUREMENT</t>
  </si>
  <si>
    <t>LAND AREA/UDS AREA</t>
  </si>
  <si>
    <t>CARPET AREA</t>
  </si>
  <si>
    <t>AS PER ACTUAL ON SITE</t>
  </si>
  <si>
    <t>NOT MORE THAN 20% OF CA.</t>
  </si>
  <si>
    <t>PROPOSED/ESTIMATE BUILT-UP AREA</t>
  </si>
  <si>
    <t>AS PER APPROVAL /BYELAWS/ POLICY</t>
  </si>
  <si>
    <t>SALEABLE AREA</t>
  </si>
  <si>
    <t>ON SITE VERIFICATION AREA</t>
  </si>
  <si>
    <t>VALUATION DETAIL</t>
  </si>
  <si>
    <t>AREA SQ.FT.</t>
  </si>
  <si>
    <t>RATE PER SQ.FT.</t>
  </si>
  <si>
    <t xml:space="preserve">VALUATION </t>
  </si>
  <si>
    <t>AREA VALUATION</t>
  </si>
  <si>
    <t>RS.</t>
  </si>
  <si>
    <t>CONSTRUCTION/EXTENSION/IMPROVEMENT COST</t>
  </si>
  <si>
    <t>DLC RATE/GOVT. VALUE</t>
  </si>
  <si>
    <t>LAND/PROPERTY</t>
  </si>
  <si>
    <t>AMENITIES DETAIL</t>
  </si>
  <si>
    <t xml:space="preserve">AMENITIES  </t>
  </si>
  <si>
    <t>DESCRIPTION</t>
  </si>
  <si>
    <t>AREA/QUANTITY</t>
  </si>
  <si>
    <t>UNIT</t>
  </si>
  <si>
    <t>AMOUNT</t>
  </si>
  <si>
    <t xml:space="preserve">COLOR </t>
  </si>
  <si>
    <t>SQ.FT</t>
  </si>
  <si>
    <t>PAINT</t>
  </si>
  <si>
    <t>TOTAL AMENITIES COST</t>
  </si>
  <si>
    <t>RELIZABLE VALUE</t>
  </si>
  <si>
    <t>FLOOR DETAILS</t>
  </si>
  <si>
    <t>FLOOR</t>
  </si>
  <si>
    <t>APPROVED</t>
  </si>
  <si>
    <t>PROPOSED/ACTUAL</t>
  </si>
  <si>
    <t>REMARKS ON NO. OF FLOORS</t>
  </si>
  <si>
    <t>A.</t>
  </si>
  <si>
    <t>NO. OF BASEMENT</t>
  </si>
  <si>
    <t>B.</t>
  </si>
  <si>
    <t>NO. OF GROUND/PARKING/STILT FLOOR</t>
  </si>
  <si>
    <t>C.</t>
  </si>
  <si>
    <t>NO. OF UPPER FLOOR</t>
  </si>
  <si>
    <t>A+B+C</t>
  </si>
  <si>
    <t>TOTAL NO. OF FLOOR</t>
  </si>
  <si>
    <t>TECHNICAL/ELGAL DOCUMENT DETAIL</t>
  </si>
  <si>
    <t>DOCUMENT NAME</t>
  </si>
  <si>
    <t xml:space="preserve">REF/APPROVAL NO. </t>
  </si>
  <si>
    <t>REF/APPROVAL DATE</t>
  </si>
  <si>
    <t>APPROVAL AUTHORITY NAME</t>
  </si>
  <si>
    <t>NUMBER OF FO FLOOR APPROVED</t>
  </si>
  <si>
    <t>LAYOUT PLAN</t>
  </si>
  <si>
    <t>APPROVED FLOOR PLAN</t>
  </si>
  <si>
    <t>CONSTRUCTION PERMISSION/BUILDING PERMISSION</t>
  </si>
  <si>
    <t>DA AUTHORITY ALLOTMENT LETTER</t>
  </si>
  <si>
    <t>BUILDING COMPLETION</t>
  </si>
  <si>
    <t xml:space="preserve">NON-AGRICULTURE LAND CONVERTION ORDER </t>
  </si>
  <si>
    <t>CONSTRUCTION/EXTENSION/IMPROVEMENT ESTIMATE FROM REGISTERED ENGINEER/ARCHITECH</t>
  </si>
  <si>
    <t>SALES DEED DETAIL</t>
  </si>
  <si>
    <t>REMARKS ON DOCUMENT VERIFIED</t>
  </si>
  <si>
    <t>ALLOTMENT LETTER/ SALE DEED/ SITE PLAN./ LAYOUT/ ESTIMATE</t>
  </si>
  <si>
    <t>SEISMIC ZONE</t>
  </si>
  <si>
    <t>II</t>
  </si>
  <si>
    <t>STRUCTURE TYPE</t>
  </si>
  <si>
    <t>FOOTING/FOUNDATION TYPE</t>
  </si>
  <si>
    <t>STONE FOUNDATION</t>
  </si>
  <si>
    <t>ROOF TYPE</t>
  </si>
  <si>
    <t>FLAT ROOF</t>
  </si>
  <si>
    <t>TYPE OF MASONARY</t>
  </si>
  <si>
    <t>SOIL TYPE</t>
  </si>
  <si>
    <t>CYCLONE ZONE (DESIGN WIND SPEED M/S)</t>
  </si>
  <si>
    <t>ENVIRONMENTAL EXPOSURE CONDITION</t>
  </si>
  <si>
    <t>Mild</t>
  </si>
  <si>
    <t>ZONE AS PER CITY DEVELOPMENT PLAN</t>
  </si>
  <si>
    <t>RESIDENTIAL ZONE</t>
  </si>
  <si>
    <t xml:space="preserve">PROPERTY STAGE OF CONSTRUCTION </t>
  </si>
  <si>
    <t>S. NO.</t>
  </si>
  <si>
    <t>ACTIVITY</t>
  </si>
  <si>
    <t>ALLOTED CONSTRUCTION STAGE IN %</t>
  </si>
  <si>
    <t>PRESENT COMPLETION IN %</t>
  </si>
  <si>
    <t>NO OF FLOOR COMPLETED</t>
  </si>
  <si>
    <t>RECOMMENDED AMOUNT IN %.</t>
  </si>
  <si>
    <t>FOUNDATION</t>
  </si>
  <si>
    <t>AS PER COMPANY POLICY</t>
  </si>
  <si>
    <t>PLINTH</t>
  </si>
  <si>
    <t>BRICKWORK UP TO SLAB</t>
  </si>
  <si>
    <t>SLAB/RCC CASTING</t>
  </si>
  <si>
    <t>INSIDE/OUTSIDE PLASTER</t>
  </si>
  <si>
    <t>FLOORING WORK</t>
  </si>
  <si>
    <t>ELECTRICFICATION</t>
  </si>
  <si>
    <t>WOODWORK &amp; PAINTING</t>
  </si>
  <si>
    <t>TOTAL COMPLETION (% )</t>
  </si>
  <si>
    <t>IS THE PROPERTY TECHNICALLY ACCEPTABLE</t>
  </si>
  <si>
    <t>MARKETABILITY OF PROPERTY</t>
  </si>
  <si>
    <t>REMARKS ON THE PROPERTY</t>
  </si>
  <si>
    <t>TECHNICAL DEVIATION</t>
  </si>
  <si>
    <t>S.NO.</t>
  </si>
  <si>
    <t>DEVIATION IN THE PROPERTY/DOCUMENTS</t>
  </si>
  <si>
    <t>TYPE OF DEVIATION</t>
  </si>
  <si>
    <t>OTHERS</t>
  </si>
  <si>
    <t>TECHNICAL REPORT PREPARED BY</t>
  </si>
  <si>
    <t xml:space="preserve">VIST DATE </t>
  </si>
  <si>
    <t>TECHNICAL PREPARTION DATE</t>
  </si>
  <si>
    <t>H.E.M. ASSOCIATES</t>
  </si>
  <si>
    <t>ELEVATION</t>
  </si>
  <si>
    <t>ROAD</t>
  </si>
  <si>
    <t>SIDE VIEW OF THE PROPERTY</t>
  </si>
  <si>
    <t>BED ROOM</t>
  </si>
  <si>
    <t>KITCHEN</t>
  </si>
  <si>
    <t>SELFIE</t>
  </si>
  <si>
    <t>SATELLITE VIEW</t>
  </si>
  <si>
    <t>Andhra Pradesh</t>
  </si>
  <si>
    <t>Good</t>
  </si>
  <si>
    <t>CC</t>
  </si>
  <si>
    <t>TERINE VIEW</t>
  </si>
  <si>
    <t>Lakshmi Madam</t>
  </si>
  <si>
    <t>Self</t>
  </si>
  <si>
    <t>HALL</t>
  </si>
  <si>
    <t>UNFINISHED</t>
  </si>
  <si>
    <t>EXISTING BUILT-UP (As per Doc)</t>
  </si>
  <si>
    <t>PROPOSED/ESTIMATE BUILT-UP AREA BUA As per Site Visit</t>
  </si>
  <si>
    <t>Owners</t>
  </si>
  <si>
    <t>METER BOARD</t>
  </si>
  <si>
    <t>CURRENT BILL</t>
  </si>
  <si>
    <t>RCC</t>
  </si>
  <si>
    <t>AS PER PLAN/SALE DEED</t>
  </si>
  <si>
    <t>KAKINADA</t>
  </si>
  <si>
    <t>Kakinada</t>
  </si>
  <si>
    <t>Kakinada Branch</t>
  </si>
  <si>
    <t>Kakinada Town Railway Station</t>
  </si>
  <si>
    <t>1.0 Kms</t>
  </si>
  <si>
    <t xml:space="preserve"> HL</t>
  </si>
  <si>
    <t>HL00032978</t>
  </si>
  <si>
    <t>MOGALI KRUPAVATHI</t>
  </si>
  <si>
    <t>Old Door. No. 12-1 (As per Doc), New Door. No. 8-1-67 (As per Doc&amp; Tax)</t>
  </si>
  <si>
    <t>Sy. No. 662</t>
  </si>
  <si>
    <t>Near Shivalayam</t>
  </si>
  <si>
    <t>27KM</t>
  </si>
  <si>
    <t>Mogali Krupavathi</t>
  </si>
  <si>
    <t>Old Door. No. 12-1 (As per Doc), New Door. No. 8-1-67 (As per Doc&amp; Tax),Schedule A' Prathi-1, Sy. No. 662, Asst. No. 1138002013, Near Shivalayam,Gollaprolu Village, Gollaprolu Nagara Panchayat,Gollaprolu Mandal,Old East Godavari District, Present Kakinada District, Andhra Pradesh, Pin-533445.</t>
  </si>
  <si>
    <t>Land of Prathi-2</t>
  </si>
  <si>
    <t>Canal Road</t>
  </si>
  <si>
    <t>Some Part of Canal &amp; Some part Land of Schdule B' Prathi-3</t>
  </si>
  <si>
    <t>Some Part of Passage Way And Some part House of Schdule B' Prathi-2</t>
  </si>
  <si>
    <t>Canal</t>
  </si>
  <si>
    <t>6 Ft Passage Way And House of Eswara Rao</t>
  </si>
  <si>
    <t>Owners Prathi-3</t>
  </si>
  <si>
    <t>Municipality</t>
  </si>
  <si>
    <t>Commissioner</t>
  </si>
  <si>
    <t>25 Years</t>
  </si>
  <si>
    <t>Mogali Veerabadhra Rao S/o Mogali Bulli Raju</t>
  </si>
  <si>
    <t>35 Years</t>
  </si>
  <si>
    <t>24.9 Kms</t>
  </si>
  <si>
    <t>Gollaprolu Road</t>
  </si>
  <si>
    <t>17.150474, 82.287062</t>
  </si>
  <si>
    <t>16 Ft CC Road</t>
  </si>
  <si>
    <t>EXISTING BUILT-UP AREA (Ground Floor)</t>
  </si>
  <si>
    <t>EXISTING BUILT-UP AREA (Frist Floor)</t>
  </si>
  <si>
    <t>Asst. No. 1138002013</t>
  </si>
  <si>
    <t>Gollaprolu Nagara Panchayat</t>
  </si>
  <si>
    <t>683/2021</t>
  </si>
  <si>
    <t>Pithapuram SRO</t>
  </si>
  <si>
    <t>1. Subject Property is a G+2 RCC Residential Building,Ground Floor Having 2BHK, Occupied by Owners,Frist Floor And Se3cond Floor is openslabs, in under constructio,located in Veeravaram Gramapanchayat Limits.Ground Floor is not considerded for valuation.
2. BUA as per Site visit forGF is 440Sft,FF is 440Sft, SF is 240Sft, Land area Mentioned in the Document in the Doc and as per Site visit is 119.14Sq.Yds(Schdule-A' Prathi-1 Only), Hence valuation considerded for same.
3. Subject Property is identified through, Door. No. 8-1-67 (As per Doc &amp; Tax..
4. Legal aspects are beyond the scope of valuation.
5. Apporved plan has not been provided.  
6. Property Tax &amp; Electricity Bill has been Submitted.
7. Sy.No. of the property is missmatched in Bhuvan 2 D maps ,as per doc is 662, but as per bhuvan 2 d mas is 661, Attched the same for your referance.
8. Sy. No. of the property is not found in the list of Prohibited properties.
9. GPS Coordinates: 17.171473, 82.153515.
10. The Gollaprolu village has population of 23882 of which 12071 are males while 11811 are females as per Population Census 2011.
11. Subject Property is having Canala On East Side Boundarie, This for your information.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</si>
</sst>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9">
    <font>
      <sz val="11"/>
      <color theme="1"/>
      <name val="Aptos Narrow"/>
      <family val="2"/>
      <scheme val="minor"/>
    </font>
    <font>
      <sz val="11"/>
      <color theme="1"/>
      <name val="Aptos Narrow"/>
      <family val="2"/>
      <scheme val="minor"/>
    </font>
    <font>
      <sz val="12"/>
      <color theme="1"/>
      <name val="Calibri"/>
      <family val="2"/>
    </font>
    <font>
      <b/>
      <sz val="12"/>
      <color theme="1"/>
      <name val="Calibri"/>
      <family val="2"/>
    </font>
    <font>
      <b/>
      <sz val="28"/>
      <color theme="3" tint="0.499984740745262"/>
      <name val="Book Antiqua"/>
      <family val="1"/>
    </font>
    <font>
      <b/>
      <sz val="14"/>
      <color theme="1"/>
      <name val="Book Antiqua"/>
      <family val="1"/>
    </font>
    <font>
      <sz val="14"/>
      <color theme="1"/>
      <name val="Book Antiqua"/>
      <family val="1"/>
    </font>
    <font>
      <sz val="17"/>
      <color rgb="FF1F1F1F"/>
      <name val="Arial"/>
      <family val="2"/>
    </font>
    <font>
      <sz val="12"/>
      <name val="Calibri"/>
      <family val="2"/>
    </font>
  </fonts>
  <fills count="6">
    <fill>
      <patternFill patternType="none"/>
    </fill>
    <fill>
      <patternFill patternType="gray125"/>
    </fill>
    <fill>
      <patternFill patternType="solid">
        <fgColor theme="3" tint="0.39997558519241921"/>
        <bgColor indexed="64"/>
      </patternFill>
    </fill>
    <fill>
      <patternFill patternType="solid">
        <fgColor rgb="FF92D050"/>
        <bgColor indexed="64"/>
      </patternFill>
    </fill>
    <fill>
      <patternFill patternType="solid">
        <fgColor theme="9" tint="0.39997558519241921"/>
        <bgColor indexed="64"/>
      </patternFill>
    </fill>
    <fill>
      <patternFill patternType="solid">
        <fgColor theme="0"/>
        <bgColor indexed="64"/>
      </patternFill>
    </fill>
  </fills>
  <borders count="2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9" fontId="2" fillId="0" borderId="2" xfId="0" applyNumberFormat="1" applyFont="1" applyBorder="1" applyAlignment="1" applyProtection="1">
      <alignment horizontal="center" vertical="center" wrapText="1"/>
      <protection locked="0"/>
    </xf>
    <xf numFmtId="2" fontId="2" fillId="4"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10" fontId="2" fillId="2" borderId="2" xfId="1" applyNumberFormat="1" applyFont="1" applyFill="1" applyBorder="1" applyAlignment="1" applyProtection="1">
      <alignment horizontal="center" vertical="center" wrapText="1"/>
    </xf>
    <xf numFmtId="10" fontId="2" fillId="4" borderId="2" xfId="0" applyNumberFormat="1" applyFont="1" applyFill="1" applyBorder="1" applyAlignment="1">
      <alignment horizontal="center" vertical="center" wrapText="1"/>
    </xf>
    <xf numFmtId="164" fontId="2" fillId="0" borderId="2" xfId="1" applyNumberFormat="1" applyFont="1" applyBorder="1" applyAlignment="1" applyProtection="1">
      <alignment horizontal="center" vertical="center" wrapText="1"/>
      <protection locked="0"/>
    </xf>
    <xf numFmtId="9" fontId="2" fillId="2" borderId="2" xfId="0" applyNumberFormat="1" applyFont="1" applyFill="1" applyBorder="1" applyAlignment="1">
      <alignment horizontal="center" vertical="center" wrapText="1"/>
    </xf>
    <xf numFmtId="0" fontId="2" fillId="0" borderId="0" xfId="0" applyFont="1" applyAlignment="1">
      <alignment horizontal="center" vertical="center" wrapText="1"/>
    </xf>
    <xf numFmtId="3" fontId="2" fillId="0" borderId="2" xfId="0" applyNumberFormat="1" applyFont="1" applyBorder="1" applyAlignment="1" applyProtection="1">
      <alignment horizontal="center" vertical="center" wrapText="1"/>
      <protection locked="0"/>
    </xf>
    <xf numFmtId="0" fontId="2" fillId="4" borderId="2" xfId="0" applyFont="1" applyFill="1" applyBorder="1" applyAlignment="1" applyProtection="1">
      <alignment horizontal="center" vertical="center" wrapText="1"/>
      <protection locked="0"/>
    </xf>
    <xf numFmtId="0" fontId="2" fillId="5" borderId="2"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2" fillId="0" borderId="2"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0" borderId="2" xfId="0" applyFont="1" applyBorder="1" applyAlignment="1">
      <alignment horizontal="center" vertical="center" wrapText="1"/>
    </xf>
    <xf numFmtId="14" fontId="2" fillId="0" borderId="2" xfId="0" applyNumberFormat="1" applyFont="1" applyBorder="1" applyAlignment="1" applyProtection="1">
      <alignment horizontal="center" vertical="center" wrapText="1"/>
      <protection locked="0"/>
    </xf>
    <xf numFmtId="164" fontId="2" fillId="4" borderId="2" xfId="0" applyNumberFormat="1" applyFont="1" applyFill="1" applyBorder="1" applyAlignment="1">
      <alignment horizontal="center" vertical="center" wrapText="1"/>
    </xf>
    <xf numFmtId="164" fontId="2" fillId="4" borderId="8" xfId="0" applyNumberFormat="1" applyFont="1" applyFill="1" applyBorder="1" applyAlignment="1">
      <alignment horizontal="center" vertical="center" wrapText="1"/>
    </xf>
    <xf numFmtId="3" fontId="2" fillId="5" borderId="2" xfId="0" applyNumberFormat="1" applyFont="1" applyFill="1" applyBorder="1" applyAlignment="1" applyProtection="1">
      <alignment horizontal="center" vertical="center" wrapText="1"/>
      <protection locked="0"/>
    </xf>
    <xf numFmtId="0" fontId="7" fillId="0" borderId="0" xfId="0" applyFont="1"/>
    <xf numFmtId="0" fontId="2" fillId="0" borderId="2" xfId="0" applyFont="1" applyBorder="1" applyAlignment="1">
      <alignment horizontal="center" vertical="center" wrapText="1"/>
    </xf>
    <xf numFmtId="0" fontId="2" fillId="0" borderId="2" xfId="0" applyFont="1" applyBorder="1" applyAlignment="1" applyProtection="1">
      <alignment horizontal="center" vertical="center" wrapText="1"/>
      <protection locked="0"/>
    </xf>
    <xf numFmtId="0" fontId="8" fillId="0" borderId="2" xfId="0" applyFont="1" applyBorder="1" applyAlignment="1">
      <alignment horizontal="left" vertical="center" wrapText="1"/>
    </xf>
    <xf numFmtId="0" fontId="2" fillId="0" borderId="8" xfId="0" applyFont="1" applyBorder="1" applyAlignment="1" applyProtection="1">
      <alignment horizontal="center" vertical="center" wrapText="1"/>
      <protection locked="0"/>
    </xf>
    <xf numFmtId="14" fontId="2" fillId="0" borderId="2" xfId="0" applyNumberFormat="1" applyFont="1" applyBorder="1" applyAlignment="1" applyProtection="1">
      <alignment horizontal="center" vertical="center" wrapText="1"/>
      <protection locked="0"/>
    </xf>
    <xf numFmtId="0" fontId="2" fillId="5" borderId="2" xfId="0" applyFont="1" applyFill="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4" borderId="7" xfId="0" applyFont="1" applyFill="1" applyBorder="1" applyAlignment="1">
      <alignment horizontal="center" vertical="center" wrapText="1"/>
    </xf>
    <xf numFmtId="0" fontId="2" fillId="0" borderId="2" xfId="0" applyFont="1" applyBorder="1" applyAlignment="1" applyProtection="1">
      <alignment horizontal="center" vertical="center" wrapText="1"/>
      <protection locked="0"/>
    </xf>
    <xf numFmtId="164" fontId="2" fillId="4" borderId="17" xfId="0" applyNumberFormat="1" applyFont="1" applyFill="1" applyBorder="1" applyAlignment="1">
      <alignment vertical="center" wrapText="1"/>
    </xf>
    <xf numFmtId="165" fontId="2" fillId="4" borderId="2" xfId="0" applyNumberFormat="1" applyFont="1" applyFill="1" applyBorder="1" applyAlignment="1">
      <alignment horizontal="center" vertical="center" wrapText="1"/>
    </xf>
    <xf numFmtId="0" fontId="2" fillId="0" borderId="2" xfId="0" applyFont="1" applyBorder="1" applyAlignment="1" applyProtection="1">
      <alignment horizontal="center" vertical="center" wrapText="1"/>
      <protection locked="0"/>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0" borderId="2" xfId="0" applyFont="1" applyBorder="1" applyAlignment="1" applyProtection="1">
      <alignment horizontal="center" vertical="center" wrapText="1"/>
      <protection locked="0"/>
    </xf>
    <xf numFmtId="0" fontId="2" fillId="0" borderId="8" xfId="0" applyFont="1" applyBorder="1" applyAlignment="1" applyProtection="1">
      <alignment horizontal="center" vertical="center" wrapText="1"/>
      <protection locked="0"/>
    </xf>
    <xf numFmtId="0" fontId="2" fillId="3" borderId="7"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0" borderId="9" xfId="0" applyFont="1" applyBorder="1" applyAlignment="1" applyProtection="1">
      <alignment horizontal="left" vertical="top" wrapText="1"/>
      <protection locked="0"/>
    </xf>
    <xf numFmtId="0" fontId="2" fillId="0" borderId="3" xfId="0" applyFont="1" applyBorder="1" applyAlignment="1" applyProtection="1">
      <alignment horizontal="left" vertical="top" wrapText="1"/>
      <protection locked="0"/>
    </xf>
    <xf numFmtId="0" fontId="2" fillId="0" borderId="10" xfId="0" applyFont="1" applyBorder="1" applyAlignment="1" applyProtection="1">
      <alignment horizontal="left" vertical="top" wrapText="1"/>
      <protection locked="0"/>
    </xf>
    <xf numFmtId="0" fontId="2" fillId="0" borderId="11" xfId="0" applyFont="1" applyBorder="1"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2" fillId="0" borderId="12" xfId="0" applyFont="1" applyBorder="1" applyAlignment="1" applyProtection="1">
      <alignment horizontal="left" vertical="top" wrapText="1"/>
      <protection locked="0"/>
    </xf>
    <xf numFmtId="0" fontId="2" fillId="0" borderId="13" xfId="0" applyFont="1" applyBorder="1" applyAlignment="1" applyProtection="1">
      <alignment horizontal="left" vertical="top" wrapText="1"/>
      <protection locked="0"/>
    </xf>
    <xf numFmtId="0" fontId="2" fillId="0" borderId="1" xfId="0" applyFont="1" applyBorder="1" applyAlignment="1" applyProtection="1">
      <alignment horizontal="left" vertical="top" wrapText="1"/>
      <protection locked="0"/>
    </xf>
    <xf numFmtId="0" fontId="2" fillId="0" borderId="14" xfId="0" applyFont="1" applyBorder="1" applyAlignment="1" applyProtection="1">
      <alignment horizontal="left" vertical="top" wrapText="1"/>
      <protection locked="0"/>
    </xf>
    <xf numFmtId="0" fontId="2" fillId="4" borderId="8" xfId="0" applyFont="1" applyFill="1" applyBorder="1" applyAlignment="1">
      <alignment horizontal="center" vertical="center" wrapText="1"/>
    </xf>
    <xf numFmtId="14" fontId="2" fillId="0" borderId="2" xfId="0" applyNumberFormat="1" applyFont="1" applyBorder="1" applyAlignment="1" applyProtection="1">
      <alignment horizontal="center" vertical="center" wrapText="1"/>
      <protection locked="0"/>
    </xf>
    <xf numFmtId="0" fontId="4" fillId="0" borderId="4"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4" fillId="0" borderId="6" xfId="0" applyFont="1" applyBorder="1" applyAlignment="1" applyProtection="1">
      <alignment horizontal="center" vertical="center" wrapText="1"/>
      <protection locked="0"/>
    </xf>
    <xf numFmtId="0" fontId="4" fillId="0" borderId="7"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2" borderId="7" xfId="0" applyFont="1" applyFill="1" applyBorder="1" applyAlignment="1" applyProtection="1">
      <alignment horizontal="center" vertical="center" wrapText="1"/>
      <protection locked="0"/>
    </xf>
    <xf numFmtId="0" fontId="6" fillId="2" borderId="2" xfId="0" applyFont="1" applyFill="1" applyBorder="1" applyAlignment="1" applyProtection="1">
      <alignment horizontal="center" vertical="center" wrapText="1"/>
      <protection locked="0"/>
    </xf>
    <xf numFmtId="0" fontId="6" fillId="2" borderId="8" xfId="0" applyFont="1" applyFill="1" applyBorder="1" applyAlignment="1" applyProtection="1">
      <alignment horizontal="center" vertical="center" wrapText="1"/>
      <protection locked="0"/>
    </xf>
    <xf numFmtId="0" fontId="6" fillId="2" borderId="7" xfId="0" applyFont="1" applyFill="1" applyBorder="1" applyAlignment="1" applyProtection="1">
      <alignment horizontal="center" vertical="center" wrapText="1"/>
      <protection locked="0"/>
    </xf>
    <xf numFmtId="0" fontId="2" fillId="0" borderId="2" xfId="0" applyFont="1" applyBorder="1" applyAlignment="1">
      <alignment horizontal="center" vertical="center" wrapText="1"/>
    </xf>
    <xf numFmtId="0" fontId="3" fillId="4" borderId="7" xfId="0" applyFont="1" applyFill="1" applyBorder="1" applyAlignment="1">
      <alignment horizontal="center" vertical="center" wrapText="1"/>
    </xf>
    <xf numFmtId="0" fontId="3" fillId="4" borderId="2" xfId="0" applyFont="1" applyFill="1" applyBorder="1" applyAlignment="1">
      <alignment horizontal="center" vertical="center" wrapText="1"/>
    </xf>
    <xf numFmtId="14" fontId="2" fillId="5" borderId="15" xfId="0" applyNumberFormat="1" applyFont="1" applyFill="1" applyBorder="1" applyAlignment="1">
      <alignment horizontal="left" vertical="top" wrapText="1"/>
    </xf>
    <xf numFmtId="0" fontId="2" fillId="5" borderId="16" xfId="0" applyFont="1" applyFill="1" applyBorder="1" applyAlignment="1">
      <alignment horizontal="left" vertical="top" wrapText="1"/>
    </xf>
    <xf numFmtId="0" fontId="2" fillId="5" borderId="17" xfId="0" applyFont="1" applyFill="1" applyBorder="1" applyAlignment="1">
      <alignment horizontal="left" vertical="top" wrapText="1"/>
    </xf>
    <xf numFmtId="0" fontId="2" fillId="5" borderId="15"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8"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10" Type="http://schemas.openxmlformats.org/officeDocument/2006/relationships/image" Target="../media/image10.jpeg"/><Relationship Id="rId19" Type="http://schemas.openxmlformats.org/officeDocument/2006/relationships/image" Target="../media/image19.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0</xdr:col>
      <xdr:colOff>922647</xdr:colOff>
      <xdr:row>5</xdr:row>
      <xdr:rowOff>77053</xdr:rowOff>
    </xdr:to>
    <xdr:pic>
      <xdr:nvPicPr>
        <xdr:cNvPr id="3" name="Picture 2">
          <a:extLst>
            <a:ext uri="{FF2B5EF4-FFF2-40B4-BE49-F238E27FC236}">
              <a16:creationId xmlns=""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28575"/>
          <a:ext cx="920576" cy="1048603"/>
        </a:xfrm>
        <a:prstGeom prst="rect">
          <a:avLst/>
        </a:prstGeom>
      </xdr:spPr>
    </xdr:pic>
    <xdr:clientData/>
  </xdr:twoCellAnchor>
  <xdr:twoCellAnchor>
    <xdr:from>
      <xdr:col>0</xdr:col>
      <xdr:colOff>0</xdr:colOff>
      <xdr:row>105</xdr:row>
      <xdr:rowOff>0</xdr:rowOff>
    </xdr:from>
    <xdr:to>
      <xdr:col>2</xdr:col>
      <xdr:colOff>933450</xdr:colOff>
      <xdr:row>105</xdr:row>
      <xdr:rowOff>2371396</xdr:rowOff>
    </xdr:to>
    <xdr:pic>
      <xdr:nvPicPr>
        <xdr:cNvPr id="20"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749" y="46153750"/>
          <a:ext cx="2771775" cy="2371396"/>
        </a:xfrm>
        <a:prstGeom prst="rect">
          <a:avLst/>
        </a:prstGeom>
      </xdr:spPr>
    </xdr:pic>
    <xdr:clientData/>
  </xdr:twoCellAnchor>
  <xdr:twoCellAnchor>
    <xdr:from>
      <xdr:col>0</xdr:col>
      <xdr:colOff>0</xdr:colOff>
      <xdr:row>107</xdr:row>
      <xdr:rowOff>0</xdr:rowOff>
    </xdr:from>
    <xdr:to>
      <xdr:col>2</xdr:col>
      <xdr:colOff>933450</xdr:colOff>
      <xdr:row>107</xdr:row>
      <xdr:rowOff>2966075</xdr:rowOff>
    </xdr:to>
    <xdr:pic>
      <xdr:nvPicPr>
        <xdr:cNvPr id="22" name="Picture 2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14692" y="46159457"/>
          <a:ext cx="2771775" cy="2966075"/>
        </a:xfrm>
        <a:prstGeom prst="rect">
          <a:avLst/>
        </a:prstGeom>
      </xdr:spPr>
    </xdr:pic>
    <xdr:clientData/>
  </xdr:twoCellAnchor>
  <xdr:twoCellAnchor>
    <xdr:from>
      <xdr:col>2</xdr:col>
      <xdr:colOff>942975</xdr:colOff>
      <xdr:row>105</xdr:row>
      <xdr:rowOff>0</xdr:rowOff>
    </xdr:from>
    <xdr:to>
      <xdr:col>5</xdr:col>
      <xdr:colOff>828675</xdr:colOff>
      <xdr:row>105</xdr:row>
      <xdr:rowOff>2371396</xdr:rowOff>
    </xdr:to>
    <xdr:pic>
      <xdr:nvPicPr>
        <xdr:cNvPr id="23" name="Picture 22"/>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65041" y="46158479"/>
          <a:ext cx="2695575" cy="2371396"/>
        </a:xfrm>
        <a:prstGeom prst="rect">
          <a:avLst/>
        </a:prstGeom>
      </xdr:spPr>
    </xdr:pic>
    <xdr:clientData/>
  </xdr:twoCellAnchor>
  <xdr:twoCellAnchor>
    <xdr:from>
      <xdr:col>0</xdr:col>
      <xdr:colOff>0</xdr:colOff>
      <xdr:row>109</xdr:row>
      <xdr:rowOff>0</xdr:rowOff>
    </xdr:from>
    <xdr:to>
      <xdr:col>2</xdr:col>
      <xdr:colOff>933450</xdr:colOff>
      <xdr:row>109</xdr:row>
      <xdr:rowOff>2966675</xdr:rowOff>
    </xdr:to>
    <xdr:pic>
      <xdr:nvPicPr>
        <xdr:cNvPr id="24" name="Picture 23"/>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750" y="48754075"/>
          <a:ext cx="2771775" cy="2966675"/>
        </a:xfrm>
        <a:prstGeom prst="rect">
          <a:avLst/>
        </a:prstGeom>
      </xdr:spPr>
    </xdr:pic>
    <xdr:clientData/>
  </xdr:twoCellAnchor>
  <xdr:twoCellAnchor>
    <xdr:from>
      <xdr:col>2</xdr:col>
      <xdr:colOff>942975</xdr:colOff>
      <xdr:row>109</xdr:row>
      <xdr:rowOff>0</xdr:rowOff>
    </xdr:from>
    <xdr:to>
      <xdr:col>5</xdr:col>
      <xdr:colOff>828675</xdr:colOff>
      <xdr:row>109</xdr:row>
      <xdr:rowOff>2966675</xdr:rowOff>
    </xdr:to>
    <xdr:pic>
      <xdr:nvPicPr>
        <xdr:cNvPr id="25" name="Picture 24"/>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021213" y="48754675"/>
          <a:ext cx="2695575" cy="2966675"/>
        </a:xfrm>
        <a:prstGeom prst="rect">
          <a:avLst/>
        </a:prstGeom>
      </xdr:spPr>
    </xdr:pic>
    <xdr:clientData/>
  </xdr:twoCellAnchor>
  <xdr:twoCellAnchor>
    <xdr:from>
      <xdr:col>2</xdr:col>
      <xdr:colOff>942975</xdr:colOff>
      <xdr:row>107</xdr:row>
      <xdr:rowOff>0</xdr:rowOff>
    </xdr:from>
    <xdr:to>
      <xdr:col>5</xdr:col>
      <xdr:colOff>828675</xdr:colOff>
      <xdr:row>107</xdr:row>
      <xdr:rowOff>2966075</xdr:rowOff>
    </xdr:to>
    <xdr:pic>
      <xdr:nvPicPr>
        <xdr:cNvPr id="26" name="Picture 25"/>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069088" y="48745150"/>
          <a:ext cx="2695575" cy="2966075"/>
        </a:xfrm>
        <a:prstGeom prst="rect">
          <a:avLst/>
        </a:prstGeom>
      </xdr:spPr>
    </xdr:pic>
    <xdr:clientData/>
  </xdr:twoCellAnchor>
  <xdr:twoCellAnchor>
    <xdr:from>
      <xdr:col>0</xdr:col>
      <xdr:colOff>0</xdr:colOff>
      <xdr:row>111</xdr:row>
      <xdr:rowOff>0</xdr:rowOff>
    </xdr:from>
    <xdr:to>
      <xdr:col>2</xdr:col>
      <xdr:colOff>933450</xdr:colOff>
      <xdr:row>111</xdr:row>
      <xdr:rowOff>2784600</xdr:rowOff>
    </xdr:to>
    <xdr:pic>
      <xdr:nvPicPr>
        <xdr:cNvPr id="28" name="Picture 27"/>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14900" y="51946050"/>
          <a:ext cx="2771775" cy="2784600"/>
        </a:xfrm>
        <a:prstGeom prst="rect">
          <a:avLst/>
        </a:prstGeom>
      </xdr:spPr>
    </xdr:pic>
    <xdr:clientData/>
  </xdr:twoCellAnchor>
  <xdr:twoCellAnchor>
    <xdr:from>
      <xdr:col>2</xdr:col>
      <xdr:colOff>942975</xdr:colOff>
      <xdr:row>111</xdr:row>
      <xdr:rowOff>0</xdr:rowOff>
    </xdr:from>
    <xdr:to>
      <xdr:col>5</xdr:col>
      <xdr:colOff>828675</xdr:colOff>
      <xdr:row>111</xdr:row>
      <xdr:rowOff>2784600</xdr:rowOff>
    </xdr:to>
    <xdr:pic>
      <xdr:nvPicPr>
        <xdr:cNvPr id="29" name="Picture 28"/>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51947216"/>
          <a:ext cx="2695575" cy="2784600"/>
        </a:xfrm>
        <a:prstGeom prst="rect">
          <a:avLst/>
        </a:prstGeom>
      </xdr:spPr>
    </xdr:pic>
    <xdr:clientData/>
  </xdr:twoCellAnchor>
  <xdr:twoCellAnchor>
    <xdr:from>
      <xdr:col>0</xdr:col>
      <xdr:colOff>0</xdr:colOff>
      <xdr:row>113</xdr:row>
      <xdr:rowOff>0</xdr:rowOff>
    </xdr:from>
    <xdr:to>
      <xdr:col>2</xdr:col>
      <xdr:colOff>933450</xdr:colOff>
      <xdr:row>113</xdr:row>
      <xdr:rowOff>2770900</xdr:rowOff>
    </xdr:to>
    <xdr:pic>
      <xdr:nvPicPr>
        <xdr:cNvPr id="30" name="Picture 29"/>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065450" y="51950225"/>
          <a:ext cx="2771775" cy="2770900"/>
        </a:xfrm>
        <a:prstGeom prst="rect">
          <a:avLst/>
        </a:prstGeom>
      </xdr:spPr>
    </xdr:pic>
    <xdr:clientData/>
  </xdr:twoCellAnchor>
  <xdr:twoCellAnchor>
    <xdr:from>
      <xdr:col>2</xdr:col>
      <xdr:colOff>942975</xdr:colOff>
      <xdr:row>117</xdr:row>
      <xdr:rowOff>0</xdr:rowOff>
    </xdr:from>
    <xdr:to>
      <xdr:col>5</xdr:col>
      <xdr:colOff>828675</xdr:colOff>
      <xdr:row>117</xdr:row>
      <xdr:rowOff>2773184</xdr:rowOff>
    </xdr:to>
    <xdr:pic>
      <xdr:nvPicPr>
        <xdr:cNvPr id="31" name="Picture 30"/>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54757816"/>
          <a:ext cx="2695575" cy="2773184"/>
        </a:xfrm>
        <a:prstGeom prst="rect">
          <a:avLst/>
        </a:prstGeom>
      </xdr:spPr>
    </xdr:pic>
    <xdr:clientData/>
  </xdr:twoCellAnchor>
  <xdr:twoCellAnchor>
    <xdr:from>
      <xdr:col>0</xdr:col>
      <xdr:colOff>0</xdr:colOff>
      <xdr:row>117</xdr:row>
      <xdr:rowOff>0</xdr:rowOff>
    </xdr:from>
    <xdr:to>
      <xdr:col>2</xdr:col>
      <xdr:colOff>933450</xdr:colOff>
      <xdr:row>117</xdr:row>
      <xdr:rowOff>2773184</xdr:rowOff>
    </xdr:to>
    <xdr:pic>
      <xdr:nvPicPr>
        <xdr:cNvPr id="32" name="Picture 31"/>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17574" y="54750575"/>
          <a:ext cx="2771775" cy="2773184"/>
        </a:xfrm>
        <a:prstGeom prst="rect">
          <a:avLst/>
        </a:prstGeom>
      </xdr:spPr>
    </xdr:pic>
    <xdr:clientData/>
  </xdr:twoCellAnchor>
  <xdr:twoCellAnchor>
    <xdr:from>
      <xdr:col>0</xdr:col>
      <xdr:colOff>0</xdr:colOff>
      <xdr:row>115</xdr:row>
      <xdr:rowOff>0</xdr:rowOff>
    </xdr:from>
    <xdr:to>
      <xdr:col>5</xdr:col>
      <xdr:colOff>828675</xdr:colOff>
      <xdr:row>115</xdr:row>
      <xdr:rowOff>2762620</xdr:rowOff>
    </xdr:to>
    <xdr:pic>
      <xdr:nvPicPr>
        <xdr:cNvPr id="33" name="Picture 32"/>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068909" y="54749330"/>
          <a:ext cx="5476875" cy="2762620"/>
        </a:xfrm>
        <a:prstGeom prst="rect">
          <a:avLst/>
        </a:prstGeom>
      </xdr:spPr>
    </xdr:pic>
    <xdr:clientData/>
  </xdr:twoCellAnchor>
  <xdr:twoCellAnchor>
    <xdr:from>
      <xdr:col>0</xdr:col>
      <xdr:colOff>0</xdr:colOff>
      <xdr:row>121</xdr:row>
      <xdr:rowOff>0</xdr:rowOff>
    </xdr:from>
    <xdr:to>
      <xdr:col>5</xdr:col>
      <xdr:colOff>828675</xdr:colOff>
      <xdr:row>121</xdr:row>
      <xdr:rowOff>3167337</xdr:rowOff>
    </xdr:to>
    <xdr:pic>
      <xdr:nvPicPr>
        <xdr:cNvPr id="34" name="Picture 33"/>
        <xdr:cNvPicPr>
          <a:picLocks noChangeAspect="1"/>
        </xdr:cNvPicPr>
      </xdr:nvPicPr>
      <xdr:blipFill>
        <a:blip xmlns:r="http://schemas.openxmlformats.org/officeDocument/2006/relationships" r:embed="rId14"/>
        <a:stretch>
          <a:fillRect/>
        </a:stretch>
      </xdr:blipFill>
      <xdr:spPr>
        <a:xfrm>
          <a:off x="1775" y="61355013"/>
          <a:ext cx="5476875" cy="3167337"/>
        </a:xfrm>
        <a:prstGeom prst="rect">
          <a:avLst/>
        </a:prstGeom>
      </xdr:spPr>
    </xdr:pic>
    <xdr:clientData/>
  </xdr:twoCellAnchor>
  <xdr:twoCellAnchor>
    <xdr:from>
      <xdr:col>0</xdr:col>
      <xdr:colOff>0</xdr:colOff>
      <xdr:row>119</xdr:row>
      <xdr:rowOff>0</xdr:rowOff>
    </xdr:from>
    <xdr:to>
      <xdr:col>5</xdr:col>
      <xdr:colOff>828675</xdr:colOff>
      <xdr:row>119</xdr:row>
      <xdr:rowOff>3364209</xdr:rowOff>
    </xdr:to>
    <xdr:pic>
      <xdr:nvPicPr>
        <xdr:cNvPr id="35" name="Picture 34"/>
        <xdr:cNvPicPr>
          <a:picLocks noChangeAspect="1"/>
        </xdr:cNvPicPr>
      </xdr:nvPicPr>
      <xdr:blipFill>
        <a:blip xmlns:r="http://schemas.openxmlformats.org/officeDocument/2006/relationships" r:embed="rId15"/>
        <a:stretch>
          <a:fillRect/>
        </a:stretch>
      </xdr:blipFill>
      <xdr:spPr>
        <a:xfrm>
          <a:off x="15177" y="57748191"/>
          <a:ext cx="5476875" cy="3364209"/>
        </a:xfrm>
        <a:prstGeom prst="rect">
          <a:avLst/>
        </a:prstGeom>
      </xdr:spPr>
    </xdr:pic>
    <xdr:clientData/>
  </xdr:twoCellAnchor>
  <xdr:twoCellAnchor>
    <xdr:from>
      <xdr:col>0</xdr:col>
      <xdr:colOff>0</xdr:colOff>
      <xdr:row>123</xdr:row>
      <xdr:rowOff>0</xdr:rowOff>
    </xdr:from>
    <xdr:to>
      <xdr:col>5</xdr:col>
      <xdr:colOff>828675</xdr:colOff>
      <xdr:row>123</xdr:row>
      <xdr:rowOff>2983837</xdr:rowOff>
    </xdr:to>
    <xdr:pic>
      <xdr:nvPicPr>
        <xdr:cNvPr id="36" name="Picture 35"/>
        <xdr:cNvPicPr>
          <a:picLocks noChangeAspect="1"/>
        </xdr:cNvPicPr>
      </xdr:nvPicPr>
      <xdr:blipFill>
        <a:blip xmlns:r="http://schemas.openxmlformats.org/officeDocument/2006/relationships" r:embed="rId16"/>
        <a:stretch>
          <a:fillRect/>
        </a:stretch>
      </xdr:blipFill>
      <xdr:spPr>
        <a:xfrm>
          <a:off x="0" y="64748438"/>
          <a:ext cx="5476875" cy="2983837"/>
        </a:xfrm>
        <a:prstGeom prst="rect">
          <a:avLst/>
        </a:prstGeom>
      </xdr:spPr>
    </xdr:pic>
    <xdr:clientData/>
  </xdr:twoCellAnchor>
  <xdr:twoCellAnchor>
    <xdr:from>
      <xdr:col>0</xdr:col>
      <xdr:colOff>0</xdr:colOff>
      <xdr:row>125</xdr:row>
      <xdr:rowOff>0</xdr:rowOff>
    </xdr:from>
    <xdr:to>
      <xdr:col>5</xdr:col>
      <xdr:colOff>828675</xdr:colOff>
      <xdr:row>125</xdr:row>
      <xdr:rowOff>2984689</xdr:rowOff>
    </xdr:to>
    <xdr:pic>
      <xdr:nvPicPr>
        <xdr:cNvPr id="37" name="Picture 36"/>
        <xdr:cNvPicPr>
          <a:picLocks noChangeAspect="1"/>
        </xdr:cNvPicPr>
      </xdr:nvPicPr>
      <xdr:blipFill>
        <a:blip xmlns:r="http://schemas.openxmlformats.org/officeDocument/2006/relationships" r:embed="rId17"/>
        <a:stretch>
          <a:fillRect/>
        </a:stretch>
      </xdr:blipFill>
      <xdr:spPr>
        <a:xfrm>
          <a:off x="0" y="67747961"/>
          <a:ext cx="5476875" cy="2984689"/>
        </a:xfrm>
        <a:prstGeom prst="rect">
          <a:avLst/>
        </a:prstGeom>
      </xdr:spPr>
    </xdr:pic>
    <xdr:clientData/>
  </xdr:twoCellAnchor>
  <xdr:twoCellAnchor>
    <xdr:from>
      <xdr:col>0</xdr:col>
      <xdr:colOff>0</xdr:colOff>
      <xdr:row>127</xdr:row>
      <xdr:rowOff>0</xdr:rowOff>
    </xdr:from>
    <xdr:to>
      <xdr:col>5</xdr:col>
      <xdr:colOff>828675</xdr:colOff>
      <xdr:row>127</xdr:row>
      <xdr:rowOff>2968229</xdr:rowOff>
    </xdr:to>
    <xdr:pic>
      <xdr:nvPicPr>
        <xdr:cNvPr id="38" name="Picture 37"/>
        <xdr:cNvPicPr>
          <a:picLocks noChangeAspect="1"/>
        </xdr:cNvPicPr>
      </xdr:nvPicPr>
      <xdr:blipFill>
        <a:blip xmlns:r="http://schemas.openxmlformats.org/officeDocument/2006/relationships" r:embed="rId18"/>
        <a:stretch>
          <a:fillRect/>
        </a:stretch>
      </xdr:blipFill>
      <xdr:spPr>
        <a:xfrm>
          <a:off x="194" y="70764796"/>
          <a:ext cx="5476875" cy="2968229"/>
        </a:xfrm>
        <a:prstGeom prst="rect">
          <a:avLst/>
        </a:prstGeom>
      </xdr:spPr>
    </xdr:pic>
    <xdr:clientData/>
  </xdr:twoCellAnchor>
  <xdr:twoCellAnchor>
    <xdr:from>
      <xdr:col>0</xdr:col>
      <xdr:colOff>0</xdr:colOff>
      <xdr:row>129</xdr:row>
      <xdr:rowOff>0</xdr:rowOff>
    </xdr:from>
    <xdr:to>
      <xdr:col>5</xdr:col>
      <xdr:colOff>828675</xdr:colOff>
      <xdr:row>129</xdr:row>
      <xdr:rowOff>2953257</xdr:rowOff>
    </xdr:to>
    <xdr:pic>
      <xdr:nvPicPr>
        <xdr:cNvPr id="39" name="Picture 38"/>
        <xdr:cNvPicPr>
          <a:picLocks noChangeAspect="1"/>
        </xdr:cNvPicPr>
      </xdr:nvPicPr>
      <xdr:blipFill>
        <a:blip xmlns:r="http://schemas.openxmlformats.org/officeDocument/2006/relationships" r:embed="rId19"/>
        <a:stretch>
          <a:fillRect/>
        </a:stretch>
      </xdr:blipFill>
      <xdr:spPr>
        <a:xfrm>
          <a:off x="9676" y="73761092"/>
          <a:ext cx="5476875" cy="295325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7"/>
  <sheetViews>
    <sheetView tabSelected="1" topLeftCell="A19" zoomScaleNormal="100" workbookViewId="0">
      <selection activeCell="F35" sqref="F35"/>
    </sheetView>
  </sheetViews>
  <sheetFormatPr defaultColWidth="9" defaultRowHeight="15.75"/>
  <cols>
    <col min="1" max="1" width="13.375" style="8" customWidth="1"/>
    <col min="2" max="2" width="12.875" style="8" customWidth="1"/>
    <col min="3" max="3" width="13.5" style="8" customWidth="1"/>
    <col min="4" max="5" width="13.375" style="8" customWidth="1"/>
    <col min="6" max="6" width="11.875" style="8" customWidth="1"/>
    <col min="7" max="16384" width="9" style="8"/>
  </cols>
  <sheetData>
    <row r="1" spans="1:8">
      <c r="A1" s="58" t="s">
        <v>177</v>
      </c>
      <c r="B1" s="59"/>
      <c r="C1" s="59"/>
      <c r="D1" s="59"/>
      <c r="E1" s="59"/>
      <c r="F1" s="60"/>
    </row>
    <row r="2" spans="1:8">
      <c r="A2" s="61"/>
      <c r="B2" s="62"/>
      <c r="C2" s="62"/>
      <c r="D2" s="62"/>
      <c r="E2" s="62"/>
      <c r="F2" s="63"/>
    </row>
    <row r="3" spans="1:8">
      <c r="A3" s="61"/>
      <c r="B3" s="62"/>
      <c r="C3" s="62"/>
      <c r="D3" s="62"/>
      <c r="E3" s="62"/>
      <c r="F3" s="63"/>
    </row>
    <row r="4" spans="1:8">
      <c r="A4" s="61"/>
      <c r="B4" s="62"/>
      <c r="C4" s="62"/>
      <c r="D4" s="62"/>
      <c r="E4" s="62"/>
      <c r="F4" s="63"/>
    </row>
    <row r="5" spans="1:8">
      <c r="A5" s="61"/>
      <c r="B5" s="62"/>
      <c r="C5" s="62"/>
      <c r="D5" s="62"/>
      <c r="E5" s="62"/>
      <c r="F5" s="63"/>
    </row>
    <row r="6" spans="1:8">
      <c r="A6" s="64" t="s">
        <v>0</v>
      </c>
      <c r="B6" s="65"/>
      <c r="C6" s="65"/>
      <c r="D6" s="65"/>
      <c r="E6" s="65"/>
      <c r="F6" s="66"/>
    </row>
    <row r="7" spans="1:8" ht="7.5" customHeight="1">
      <c r="A7" s="67"/>
      <c r="B7" s="65"/>
      <c r="C7" s="65"/>
      <c r="D7" s="65"/>
      <c r="E7" s="65"/>
      <c r="F7" s="66"/>
    </row>
    <row r="8" spans="1:8">
      <c r="A8" s="42" t="s">
        <v>1</v>
      </c>
      <c r="B8" s="43"/>
      <c r="C8" s="43"/>
      <c r="D8" s="43"/>
      <c r="E8" s="43"/>
      <c r="F8" s="12" t="s">
        <v>2</v>
      </c>
    </row>
    <row r="9" spans="1:8" ht="31.5">
      <c r="A9" s="18" t="s">
        <v>3</v>
      </c>
      <c r="B9" s="13" t="s">
        <v>200</v>
      </c>
      <c r="C9" s="16" t="s">
        <v>4</v>
      </c>
      <c r="D9" s="13" t="s">
        <v>207</v>
      </c>
      <c r="E9" s="16" t="s">
        <v>5</v>
      </c>
      <c r="F9" s="14" t="s">
        <v>206</v>
      </c>
    </row>
    <row r="10" spans="1:8" ht="39.75" customHeight="1">
      <c r="A10" s="18" t="s">
        <v>6</v>
      </c>
      <c r="B10" s="8" t="s">
        <v>205</v>
      </c>
      <c r="C10" s="16" t="s">
        <v>7</v>
      </c>
      <c r="D10" s="68" t="s">
        <v>205</v>
      </c>
      <c r="E10" s="68"/>
      <c r="F10" s="68"/>
      <c r="H10" s="24"/>
    </row>
    <row r="11" spans="1:8" ht="21.75">
      <c r="A11" s="42" t="s">
        <v>8</v>
      </c>
      <c r="B11" s="43"/>
      <c r="C11" s="43"/>
      <c r="D11" s="43"/>
      <c r="E11" s="43"/>
      <c r="F11" s="44"/>
      <c r="G11" s="24"/>
    </row>
    <row r="12" spans="1:8" ht="81" customHeight="1">
      <c r="A12" s="18" t="s">
        <v>9</v>
      </c>
      <c r="B12" s="71" t="s">
        <v>213</v>
      </c>
      <c r="C12" s="72"/>
      <c r="D12" s="72"/>
      <c r="E12" s="72"/>
      <c r="F12" s="73"/>
    </row>
    <row r="13" spans="1:8" ht="94.5">
      <c r="A13" s="18" t="s">
        <v>10</v>
      </c>
      <c r="B13" s="31" t="s">
        <v>208</v>
      </c>
      <c r="C13" s="16" t="s">
        <v>11</v>
      </c>
      <c r="D13" s="13" t="s">
        <v>12</v>
      </c>
      <c r="E13" s="16" t="s">
        <v>13</v>
      </c>
      <c r="F13" s="14" t="s">
        <v>12</v>
      </c>
    </row>
    <row r="14" spans="1:8" ht="47.25">
      <c r="A14" s="18" t="s">
        <v>14</v>
      </c>
      <c r="B14" s="13" t="s">
        <v>12</v>
      </c>
      <c r="C14" s="16" t="s">
        <v>15</v>
      </c>
      <c r="D14" s="13" t="s">
        <v>12</v>
      </c>
      <c r="E14" s="16" t="s">
        <v>16</v>
      </c>
      <c r="F14" s="14" t="s">
        <v>209</v>
      </c>
    </row>
    <row r="15" spans="1:8" ht="31.5">
      <c r="A15" s="18" t="s">
        <v>17</v>
      </c>
      <c r="B15" s="13" t="s">
        <v>201</v>
      </c>
      <c r="C15" s="16" t="s">
        <v>18</v>
      </c>
      <c r="D15" s="13" t="s">
        <v>210</v>
      </c>
      <c r="E15" s="16" t="s">
        <v>19</v>
      </c>
      <c r="F15" s="36" t="s">
        <v>201</v>
      </c>
    </row>
    <row r="16" spans="1:8" ht="31.5">
      <c r="A16" s="18" t="s">
        <v>20</v>
      </c>
      <c r="B16" s="36" t="s">
        <v>201</v>
      </c>
      <c r="C16" s="16" t="s">
        <v>21</v>
      </c>
      <c r="D16" s="13" t="s">
        <v>185</v>
      </c>
      <c r="E16" s="16" t="s">
        <v>22</v>
      </c>
      <c r="F16" s="14">
        <v>533445</v>
      </c>
    </row>
    <row r="17" spans="1:9" ht="63">
      <c r="A17" s="18" t="s">
        <v>23</v>
      </c>
      <c r="B17" s="13" t="s">
        <v>202</v>
      </c>
      <c r="C17" s="16" t="s">
        <v>24</v>
      </c>
      <c r="D17" s="13" t="s">
        <v>211</v>
      </c>
      <c r="E17" s="16" t="s">
        <v>25</v>
      </c>
      <c r="F17" s="25" t="s">
        <v>198</v>
      </c>
    </row>
    <row r="18" spans="1:9" ht="64.5" customHeight="1">
      <c r="A18" s="18" t="s">
        <v>26</v>
      </c>
      <c r="B18" s="33" t="s">
        <v>212</v>
      </c>
      <c r="C18" s="16" t="s">
        <v>27</v>
      </c>
      <c r="D18" s="13" t="s">
        <v>190</v>
      </c>
      <c r="E18" s="16" t="s">
        <v>28</v>
      </c>
      <c r="F18" s="14">
        <v>9603376692</v>
      </c>
      <c r="I18" s="8" t="s">
        <v>12</v>
      </c>
    </row>
    <row r="19" spans="1:9">
      <c r="A19" s="42" t="s">
        <v>29</v>
      </c>
      <c r="B19" s="43"/>
      <c r="C19" s="43"/>
      <c r="D19" s="43"/>
      <c r="E19" s="43"/>
      <c r="F19" s="44"/>
    </row>
    <row r="20" spans="1:9">
      <c r="A20" s="18" t="s">
        <v>30</v>
      </c>
      <c r="B20" s="16" t="s">
        <v>31</v>
      </c>
      <c r="C20" s="16" t="s">
        <v>32</v>
      </c>
      <c r="D20" s="16" t="s">
        <v>33</v>
      </c>
      <c r="E20" s="46" t="s">
        <v>34</v>
      </c>
      <c r="F20" s="56"/>
    </row>
    <row r="21" spans="1:9" ht="94.5">
      <c r="A21" s="32" t="s">
        <v>199</v>
      </c>
      <c r="B21" s="11" t="s">
        <v>217</v>
      </c>
      <c r="C21" s="11" t="s">
        <v>216</v>
      </c>
      <c r="D21" s="11" t="s">
        <v>214</v>
      </c>
      <c r="E21" s="74" t="s">
        <v>215</v>
      </c>
      <c r="F21" s="75"/>
    </row>
    <row r="22" spans="1:9" ht="63">
      <c r="A22" s="18" t="s">
        <v>35</v>
      </c>
      <c r="B22" s="11" t="s">
        <v>219</v>
      </c>
      <c r="C22" s="11" t="s">
        <v>220</v>
      </c>
      <c r="D22" s="11" t="s">
        <v>218</v>
      </c>
      <c r="E22" s="74" t="s">
        <v>229</v>
      </c>
      <c r="F22" s="75"/>
    </row>
    <row r="23" spans="1:9">
      <c r="A23" s="42" t="s">
        <v>36</v>
      </c>
      <c r="B23" s="43"/>
      <c r="C23" s="43"/>
      <c r="D23" s="43"/>
      <c r="E23" s="43"/>
      <c r="F23" s="44"/>
    </row>
    <row r="24" spans="1:9" ht="63">
      <c r="A24" s="18" t="s">
        <v>37</v>
      </c>
      <c r="B24" s="8" t="s">
        <v>221</v>
      </c>
      <c r="C24" s="16" t="s">
        <v>38</v>
      </c>
      <c r="D24" s="8" t="s">
        <v>222</v>
      </c>
      <c r="E24" s="16" t="s">
        <v>39</v>
      </c>
      <c r="F24" s="14" t="s">
        <v>223</v>
      </c>
    </row>
    <row r="25" spans="1:9" ht="78.75">
      <c r="A25" s="18" t="s">
        <v>40</v>
      </c>
      <c r="B25" s="26" t="s">
        <v>224</v>
      </c>
      <c r="C25" s="16" t="s">
        <v>41</v>
      </c>
      <c r="D25" s="13" t="s">
        <v>195</v>
      </c>
      <c r="E25" s="16" t="s">
        <v>42</v>
      </c>
      <c r="F25" s="28" t="s">
        <v>12</v>
      </c>
    </row>
    <row r="26" spans="1:9" ht="47.25">
      <c r="A26" s="18" t="s">
        <v>43</v>
      </c>
      <c r="B26" s="13" t="s">
        <v>225</v>
      </c>
      <c r="C26" s="16" t="s">
        <v>44</v>
      </c>
      <c r="D26" s="13" t="s">
        <v>198</v>
      </c>
      <c r="E26" s="16" t="s">
        <v>45</v>
      </c>
      <c r="F26" s="14" t="s">
        <v>187</v>
      </c>
    </row>
    <row r="27" spans="1:9" ht="63">
      <c r="A27" s="18" t="s">
        <v>46</v>
      </c>
      <c r="B27" s="13" t="s">
        <v>192</v>
      </c>
      <c r="C27" s="16" t="s">
        <v>47</v>
      </c>
      <c r="D27" s="13" t="s">
        <v>48</v>
      </c>
      <c r="E27" s="16" t="s">
        <v>49</v>
      </c>
      <c r="F27" s="14" t="s">
        <v>48</v>
      </c>
    </row>
    <row r="28" spans="1:9" ht="63">
      <c r="A28" s="18" t="s">
        <v>50</v>
      </c>
      <c r="B28" s="13" t="s">
        <v>48</v>
      </c>
      <c r="C28" s="16" t="s">
        <v>51</v>
      </c>
      <c r="D28" s="13" t="s">
        <v>12</v>
      </c>
      <c r="E28" s="16" t="s">
        <v>52</v>
      </c>
      <c r="F28" s="14" t="s">
        <v>12</v>
      </c>
    </row>
    <row r="29" spans="1:9" ht="31.5">
      <c r="A29" s="18" t="s">
        <v>53</v>
      </c>
      <c r="B29" s="13" t="s">
        <v>54</v>
      </c>
      <c r="C29" s="16" t="s">
        <v>55</v>
      </c>
      <c r="D29" s="13" t="s">
        <v>56</v>
      </c>
      <c r="E29" s="16" t="s">
        <v>57</v>
      </c>
      <c r="F29" s="14" t="s">
        <v>56</v>
      </c>
    </row>
    <row r="30" spans="1:9" ht="78.75">
      <c r="A30" s="18" t="s">
        <v>58</v>
      </c>
      <c r="B30" s="1">
        <v>0.7</v>
      </c>
      <c r="C30" s="16" t="s">
        <v>59</v>
      </c>
      <c r="D30" s="1">
        <v>0.7</v>
      </c>
      <c r="E30" s="16" t="s">
        <v>60</v>
      </c>
      <c r="F30" s="14" t="s">
        <v>61</v>
      </c>
    </row>
    <row r="31" spans="1:9">
      <c r="A31" s="42" t="s">
        <v>62</v>
      </c>
      <c r="B31" s="43"/>
      <c r="C31" s="43"/>
      <c r="D31" s="43"/>
      <c r="E31" s="43"/>
      <c r="F31" s="44"/>
    </row>
    <row r="32" spans="1:9" ht="63">
      <c r="A32" s="18" t="s">
        <v>63</v>
      </c>
      <c r="B32" s="16" t="s">
        <v>64</v>
      </c>
      <c r="C32" s="16" t="s">
        <v>65</v>
      </c>
      <c r="D32" s="46" t="s">
        <v>66</v>
      </c>
      <c r="E32" s="46"/>
      <c r="F32" s="56"/>
    </row>
    <row r="33" spans="1:6" ht="47.25">
      <c r="A33" s="18">
        <v>1</v>
      </c>
      <c r="B33" s="16" t="s">
        <v>67</v>
      </c>
      <c r="C33" s="13" t="s">
        <v>226</v>
      </c>
      <c r="D33" s="40" t="s">
        <v>203</v>
      </c>
      <c r="E33" s="40"/>
      <c r="F33" s="41"/>
    </row>
    <row r="34" spans="1:6" ht="63">
      <c r="A34" s="18">
        <v>2</v>
      </c>
      <c r="B34" s="16" t="s">
        <v>68</v>
      </c>
      <c r="C34" s="13" t="s">
        <v>204</v>
      </c>
      <c r="D34" s="40" t="s">
        <v>227</v>
      </c>
      <c r="E34" s="40"/>
      <c r="F34" s="41"/>
    </row>
    <row r="35" spans="1:6" ht="47.25">
      <c r="A35" s="18" t="s">
        <v>69</v>
      </c>
      <c r="B35" s="13" t="s">
        <v>12</v>
      </c>
      <c r="C35" s="16" t="s">
        <v>70</v>
      </c>
      <c r="D35" s="13" t="s">
        <v>12</v>
      </c>
      <c r="E35" s="16" t="s">
        <v>71</v>
      </c>
      <c r="F35" s="27" t="s">
        <v>228</v>
      </c>
    </row>
    <row r="36" spans="1:6">
      <c r="A36" s="42" t="s">
        <v>72</v>
      </c>
      <c r="B36" s="43"/>
      <c r="C36" s="43"/>
      <c r="D36" s="43"/>
      <c r="E36" s="43"/>
      <c r="F36" s="44"/>
    </row>
    <row r="37" spans="1:6" ht="31.5">
      <c r="A37" s="18" t="s">
        <v>73</v>
      </c>
      <c r="B37" s="16" t="s">
        <v>74</v>
      </c>
      <c r="C37" s="16" t="s">
        <v>75</v>
      </c>
      <c r="D37" s="46" t="s">
        <v>76</v>
      </c>
      <c r="E37" s="46"/>
      <c r="F37" s="56"/>
    </row>
    <row r="38" spans="1:6" ht="94.5">
      <c r="A38" s="18" t="s">
        <v>77</v>
      </c>
      <c r="B38" s="9">
        <v>1072</v>
      </c>
      <c r="C38" s="2">
        <f>B38/10.7639</f>
        <v>99.592155259710708</v>
      </c>
      <c r="D38" s="16" t="s">
        <v>78</v>
      </c>
      <c r="E38" s="40" t="s">
        <v>12</v>
      </c>
      <c r="F38" s="41"/>
    </row>
    <row r="39" spans="1:6" ht="47.25">
      <c r="A39" s="18" t="s">
        <v>79</v>
      </c>
      <c r="B39" s="13">
        <f>B40*80%</f>
        <v>544</v>
      </c>
      <c r="C39" s="2">
        <f t="shared" ref="C39:C42" si="0">B39/10.7639</f>
        <v>50.539302669106924</v>
      </c>
      <c r="D39" s="16" t="s">
        <v>80</v>
      </c>
      <c r="E39" s="40"/>
      <c r="F39" s="41"/>
    </row>
    <row r="40" spans="1:6" ht="47.25">
      <c r="A40" s="18" t="s">
        <v>193</v>
      </c>
      <c r="B40" s="13">
        <v>680</v>
      </c>
      <c r="C40" s="2">
        <f t="shared" si="0"/>
        <v>63.174128336383653</v>
      </c>
      <c r="D40" s="16" t="s">
        <v>81</v>
      </c>
      <c r="E40" s="40"/>
      <c r="F40" s="41"/>
    </row>
    <row r="41" spans="1:6" ht="78.75">
      <c r="A41" s="18" t="s">
        <v>194</v>
      </c>
      <c r="B41" s="13">
        <v>0</v>
      </c>
      <c r="C41" s="2">
        <f t="shared" si="0"/>
        <v>0</v>
      </c>
      <c r="D41" s="16" t="s">
        <v>83</v>
      </c>
      <c r="E41" s="40"/>
      <c r="F41" s="41"/>
    </row>
    <row r="42" spans="1:6" ht="47.25">
      <c r="A42" s="18" t="s">
        <v>84</v>
      </c>
      <c r="B42" s="13">
        <f>B40</f>
        <v>680</v>
      </c>
      <c r="C42" s="2">
        <f t="shared" si="0"/>
        <v>63.174128336383653</v>
      </c>
      <c r="D42" s="16" t="s">
        <v>85</v>
      </c>
      <c r="E42" s="40" t="s">
        <v>12</v>
      </c>
      <c r="F42" s="41"/>
    </row>
    <row r="43" spans="1:6">
      <c r="A43" s="42" t="s">
        <v>86</v>
      </c>
      <c r="B43" s="43"/>
      <c r="C43" s="43"/>
      <c r="D43" s="43"/>
      <c r="E43" s="43"/>
      <c r="F43" s="44"/>
    </row>
    <row r="44" spans="1:6" ht="31.5">
      <c r="A44" s="45" t="s">
        <v>73</v>
      </c>
      <c r="B44" s="46"/>
      <c r="C44" s="16" t="s">
        <v>87</v>
      </c>
      <c r="D44" s="16" t="s">
        <v>88</v>
      </c>
      <c r="E44" s="16" t="s">
        <v>89</v>
      </c>
      <c r="F44" s="17"/>
    </row>
    <row r="45" spans="1:6" ht="94.5">
      <c r="A45" s="18" t="s">
        <v>90</v>
      </c>
      <c r="B45" s="10" t="s">
        <v>77</v>
      </c>
      <c r="C45" s="11">
        <f>B38</f>
        <v>1072</v>
      </c>
      <c r="D45" s="23">
        <v>777</v>
      </c>
      <c r="E45" s="11">
        <f>ROUND(C45*D45,2)</f>
        <v>832944</v>
      </c>
      <c r="F45" s="17" t="s">
        <v>91</v>
      </c>
    </row>
    <row r="46" spans="1:6" ht="63">
      <c r="A46" s="37" t="s">
        <v>92</v>
      </c>
      <c r="B46" s="38" t="s">
        <v>230</v>
      </c>
      <c r="C46" s="11">
        <v>440</v>
      </c>
      <c r="D46" s="23">
        <v>1800</v>
      </c>
      <c r="E46" s="11">
        <f>ROUND(C46*D46,2)</f>
        <v>792000</v>
      </c>
      <c r="F46" s="39"/>
    </row>
    <row r="47" spans="1:6" ht="63">
      <c r="A47" s="45" t="s">
        <v>92</v>
      </c>
      <c r="B47" s="16" t="s">
        <v>231</v>
      </c>
      <c r="C47" s="11">
        <v>240</v>
      </c>
      <c r="D47" s="30">
        <v>1800</v>
      </c>
      <c r="E47" s="11">
        <f>ROUND(C47*D47,2)</f>
        <v>432000</v>
      </c>
      <c r="F47" s="17" t="s">
        <v>91</v>
      </c>
    </row>
    <row r="48" spans="1:6" ht="47.25">
      <c r="A48" s="45"/>
      <c r="B48" s="16" t="s">
        <v>82</v>
      </c>
      <c r="C48" s="11">
        <v>0</v>
      </c>
      <c r="D48" s="13">
        <v>0</v>
      </c>
      <c r="E48" s="16">
        <f t="shared" ref="E48:E49" si="1">ROUND(C48*D48,2)</f>
        <v>0</v>
      </c>
      <c r="F48" s="17" t="s">
        <v>91</v>
      </c>
    </row>
    <row r="49" spans="1:6" ht="47.25">
      <c r="A49" s="18" t="s">
        <v>93</v>
      </c>
      <c r="B49" s="16" t="s">
        <v>94</v>
      </c>
      <c r="C49" s="13">
        <v>0</v>
      </c>
      <c r="D49" s="13">
        <v>0</v>
      </c>
      <c r="E49" s="13">
        <f t="shared" si="1"/>
        <v>0</v>
      </c>
      <c r="F49" s="14" t="s">
        <v>91</v>
      </c>
    </row>
    <row r="50" spans="1:6">
      <c r="A50" s="42" t="s">
        <v>95</v>
      </c>
      <c r="B50" s="43"/>
      <c r="C50" s="43"/>
      <c r="D50" s="43"/>
      <c r="E50" s="43"/>
      <c r="F50" s="44"/>
    </row>
    <row r="51" spans="1:6" ht="31.5">
      <c r="A51" s="18" t="s">
        <v>96</v>
      </c>
      <c r="B51" s="16" t="s">
        <v>97</v>
      </c>
      <c r="C51" s="16" t="s">
        <v>98</v>
      </c>
      <c r="D51" s="16" t="s">
        <v>99</v>
      </c>
      <c r="E51" s="16" t="s">
        <v>100</v>
      </c>
      <c r="F51" s="17"/>
    </row>
    <row r="52" spans="1:6">
      <c r="A52" s="18">
        <v>1</v>
      </c>
      <c r="B52" s="13" t="s">
        <v>101</v>
      </c>
      <c r="C52" s="13">
        <v>0</v>
      </c>
      <c r="D52" s="13" t="s">
        <v>102</v>
      </c>
      <c r="E52" s="13">
        <v>0</v>
      </c>
      <c r="F52" s="17"/>
    </row>
    <row r="53" spans="1:6">
      <c r="A53" s="18">
        <v>2</v>
      </c>
      <c r="B53" s="13" t="s">
        <v>103</v>
      </c>
      <c r="C53" s="13">
        <v>0</v>
      </c>
      <c r="D53" s="13" t="s">
        <v>102</v>
      </c>
      <c r="E53" s="13">
        <v>0</v>
      </c>
      <c r="F53" s="17"/>
    </row>
    <row r="54" spans="1:6">
      <c r="A54" s="45" t="s">
        <v>104</v>
      </c>
      <c r="B54" s="46"/>
      <c r="C54" s="46"/>
      <c r="D54" s="46"/>
      <c r="E54" s="16">
        <f>ROUND(SUM(E52:E53),2)</f>
        <v>0</v>
      </c>
      <c r="F54" s="17" t="s">
        <v>91</v>
      </c>
    </row>
    <row r="55" spans="1:6">
      <c r="A55" s="69" t="s">
        <v>105</v>
      </c>
      <c r="B55" s="70"/>
      <c r="C55" s="70"/>
      <c r="D55" s="70"/>
      <c r="E55" s="11">
        <f>ROUND(E46+E45+E47+E48+E54,2)</f>
        <v>2056944</v>
      </c>
      <c r="F55" s="17" t="s">
        <v>91</v>
      </c>
    </row>
    <row r="56" spans="1:6">
      <c r="A56" s="42" t="s">
        <v>106</v>
      </c>
      <c r="B56" s="43"/>
      <c r="C56" s="43"/>
      <c r="D56" s="43"/>
      <c r="E56" s="43"/>
      <c r="F56" s="44"/>
    </row>
    <row r="57" spans="1:6" ht="31.5">
      <c r="A57" s="42" t="s">
        <v>107</v>
      </c>
      <c r="B57" s="43"/>
      <c r="C57" s="15" t="s">
        <v>108</v>
      </c>
      <c r="D57" s="15" t="s">
        <v>109</v>
      </c>
      <c r="E57" s="43" t="s">
        <v>110</v>
      </c>
      <c r="F57" s="44"/>
    </row>
    <row r="58" spans="1:6" ht="31.5">
      <c r="A58" s="18" t="s">
        <v>111</v>
      </c>
      <c r="B58" s="16" t="s">
        <v>112</v>
      </c>
      <c r="C58" s="13">
        <v>0</v>
      </c>
      <c r="D58" s="13">
        <v>0</v>
      </c>
      <c r="E58" s="40" t="s">
        <v>12</v>
      </c>
      <c r="F58" s="41"/>
    </row>
    <row r="59" spans="1:6" ht="63">
      <c r="A59" s="18" t="s">
        <v>113</v>
      </c>
      <c r="B59" s="16" t="s">
        <v>114</v>
      </c>
      <c r="C59" s="13">
        <v>1</v>
      </c>
      <c r="D59" s="13">
        <v>1</v>
      </c>
      <c r="E59" s="40"/>
      <c r="F59" s="41"/>
    </row>
    <row r="60" spans="1:6" ht="31.5">
      <c r="A60" s="18" t="s">
        <v>115</v>
      </c>
      <c r="B60" s="16" t="s">
        <v>116</v>
      </c>
      <c r="C60" s="13">
        <v>2</v>
      </c>
      <c r="D60" s="13">
        <v>2</v>
      </c>
      <c r="E60" s="40"/>
      <c r="F60" s="41"/>
    </row>
    <row r="61" spans="1:6" ht="31.5">
      <c r="A61" s="18" t="s">
        <v>117</v>
      </c>
      <c r="B61" s="16" t="s">
        <v>118</v>
      </c>
      <c r="C61" s="13">
        <v>3</v>
      </c>
      <c r="D61" s="19">
        <v>3</v>
      </c>
      <c r="E61" s="40"/>
      <c r="F61" s="41"/>
    </row>
    <row r="62" spans="1:6">
      <c r="A62" s="42" t="s">
        <v>119</v>
      </c>
      <c r="B62" s="43"/>
      <c r="C62" s="43"/>
      <c r="D62" s="43"/>
      <c r="E62" s="43"/>
      <c r="F62" s="44"/>
    </row>
    <row r="63" spans="1:6" ht="47.25">
      <c r="A63" s="45" t="s">
        <v>120</v>
      </c>
      <c r="B63" s="46"/>
      <c r="C63" s="16" t="s">
        <v>121</v>
      </c>
      <c r="D63" s="16" t="s">
        <v>122</v>
      </c>
      <c r="E63" s="16" t="s">
        <v>123</v>
      </c>
      <c r="F63" s="17" t="s">
        <v>124</v>
      </c>
    </row>
    <row r="64" spans="1:6">
      <c r="A64" s="45" t="s">
        <v>125</v>
      </c>
      <c r="B64" s="46"/>
      <c r="C64" s="13" t="s">
        <v>12</v>
      </c>
      <c r="D64" s="13" t="s">
        <v>12</v>
      </c>
      <c r="E64" s="13" t="s">
        <v>12</v>
      </c>
      <c r="F64" s="14" t="s">
        <v>12</v>
      </c>
    </row>
    <row r="65" spans="1:6">
      <c r="A65" s="45" t="s">
        <v>126</v>
      </c>
      <c r="B65" s="46"/>
      <c r="C65" s="13" t="s">
        <v>12</v>
      </c>
      <c r="D65" s="13" t="s">
        <v>12</v>
      </c>
      <c r="E65" s="13" t="s">
        <v>12</v>
      </c>
      <c r="F65" s="14" t="s">
        <v>12</v>
      </c>
    </row>
    <row r="66" spans="1:6">
      <c r="A66" s="45" t="s">
        <v>127</v>
      </c>
      <c r="B66" s="46"/>
      <c r="C66" s="13" t="s">
        <v>12</v>
      </c>
      <c r="D66" s="20" t="s">
        <v>12</v>
      </c>
      <c r="E66" s="13" t="s">
        <v>12</v>
      </c>
      <c r="F66" s="14" t="s">
        <v>12</v>
      </c>
    </row>
    <row r="67" spans="1:6" ht="57" customHeight="1">
      <c r="A67" s="45" t="s">
        <v>128</v>
      </c>
      <c r="B67" s="46"/>
      <c r="C67" s="20" t="s">
        <v>232</v>
      </c>
      <c r="D67" s="29">
        <v>45780</v>
      </c>
      <c r="E67" s="29" t="s">
        <v>233</v>
      </c>
      <c r="F67" s="14" t="s">
        <v>12</v>
      </c>
    </row>
    <row r="68" spans="1:6">
      <c r="A68" s="45" t="s">
        <v>129</v>
      </c>
      <c r="B68" s="46"/>
      <c r="C68" s="13" t="s">
        <v>12</v>
      </c>
      <c r="D68" s="13" t="s">
        <v>12</v>
      </c>
      <c r="E68" s="13" t="s">
        <v>12</v>
      </c>
      <c r="F68" s="14" t="s">
        <v>12</v>
      </c>
    </row>
    <row r="69" spans="1:6">
      <c r="A69" s="45" t="s">
        <v>130</v>
      </c>
      <c r="B69" s="46"/>
      <c r="C69" s="13" t="s">
        <v>12</v>
      </c>
      <c r="D69" s="13" t="s">
        <v>12</v>
      </c>
      <c r="E69" s="13" t="s">
        <v>12</v>
      </c>
      <c r="F69" s="14" t="s">
        <v>12</v>
      </c>
    </row>
    <row r="70" spans="1:6">
      <c r="A70" s="45" t="s">
        <v>131</v>
      </c>
      <c r="B70" s="46"/>
      <c r="C70" s="13" t="s">
        <v>12</v>
      </c>
      <c r="D70" s="13" t="s">
        <v>12</v>
      </c>
      <c r="E70" s="13" t="s">
        <v>12</v>
      </c>
      <c r="F70" s="14" t="s">
        <v>12</v>
      </c>
    </row>
    <row r="71" spans="1:6" ht="31.5">
      <c r="A71" s="45" t="s">
        <v>132</v>
      </c>
      <c r="B71" s="46"/>
      <c r="C71" s="13" t="s">
        <v>234</v>
      </c>
      <c r="D71" s="20">
        <v>44490</v>
      </c>
      <c r="E71" s="13" t="s">
        <v>235</v>
      </c>
      <c r="F71" s="14" t="s">
        <v>12</v>
      </c>
    </row>
    <row r="72" spans="1:6">
      <c r="A72" s="45" t="s">
        <v>133</v>
      </c>
      <c r="B72" s="46"/>
      <c r="C72" s="40" t="s">
        <v>134</v>
      </c>
      <c r="D72" s="40"/>
      <c r="E72" s="40"/>
      <c r="F72" s="41"/>
    </row>
    <row r="73" spans="1:6" ht="15.75" customHeight="1">
      <c r="A73" s="45" t="s">
        <v>133</v>
      </c>
      <c r="B73" s="46"/>
      <c r="C73" s="40" t="s">
        <v>134</v>
      </c>
      <c r="D73" s="40"/>
      <c r="E73" s="40"/>
      <c r="F73" s="41"/>
    </row>
    <row r="74" spans="1:6" ht="47.25">
      <c r="A74" s="18" t="s">
        <v>135</v>
      </c>
      <c r="B74" s="13" t="s">
        <v>136</v>
      </c>
      <c r="C74" s="16" t="s">
        <v>137</v>
      </c>
      <c r="D74" s="13" t="s">
        <v>198</v>
      </c>
      <c r="E74" s="16" t="s">
        <v>138</v>
      </c>
      <c r="F74" s="14" t="s">
        <v>139</v>
      </c>
    </row>
    <row r="75" spans="1:6" ht="31.5">
      <c r="A75" s="18" t="s">
        <v>140</v>
      </c>
      <c r="B75" s="13" t="s">
        <v>141</v>
      </c>
      <c r="C75" s="16" t="s">
        <v>142</v>
      </c>
      <c r="D75" s="13" t="s">
        <v>12</v>
      </c>
      <c r="E75" s="16" t="s">
        <v>143</v>
      </c>
      <c r="F75" s="14" t="s">
        <v>12</v>
      </c>
    </row>
    <row r="76" spans="1:6" ht="63">
      <c r="A76" s="18" t="s">
        <v>144</v>
      </c>
      <c r="B76" s="13">
        <v>47</v>
      </c>
      <c r="C76" s="16" t="s">
        <v>145</v>
      </c>
      <c r="D76" s="13" t="s">
        <v>146</v>
      </c>
      <c r="E76" s="16" t="s">
        <v>147</v>
      </c>
      <c r="F76" s="14" t="s">
        <v>148</v>
      </c>
    </row>
    <row r="77" spans="1:6">
      <c r="A77" s="42" t="s">
        <v>149</v>
      </c>
      <c r="B77" s="43"/>
      <c r="C77" s="43"/>
      <c r="D77" s="43"/>
      <c r="E77" s="43"/>
      <c r="F77" s="44"/>
    </row>
    <row r="78" spans="1:6" ht="63">
      <c r="A78" s="18" t="s">
        <v>150</v>
      </c>
      <c r="B78" s="16" t="s">
        <v>151</v>
      </c>
      <c r="C78" s="3" t="s">
        <v>152</v>
      </c>
      <c r="D78" s="16" t="s">
        <v>153</v>
      </c>
      <c r="E78" s="16" t="s">
        <v>154</v>
      </c>
      <c r="F78" s="17" t="s">
        <v>155</v>
      </c>
    </row>
    <row r="79" spans="1:6">
      <c r="A79" s="18">
        <v>1</v>
      </c>
      <c r="B79" s="16" t="s">
        <v>156</v>
      </c>
      <c r="C79" s="4">
        <v>0.05</v>
      </c>
      <c r="D79" s="5">
        <v>0.05</v>
      </c>
      <c r="E79" s="6">
        <v>1</v>
      </c>
      <c r="F79" s="41" t="s">
        <v>157</v>
      </c>
    </row>
    <row r="80" spans="1:6">
      <c r="A80" s="18">
        <v>2</v>
      </c>
      <c r="B80" s="16" t="s">
        <v>158</v>
      </c>
      <c r="C80" s="4">
        <v>0.1</v>
      </c>
      <c r="D80" s="5">
        <v>0.1</v>
      </c>
      <c r="E80" s="6">
        <v>3</v>
      </c>
      <c r="F80" s="41"/>
    </row>
    <row r="81" spans="1:6" ht="31.5">
      <c r="A81" s="18">
        <v>3</v>
      </c>
      <c r="B81" s="16" t="s">
        <v>159</v>
      </c>
      <c r="C81" s="4">
        <v>0.1</v>
      </c>
      <c r="D81" s="5"/>
      <c r="E81" s="6"/>
      <c r="F81" s="41"/>
    </row>
    <row r="82" spans="1:6" ht="31.5">
      <c r="A82" s="18">
        <v>4</v>
      </c>
      <c r="B82" s="16" t="s">
        <v>160</v>
      </c>
      <c r="C82" s="4">
        <v>0.25</v>
      </c>
      <c r="D82" s="5">
        <v>0.25</v>
      </c>
      <c r="E82" s="6">
        <v>3</v>
      </c>
      <c r="F82" s="41"/>
    </row>
    <row r="83" spans="1:6" ht="31.5">
      <c r="A83" s="18">
        <v>5</v>
      </c>
      <c r="B83" s="16" t="s">
        <v>161</v>
      </c>
      <c r="C83" s="4">
        <v>0.2</v>
      </c>
      <c r="D83" s="5"/>
      <c r="E83" s="6"/>
      <c r="F83" s="41"/>
    </row>
    <row r="84" spans="1:6" ht="31.5">
      <c r="A84" s="18">
        <v>6</v>
      </c>
      <c r="B84" s="16" t="s">
        <v>162</v>
      </c>
      <c r="C84" s="4">
        <v>0.1</v>
      </c>
      <c r="D84" s="5"/>
      <c r="E84" s="6"/>
      <c r="F84" s="41"/>
    </row>
    <row r="85" spans="1:6" ht="31.5">
      <c r="A85" s="18">
        <v>7</v>
      </c>
      <c r="B85" s="16" t="s">
        <v>163</v>
      </c>
      <c r="C85" s="4">
        <v>0.1</v>
      </c>
      <c r="D85" s="5"/>
      <c r="E85" s="6"/>
      <c r="F85" s="41"/>
    </row>
    <row r="86" spans="1:6" ht="31.5">
      <c r="A86" s="18">
        <v>8</v>
      </c>
      <c r="B86" s="16" t="s">
        <v>164</v>
      </c>
      <c r="C86" s="4">
        <v>0.1</v>
      </c>
      <c r="D86" s="5"/>
      <c r="E86" s="6"/>
      <c r="F86" s="41"/>
    </row>
    <row r="87" spans="1:6">
      <c r="A87" s="45" t="s">
        <v>165</v>
      </c>
      <c r="B87" s="46"/>
      <c r="C87" s="7">
        <f>C79+C80+C81+C82+C83+C84+C85+C86</f>
        <v>0.99999999999999989</v>
      </c>
      <c r="D87" s="5">
        <f>D79+D80+D81+D82+D83+D84+D85+D86</f>
        <v>0.4</v>
      </c>
      <c r="E87" s="35">
        <v>0.4</v>
      </c>
      <c r="F87" s="34"/>
    </row>
    <row r="88" spans="1:6">
      <c r="A88" s="45"/>
      <c r="B88" s="46"/>
      <c r="C88" s="46"/>
      <c r="D88" s="46"/>
      <c r="E88" s="21"/>
      <c r="F88" s="22"/>
    </row>
    <row r="89" spans="1:6">
      <c r="A89" s="45" t="s">
        <v>166</v>
      </c>
      <c r="B89" s="46"/>
      <c r="C89" s="13" t="s">
        <v>61</v>
      </c>
      <c r="D89" s="46" t="s">
        <v>167</v>
      </c>
      <c r="E89" s="46"/>
      <c r="F89" s="14" t="s">
        <v>186</v>
      </c>
    </row>
    <row r="90" spans="1:6">
      <c r="A90" s="42" t="s">
        <v>168</v>
      </c>
      <c r="B90" s="43"/>
      <c r="C90" s="43"/>
      <c r="D90" s="43"/>
      <c r="E90" s="43"/>
      <c r="F90" s="44"/>
    </row>
    <row r="91" spans="1:6" ht="40.5" customHeight="1">
      <c r="A91" s="47" t="s">
        <v>236</v>
      </c>
      <c r="B91" s="48"/>
      <c r="C91" s="48"/>
      <c r="D91" s="48"/>
      <c r="E91" s="48"/>
      <c r="F91" s="49"/>
    </row>
    <row r="92" spans="1:6" ht="132.75" customHeight="1">
      <c r="A92" s="50"/>
      <c r="B92" s="51"/>
      <c r="C92" s="51"/>
      <c r="D92" s="51"/>
      <c r="E92" s="51"/>
      <c r="F92" s="52"/>
    </row>
    <row r="93" spans="1:6" ht="111" customHeight="1">
      <c r="A93" s="50"/>
      <c r="B93" s="51"/>
      <c r="C93" s="51"/>
      <c r="D93" s="51"/>
      <c r="E93" s="51"/>
      <c r="F93" s="52"/>
    </row>
    <row r="94" spans="1:6" ht="16.5" hidden="1" customHeight="1">
      <c r="A94" s="53"/>
      <c r="B94" s="54"/>
      <c r="C94" s="54"/>
      <c r="D94" s="54"/>
      <c r="E94" s="54"/>
      <c r="F94" s="55"/>
    </row>
    <row r="95" spans="1:6">
      <c r="A95" s="42" t="s">
        <v>169</v>
      </c>
      <c r="B95" s="43"/>
      <c r="C95" s="43"/>
      <c r="D95" s="43"/>
      <c r="E95" s="43"/>
      <c r="F95" s="44"/>
    </row>
    <row r="96" spans="1:6">
      <c r="A96" s="18" t="s">
        <v>170</v>
      </c>
      <c r="B96" s="46" t="s">
        <v>171</v>
      </c>
      <c r="C96" s="46"/>
      <c r="D96" s="46"/>
      <c r="E96" s="46"/>
      <c r="F96" s="56"/>
    </row>
    <row r="97" spans="1:6" ht="31.5">
      <c r="A97" s="18" t="s">
        <v>63</v>
      </c>
      <c r="B97" s="16" t="s">
        <v>172</v>
      </c>
      <c r="C97" s="46" t="s">
        <v>97</v>
      </c>
      <c r="D97" s="46"/>
      <c r="E97" s="46"/>
      <c r="F97" s="56"/>
    </row>
    <row r="98" spans="1:6">
      <c r="A98" s="18">
        <v>1</v>
      </c>
      <c r="B98" s="13" t="s">
        <v>173</v>
      </c>
      <c r="C98" s="40"/>
      <c r="D98" s="40"/>
      <c r="E98" s="40"/>
      <c r="F98" s="41"/>
    </row>
    <row r="99" spans="1:6">
      <c r="A99" s="18">
        <v>2</v>
      </c>
      <c r="B99" s="13"/>
      <c r="C99" s="40"/>
      <c r="D99" s="40"/>
      <c r="E99" s="40"/>
      <c r="F99" s="41"/>
    </row>
    <row r="100" spans="1:6">
      <c r="A100" s="18">
        <v>3</v>
      </c>
      <c r="B100" s="13"/>
      <c r="C100" s="40"/>
      <c r="D100" s="40"/>
      <c r="E100" s="40"/>
      <c r="F100" s="41"/>
    </row>
    <row r="101" spans="1:6">
      <c r="A101" s="18">
        <v>4</v>
      </c>
      <c r="B101" s="13"/>
      <c r="C101" s="40"/>
      <c r="D101" s="40"/>
      <c r="E101" s="40"/>
      <c r="F101" s="41"/>
    </row>
    <row r="102" spans="1:6" ht="47.25">
      <c r="A102" s="45" t="s">
        <v>174</v>
      </c>
      <c r="B102" s="46"/>
      <c r="C102" s="40" t="s">
        <v>189</v>
      </c>
      <c r="D102" s="40"/>
      <c r="E102" s="16" t="s">
        <v>175</v>
      </c>
      <c r="F102" s="17" t="s">
        <v>176</v>
      </c>
    </row>
    <row r="103" spans="1:6">
      <c r="A103" s="45"/>
      <c r="B103" s="46"/>
      <c r="C103" s="40"/>
      <c r="D103" s="40"/>
      <c r="E103" s="57">
        <v>46051</v>
      </c>
      <c r="F103" s="57">
        <v>46052</v>
      </c>
    </row>
    <row r="104" spans="1:6" ht="6" customHeight="1">
      <c r="A104" s="45"/>
      <c r="B104" s="46"/>
      <c r="C104" s="40"/>
      <c r="D104" s="40"/>
      <c r="E104" s="40"/>
      <c r="F104" s="40"/>
    </row>
    <row r="105" spans="1:6" ht="18" customHeight="1">
      <c r="A105" t="inlineStr">
        <is>
          <t>Property exterior</t>
        </is>
      </c>
      <c r="D105" t="inlineStr">
        <is>
          <t>Plot / open land view</t>
        </is>
      </c>
    </row>
    <row r="106" spans="1:6" ht="189.72409448818897" customHeight="1"/>
    <row r="107" spans="1:6" ht="18" customHeight="1">
      <c r="A107" t="inlineStr">
        <is>
          <t>Side / access view</t>
        </is>
      </c>
      <c r="D107" t="inlineStr">
        <is>
          <t>Interior with applicant / occupant</t>
        </is>
      </c>
    </row>
    <row r="108" spans="1:6" ht="236.54921259842519" customHeight="1"/>
    <row r="109" spans="1:6" ht="18" customHeight="1">
      <c r="A109" t="inlineStr">
        <is>
          <t>Interior room</t>
        </is>
      </c>
      <c r="D109" t="inlineStr">
        <is>
          <t>Shop / commercial interior</t>
        </is>
      </c>
    </row>
    <row r="110" spans="1:6" ht="236.5964566929134" customHeight="1"/>
    <row r="111" spans="1:6" ht="18" customHeight="1">
      <c r="A111" t="inlineStr">
        <is>
          <t>Rear / boundary view</t>
        </is>
      </c>
      <c r="D111" t="inlineStr">
        <is>
          <t>Property surroundings</t>
        </is>
      </c>
    </row>
    <row r="112" spans="1:6" ht="222.25984251968504" customHeight="1"/>
    <row r="113" spans="1:6" ht="18" customHeight="1">
      <c r="A113" t="inlineStr">
        <is>
          <t>Terrace / roof area</t>
        </is>
      </c>
    </row>
    <row r="114" spans="1:6" ht="221.1811023622047" customHeight="1"/>
    <row r="115" spans="1:6" ht="18" customHeight="1">
      <c r="A115" t="inlineStr">
        <is>
          <t>Electricity Bill Screenshot</t>
        </is>
      </c>
    </row>
    <row r="116" spans="1:6" ht="220.52913385826773" customHeight="1"/>
    <row r="117" spans="1:6" ht="18" customHeight="1">
      <c r="A117" t="inlineStr">
        <is>
          <t>Electricity meter</t>
        </is>
      </c>
      <c r="D117" t="inlineStr">
        <is>
          <t>Applicant / surveyor at property</t>
        </is>
      </c>
    </row>
    <row r="118" spans="1:6" ht="221.36094488188976" customHeight="1"/>
    <row r="119" spans="1:6" ht="18" customHeight="1">
      <c r="A119" t="inlineStr">
        <is>
          <t>Map Screenshot</t>
        </is>
      </c>
    </row>
    <row r="120" spans="1:6" ht="267.89834645669293" customHeight="1"/>
    <row r="121" spans="1:6" ht="18" customHeight="1">
      <c r="A121" t="inlineStr">
        <is>
          <t>Satellite View</t>
        </is>
      </c>
    </row>
    <row r="122" spans="1:6" ht="252.39661417322836" customHeight="1"/>
    <row r="123" spans="1:6" ht="18" customHeight="1">
      <c r="A123" t="inlineStr">
        <is>
          <t>Cadastral / BhuNaksha Map</t>
        </is>
      </c>
    </row>
    <row r="124" spans="1:6" ht="237.94779527559055" customHeight="1"/>
    <row r="125" spans="1:6" ht="18" customHeight="1">
      <c r="A125" t="inlineStr">
        <is>
          <t>Government Rate Screenshot</t>
        </is>
      </c>
    </row>
    <row r="126" spans="1:6" ht="238.01488188976379" customHeight="1"/>
    <row r="127" spans="1:6" ht="18" customHeight="1">
      <c r="A127" t="inlineStr">
        <is>
          <t>Prohibited Property Screenshot</t>
        </is>
      </c>
    </row>
    <row r="128" spans="1:6" ht="236.7188188976378" customHeight="1"/>
    <row r="129" spans="1:6" ht="18" customHeight="1">
      <c r="A129" t="inlineStr">
        <is>
          <t>Electricity Bill Screenshot</t>
        </is>
      </c>
    </row>
    <row r="130" spans="1:6" ht="235.53992125984252" customHeight="1"/>
    <row r="131" spans="1:6" ht="1" customHeight="1"/>
    <row r="132" spans="1:6" ht="1" customHeight="1"/>
    <row r="133" spans="1:6" ht="1" customHeight="1"/>
    <row r="134" spans="1:6" ht="1" customHeight="1"/>
    <row r="135" spans="1:6" ht="1" customHeight="1"/>
    <row r="136" spans="1:6" ht="1" customHeight="1"/>
    <row r="137" spans="1:6" ht="1" customHeight="1"/>
    <row r="138" spans="1:6" ht="1" customHeight="1"/>
    <row r="139" spans="1:6" ht="1" customHeight="1"/>
    <row r="140" spans="1:6" ht="1" customHeight="1"/>
    <row r="141" spans="1:6" ht="1" customHeight="1"/>
    <row r="142" spans="1:6" ht="1" customHeight="1"/>
    <row r="143" spans="1:6" ht="1" customHeight="1"/>
    <row r="144" spans="1:6" ht="1" customHeight="1"/>
    <row r="145" spans="1:6" ht="1" customHeight="1"/>
    <row r="146" spans="1:6" ht="1" customHeight="1"/>
    <row r="147" spans="1:6" ht="1" customHeight="1"/>
    <row r="148" spans="1:6" ht="1" customHeight="1"/>
    <row r="149" spans="1:6" ht="1" customHeight="1"/>
    <row r="150" spans="1:6" ht="1" customHeight="1"/>
    <row r="151" spans="1:6" ht="1" customHeight="1"/>
    <row r="152" spans="1:6" ht="1" customHeight="1"/>
    <row r="153" spans="1:6" ht="1" customHeight="1"/>
    <row r="154" spans="1:6" ht="1" customHeight="1"/>
    <row r="155" spans="1:6" ht="1" customHeight="1"/>
    <row r="156" spans="1:6" ht="1" customHeight="1"/>
    <row r="157" spans="1:6" ht="1" customHeight="1"/>
    <row r="158" spans="1:6" ht="1" customHeight="1"/>
    <row r="159" spans="1:6" ht="1" customHeight="1"/>
    <row r="160" spans="1:6" ht="1" customHeight="1"/>
    <row r="161" spans="1:6" ht="1" customHeight="1"/>
    <row r="162" spans="1:6" ht="1" customHeight="1"/>
    <row r="163" spans="1:6" ht="1" customHeight="1"/>
    <row r="164" spans="1:6" ht="1" customHeight="1"/>
    <row r="165" spans="1:6" ht="1" customHeight="1"/>
    <row r="166" spans="1:6" ht="1" customHeight="1"/>
    <row r="167" spans="1:6" ht="1" customHeight="1"/>
    <row r="168" spans="1:6" ht="1" customHeight="1"/>
    <row r="169" spans="1:6" ht="1" customHeight="1"/>
    <row r="170" spans="1:6" ht="1" customHeight="1"/>
    <row r="171" spans="1:6" ht="1" customHeight="1"/>
    <row r="172" spans="1:6" ht="1" customHeight="1"/>
    <row r="173" spans="1:6" ht="1" customHeight="1"/>
    <row r="174" spans="1:6" ht="1" customHeight="1"/>
    <row r="175" spans="1:6" ht="1" customHeight="1"/>
    <row r="176" spans="1:6" ht="1" customHeight="1"/>
    <row r="177" spans="1:6" ht="1" customHeight="1"/>
    <row r="178" spans="1:6" ht="1" customHeight="1"/>
    <row r="179" spans="1:6" ht="1" customHeight="1"/>
    <row r="180" spans="1:6" ht="1" customHeight="1"/>
    <row r="181" spans="1:6" ht="1" customHeight="1"/>
    <row r="182" spans="1:6" ht="1" customHeight="1"/>
    <row r="183" spans="1:6" ht="1" customHeight="1"/>
    <row r="184" spans="1:6" ht="1" customHeight="1"/>
    <row r="185" spans="1:6" ht="1" customHeight="1"/>
    <row r="186" spans="1:6" ht="1" customHeight="1"/>
    <row r="187" spans="1:6" ht="1" customHeight="1"/>
    <row r="188" spans="1:6" ht="1" customHeight="1"/>
    <row r="189" spans="1:6" ht="1" customHeight="1"/>
    <row r="190" spans="1:6" ht="1" customHeight="1"/>
    <row r="191" spans="1:6" ht="1" customHeight="1"/>
    <row r="192" spans="1:6" ht="1" customHeight="1"/>
    <row r="193" spans="1:6" ht="1" customHeight="1"/>
    <row r="194" spans="1:6" ht="1" customHeight="1"/>
    <row r="195" spans="1:6" ht="1" customHeight="1"/>
    <row r="196" spans="1:6" ht="1" customHeight="1"/>
    <row r="197" spans="1:6" ht="1" customHeight="1"/>
    <row r="198" spans="1:6" ht="1" customHeight="1"/>
    <row r="199" spans="1:6" ht="1" customHeight="1"/>
    <row r="200" spans="1:6" ht="1" customHeight="1"/>
    <row r="201" spans="1:6" ht="1" customHeight="1"/>
    <row r="202" spans="1:6" ht="1" customHeight="1"/>
    <row r="203" spans="1:6" ht="1" customHeight="1"/>
    <row r="204" spans="1:6" ht="1" customHeight="1"/>
    <row r="205" spans="1:6" ht="1" customHeight="1"/>
    <row r="206" spans="1:6" ht="1" customHeight="1"/>
    <row r="207" spans="1:6" ht="1" customHeight="1"/>
    <row r="208" spans="1:6" ht="1" customHeight="1"/>
    <row r="209" spans="1:6" ht="1" customHeight="1"/>
    <row r="210" spans="1:6" ht="1" customHeight="1"/>
    <row r="211" spans="1:6" ht="1" customHeight="1"/>
    <row r="212" spans="1:6" ht="1" customHeight="1"/>
    <row r="213" spans="1:6" ht="1" customHeight="1"/>
    <row r="214" spans="1:6" ht="1" customHeight="1"/>
    <row r="215" spans="1:6" ht="1" customHeight="1"/>
    <row r="216" spans="1:6" ht="1" customHeight="1"/>
    <row r="217" spans="1:6" ht="1" customHeight="1"/>
    <row r="218" spans="1:6" ht="1" customHeight="1"/>
    <row r="219" spans="1:6" ht="1" customHeight="1"/>
    <row r="220" spans="1:6" ht="1" customHeight="1"/>
    <row r="221" spans="1:6" ht="1" customHeight="1"/>
    <row r="222" spans="1:6" ht="1" customHeight="1"/>
    <row r="223" spans="1:6" ht="1" customHeight="1"/>
    <row r="224" spans="1:6" ht="1" customHeight="1"/>
    <row r="225" spans="1:6" ht="1" customHeight="1"/>
    <row r="226" spans="1:6" ht="1" customHeight="1"/>
    <row r="227" spans="1:6" ht="1" customHeight="1"/>
    <row r="228" spans="1:6" ht="1" customHeight="1"/>
    <row r="229" spans="1:6" ht="1" customHeight="1"/>
    <row r="230" spans="1:6" ht="1" customHeight="1"/>
    <row r="231" spans="1:6" ht="1" customHeight="1"/>
    <row r="232" spans="1:6" ht="1" customHeight="1"/>
    <row r="233" spans="1:6" ht="1" customHeight="1"/>
    <row r="234" spans="1:6" ht="1" customHeight="1"/>
    <row r="235" spans="1:6" ht="1" customHeight="1"/>
    <row r="236" spans="1:6" ht="1" customHeight="1"/>
    <row r="237" spans="1:6" ht="1" customHeight="1"/>
    <row r="238" spans="1:6" ht="1" customHeight="1"/>
    <row r="239" spans="1:6" ht="1" customHeight="1"/>
    <row r="240" spans="1:6" ht="1" customHeight="1"/>
    <row r="241" spans="1:6" ht="1" customHeight="1"/>
    <row r="242" spans="1:6" ht="1" customHeight="1"/>
    <row r="243" spans="1:6" ht="1" customHeight="1"/>
    <row r="244" spans="1:6" ht="1" customHeight="1"/>
    <row r="245" spans="1:6" ht="1" customHeight="1"/>
    <row r="246" spans="1:6" ht="1" customHeight="1"/>
    <row r="247" spans="1:6" ht="1" customHeight="1"/>
    <row r="248" spans="1:6" ht="1" customHeight="1"/>
    <row r="249" spans="1:6" ht="1" customHeight="1"/>
    <row r="250" spans="1:6" ht="1" customHeight="1"/>
    <row r="251" spans="1:6" ht="1" customHeight="1"/>
    <row r="252" spans="1:6" ht="1" customHeight="1"/>
    <row r="253" spans="1:6" ht="1" customHeight="1"/>
    <row r="254" spans="1:6" ht="1" customHeight="1"/>
    <row r="255" spans="1:6" ht="1" customHeight="1"/>
    <row r="256" spans="1:6" ht="1" customHeight="1"/>
    <row r="257" spans="1:6" ht="1" customHeight="1"/>
  </sheetData>
  <mergeCells count="80">
    <mergeCell ref="B12:F12"/>
    <mergeCell ref="E38:F41"/>
    <mergeCell ref="A19:F19"/>
    <mergeCell ref="E20:F20"/>
    <mergeCell ref="E22:F22"/>
    <mergeCell ref="A23:F23"/>
    <mergeCell ref="A31:F31"/>
    <mergeCell ref="D32:F32"/>
    <mergeCell ref="D33:F33"/>
    <mergeCell ref="D34:F34"/>
    <mergeCell ref="A36:F36"/>
    <mergeCell ref="D37:F37"/>
    <mergeCell ref="E21:F21"/>
    <mergeCell ref="A54:D54"/>
    <mergeCell ref="A55:D55"/>
    <mergeCell ref="A56:F56"/>
    <mergeCell ref="A57:B57"/>
    <mergeCell ref="E57:F57"/>
    <mergeCell ref="E42:F42"/>
    <mergeCell ref="A43:F43"/>
    <mergeCell ref="A44:B44"/>
    <mergeCell ref="A47:A48"/>
    <mergeCell ref="A50:F50"/>
    <mergeCell ref="A1:F5"/>
    <mergeCell ref="A6:F7"/>
    <mergeCell ref="A8:E8"/>
    <mergeCell ref="D10:F10"/>
    <mergeCell ref="A11:F11"/>
    <mergeCell ref="E58:F61"/>
    <mergeCell ref="A63:B63"/>
    <mergeCell ref="A64:B64"/>
    <mergeCell ref="A65:B65"/>
    <mergeCell ref="A66:B66"/>
    <mergeCell ref="A72:B72"/>
    <mergeCell ref="C72:F72"/>
    <mergeCell ref="A62:F62"/>
    <mergeCell ref="A73:B73"/>
    <mergeCell ref="C73:F73"/>
    <mergeCell ref="A67:B67"/>
    <mergeCell ref="A68:B68"/>
    <mergeCell ref="A69:B69"/>
    <mergeCell ref="A70:B70"/>
    <mergeCell ref="A71:B71"/>
    <mergeCell ref="C101:F101"/>
    <mergeCell ref="A102:B104"/>
    <mergeCell ref="C102:D104"/>
    <mergeCell ref="E103:E104"/>
    <mergeCell ref="F103:F104"/>
    <mergeCell ref="C99:F99"/>
    <mergeCell ref="C100:F100"/>
    <mergeCell ref="C98:F98"/>
    <mergeCell ref="A77:F77"/>
    <mergeCell ref="F79:F86"/>
    <mergeCell ref="A87:B87"/>
    <mergeCell ref="A88:D88"/>
    <mergeCell ref="A89:B89"/>
    <mergeCell ref="D89:E89"/>
    <mergeCell ref="A90:F90"/>
    <mergeCell ref="A91:F94"/>
    <mergeCell ref="A95:F95"/>
    <mergeCell ref="B96:F96"/>
    <mergeCell ref="C97:F97"/>
    <mergeCell ref="A105:C105"/>
    <mergeCell ref="D105:F105"/>
    <mergeCell ref="A107:C107"/>
    <mergeCell ref="D107:F107"/>
    <mergeCell ref="A109:C109"/>
    <mergeCell ref="D109:F109"/>
    <mergeCell ref="A111:C111"/>
    <mergeCell ref="D111:F111"/>
    <mergeCell ref="A113:C113"/>
    <mergeCell ref="A115:F115"/>
    <mergeCell ref="A117:C117"/>
    <mergeCell ref="D117:F117"/>
    <mergeCell ref="A119:F119"/>
    <mergeCell ref="A121:F121"/>
    <mergeCell ref="A123:F123"/>
    <mergeCell ref="A125:F125"/>
    <mergeCell ref="A127:F127"/>
    <mergeCell ref="A129:F129"/>
  </mergeCells>
  <dataValidations count="1">
    <dataValidation type="list" allowBlank="1" showInputMessage="1" showErrorMessage="1" sqref="E64">
      <formula1>$J$16:$J$23</formula1>
    </dataValidation>
  </dataValidations>
  <printOptions horizontalCentered="1" verticalCentered="1"/>
  <pageMargins left="0.70866141732283472" right="0.70866141732283472" top="0.74803149606299213" bottom="0.74803149606299213" header="0.31496062992125984" footer="0.31496062992125984"/>
  <pageSetup paperSize="5" orientation="portrait" r:id="rId1" fitToWidth="1" fitToHeight="0"/>
  <rowBreaks count="7" manualBreakCount="7">
    <brk id="104" min="0" max="16383" man="1"/>
    <brk id="108" min="0" max="16383" man="1"/>
    <brk id="112" min="0" max="16383" man="1"/>
    <brk id="116" min="0" max="16383" man="1"/>
    <brk id="120" min="0" max="16383" man="1"/>
    <brk id="124" min="0" max="16383" man="1"/>
    <brk id="128" min="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Pullakavi Venkata Rama Subbarao</dc:creator>
  <cp:lastModifiedBy>ADMIN</cp:lastModifiedBy>
  <cp:lastPrinted>2026-01-30T07:25:09Z</cp:lastPrinted>
  <dcterms:created xsi:type="dcterms:W3CDTF">2025-06-19T06:11:09Z</dcterms:created>
  <dcterms:modified xsi:type="dcterms:W3CDTF">2026-02-04T08:05:23Z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5-bc88714345d2_Enabled">
    <vt:lpwstr>true</vt:lpwstr>
  </property>
  <property fmtid="{D5CDD505-2E9C-101B-9397-08002B2CF9AE}" pid="3" name="MSIP_Label_defa4170-0d19-0005-0005-bc88714345d2_SetDate">
    <vt:lpwstr>2025-06-19T06:17:31Z</vt:lpwstr>
  </property>
  <property fmtid="{D5CDD505-2E9C-101B-9397-08002B2CF9AE}" pid="4" name="MSIP_Label_defa4170-0d19-0005-0005-bc88714345d2_Method">
    <vt:lpwstr>Privileged</vt:lpwstr>
  </property>
  <property fmtid="{D5CDD505-2E9C-101B-9397-08002B2CF9AE}" pid="5" name="MSIP_Label_defa4170-0d19-0005-0005-bc88714345d2_Name">
    <vt:lpwstr>defa4170-0d19-0005-0005-bc88714345d2</vt:lpwstr>
  </property>
  <property fmtid="{D5CDD505-2E9C-101B-9397-08002B2CF9AE}" pid="6" name="MSIP_Label_defa4170-0d19-0005-0005-bc88714345d2_SiteId">
    <vt:lpwstr>38bb34e6-2129-44b2-b9a6-2a262d863fd5</vt:lpwstr>
  </property>
  <property fmtid="{D5CDD505-2E9C-101B-9397-08002B2CF9AE}" pid="7" name="MSIP_Label_defa4170-0d19-0005-0005-bc88714345d2_ActionId">
    <vt:lpwstr>e3019b23-6bcc-4b79-b8eb-8244af6bb8f8</vt:lpwstr>
  </property>
  <property fmtid="{D5CDD505-2E9C-101B-9397-08002B2CF9AE}" pid="8" name="MSIP_Label_defa4170-0d19-0005-0005-bc88714345d2_ContentBits">
    <vt:lpwstr>0</vt:lpwstr>
  </property>
  <property fmtid="{D5CDD505-2E9C-101B-9397-08002B2CF9AE}" pid="9" name="MSIP_Label_defa4170-0d19-0005-0005-bc88714345d2_Tag">
    <vt:lpwstr>10, 0, 1, 1</vt:lpwstr>
  </property>
</Properties>
</file>