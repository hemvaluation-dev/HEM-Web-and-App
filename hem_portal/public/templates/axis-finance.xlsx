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HEM Associates\Desktop\2026 FILES\JANUARY FILES AP\AXIS FINANCE\SURYA ENTERPRISES\SURYA ENTERPRISES\"/>
    </mc:Choice>
  </mc:AlternateContent>
  <bookViews>
    <workbookView xWindow="-105" yWindow="-105" windowWidth="19425" windowHeight="10305"/>
  </bookViews>
  <sheets>
    <sheet name="Sheet1" sheetId="1" r:id="rId1"/>
  </sheets>
  <definedNames>
    <definedName name="_xlnm.Print_Area" localSheetId="0">Sheet1!$A$1:$L$137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8" i="1" l="1"/>
  <c r="I66" i="1" l="1"/>
  <c r="F69" i="1" s="1"/>
  <c r="D101" i="1"/>
  <c r="J90" i="1" l="1"/>
  <c r="H90" i="1"/>
  <c r="E90" i="1" l="1"/>
  <c r="L90" i="1" s="1"/>
  <c r="D92" i="1" s="1"/>
  <c r="D85" i="1"/>
  <c r="L74" i="1"/>
  <c r="L73" i="1"/>
  <c r="L92" i="1" l="1"/>
  <c r="G98" i="1" s="1"/>
  <c r="F103" i="1"/>
</calcChain>
</file>

<file path=xl/sharedStrings.xml><?xml version="1.0" encoding="utf-8"?>
<sst xmlns="http://schemas.openxmlformats.org/spreadsheetml/2006/main" count="312" uniqueCount="231">
  <si>
    <t>Valuation Report For Axis Finance Limited</t>
  </si>
  <si>
    <t xml:space="preserve">Application Number : </t>
  </si>
  <si>
    <t>Name of the Customer</t>
  </si>
  <si>
    <t xml:space="preserve">Name of the Property Owner(S)( Owner) </t>
  </si>
  <si>
    <t>Collateral Ownership</t>
  </si>
  <si>
    <t>Self-Occupied</t>
  </si>
  <si>
    <t>Company Provided</t>
  </si>
  <si>
    <t>Rented</t>
  </si>
  <si>
    <t>Collateral Category</t>
  </si>
  <si>
    <t>Residential</t>
  </si>
  <si>
    <t>Commercial</t>
  </si>
  <si>
    <t>Industrial</t>
  </si>
  <si>
    <t>Property Documents Received :</t>
  </si>
  <si>
    <t>Property details</t>
  </si>
  <si>
    <t>Property Address :</t>
  </si>
  <si>
    <t xml:space="preserve">State : Andhra pradesh </t>
  </si>
  <si>
    <t xml:space="preserve">Nearby Land Mark :  </t>
  </si>
  <si>
    <t>Distance from City Center :</t>
  </si>
  <si>
    <t>Classification of Locality</t>
  </si>
  <si>
    <t>Rural</t>
  </si>
  <si>
    <t>Metro</t>
  </si>
  <si>
    <t>Semi Urban</t>
  </si>
  <si>
    <t>Urban</t>
  </si>
  <si>
    <t>Approved by Town</t>
  </si>
  <si>
    <t>Yes</t>
  </si>
  <si>
    <t>No</t>
  </si>
  <si>
    <t>Not Available</t>
  </si>
  <si>
    <t>Locality Classification</t>
  </si>
  <si>
    <t>Middle Class</t>
  </si>
  <si>
    <t>Posh</t>
  </si>
  <si>
    <t>Upper Middle Class</t>
  </si>
  <si>
    <t>Building Type</t>
  </si>
  <si>
    <t>Individual</t>
  </si>
  <si>
    <t>Class of Loaclity :</t>
  </si>
  <si>
    <t>Average</t>
  </si>
  <si>
    <t xml:space="preserve"> Poor </t>
  </si>
  <si>
    <t xml:space="preserve">Well Developed </t>
  </si>
  <si>
    <t>Type of Locality:</t>
  </si>
  <si>
    <t>Other</t>
  </si>
  <si>
    <t>Condition of Building</t>
  </si>
  <si>
    <t>Good</t>
  </si>
  <si>
    <t>Excellent</t>
  </si>
  <si>
    <t>A Grade</t>
  </si>
  <si>
    <t>Fair</t>
  </si>
  <si>
    <t>B Grade</t>
  </si>
  <si>
    <t>Very Good</t>
  </si>
  <si>
    <t xml:space="preserve">Occuapncy Details : </t>
  </si>
  <si>
    <t>Under Construction</t>
  </si>
  <si>
    <t xml:space="preserve">Mothly Rentals </t>
  </si>
  <si>
    <t>NA</t>
  </si>
  <si>
    <t>Name of the Lease</t>
  </si>
  <si>
    <t xml:space="preserve">Type Of Property </t>
  </si>
  <si>
    <t xml:space="preserve">Status Of Property </t>
  </si>
  <si>
    <t xml:space="preserve">Actual Usage Of Property </t>
  </si>
  <si>
    <t>Approved Usage of Property</t>
  </si>
  <si>
    <t>Property Demarcation at Site</t>
  </si>
  <si>
    <t>Available</t>
  </si>
  <si>
    <t xml:space="preserve">Distance : </t>
  </si>
  <si>
    <t>Nearness to recreation facilities</t>
  </si>
  <si>
    <t>Quality of Interiors</t>
  </si>
  <si>
    <t>Vasthu Compaince or  direction of the enterance</t>
  </si>
  <si>
    <t xml:space="preserve">Four Boundaries of the Property </t>
  </si>
  <si>
    <t>East</t>
  </si>
  <si>
    <t>South</t>
  </si>
  <si>
    <t>West</t>
  </si>
  <si>
    <t>North</t>
  </si>
  <si>
    <t>As Per site</t>
  </si>
  <si>
    <t xml:space="preserve">Approval  Details </t>
  </si>
  <si>
    <t>Description</t>
  </si>
  <si>
    <t>Approval authority</t>
  </si>
  <si>
    <t>Approval Date</t>
  </si>
  <si>
    <t>Layout Plan</t>
  </si>
  <si>
    <t>Building/Construction Plan</t>
  </si>
  <si>
    <t>YES</t>
  </si>
  <si>
    <t>Age of Buidling :</t>
  </si>
  <si>
    <t>Estimated Life of Building</t>
  </si>
  <si>
    <t>Construction Year</t>
  </si>
  <si>
    <t>Construction Type</t>
  </si>
  <si>
    <t>RCC</t>
  </si>
  <si>
    <t>Comments on Feasibility</t>
  </si>
  <si>
    <t xml:space="preserve">Good </t>
  </si>
  <si>
    <t>Depreciation%</t>
  </si>
  <si>
    <t>Measured Carpet Area</t>
  </si>
  <si>
    <t>Sq. Ft.</t>
  </si>
  <si>
    <t>Approved Carpet Area</t>
  </si>
  <si>
    <t>Agreement Carpet Area</t>
  </si>
  <si>
    <t xml:space="preserve">Loading Adopted for Valuation        </t>
  </si>
  <si>
    <t>%</t>
  </si>
  <si>
    <t>Saleable Area of Unit</t>
  </si>
  <si>
    <t>Prevailing Rate for Building</t>
  </si>
  <si>
    <t>per sft</t>
  </si>
  <si>
    <t>Load bearing</t>
  </si>
  <si>
    <t>Steel Framed</t>
  </si>
  <si>
    <t>Floor Rise Rate</t>
  </si>
  <si>
    <t>Rs.  /- per sft</t>
  </si>
  <si>
    <t>Adopted Rate Building</t>
  </si>
  <si>
    <t xml:space="preserve"> /- per sft</t>
  </si>
  <si>
    <t xml:space="preserve">Market Value Of the Unit                                              </t>
  </si>
  <si>
    <t>Car Parking</t>
  </si>
  <si>
    <t>No. of Car Parking</t>
  </si>
  <si>
    <t>Parking Area</t>
  </si>
  <si>
    <t>ft</t>
  </si>
  <si>
    <t>Car Parking Price</t>
  </si>
  <si>
    <t>Aminities</t>
  </si>
  <si>
    <t xml:space="preserve">Plot Area </t>
  </si>
  <si>
    <t>Floorwise Break-up</t>
  </si>
  <si>
    <t>Total ( sft )</t>
  </si>
  <si>
    <t>Deviation</t>
  </si>
  <si>
    <t xml:space="preserve">Side Margin Details </t>
  </si>
  <si>
    <t>Front</t>
  </si>
  <si>
    <t>Left Side</t>
  </si>
  <si>
    <t>Right Side</t>
  </si>
  <si>
    <t>Rear</t>
  </si>
  <si>
    <t>Remarks</t>
  </si>
  <si>
    <t>As per Approval</t>
  </si>
  <si>
    <t>Actual at Site</t>
  </si>
  <si>
    <t>Deviation %</t>
  </si>
  <si>
    <t xml:space="preserve">Quality of Construction </t>
  </si>
  <si>
    <t xml:space="preserve">Maintenance of the Property </t>
  </si>
  <si>
    <t>Valuation of the Property</t>
  </si>
  <si>
    <t>Market Value of Independent Property</t>
  </si>
  <si>
    <t>Value of the Land : Rs.</t>
  </si>
  <si>
    <t xml:space="preserve"> Cost of Construction</t>
  </si>
  <si>
    <t>Proposed Approved Area Sq ft</t>
  </si>
  <si>
    <t xml:space="preserve">Construction Cost Rs. Per Sq ft( if it completes 100%) </t>
  </si>
  <si>
    <t>Construction Cost of Approved area</t>
  </si>
  <si>
    <t>Amenities</t>
  </si>
  <si>
    <t>Cup Boards, ceiling</t>
  </si>
  <si>
    <t>Construction Cost ( Its For Plot Plus Construction)</t>
  </si>
  <si>
    <t>Note : Cost of Construction to be worked out on Approved area only</t>
  </si>
  <si>
    <t>Stage of Construction</t>
  </si>
  <si>
    <t>Recommended For Disbursement</t>
  </si>
  <si>
    <t>Recommended construction rate based on the proposed specifications : Rs.</t>
  </si>
  <si>
    <t xml:space="preserve">Area of Land   </t>
  </si>
  <si>
    <t>Government Valuation of Independent Property</t>
  </si>
  <si>
    <t>Government Rate</t>
  </si>
  <si>
    <t xml:space="preserve">Govt Value of the Unit :  Rs. </t>
  </si>
  <si>
    <t>Red Flag comments :</t>
  </si>
  <si>
    <t>Positive</t>
  </si>
  <si>
    <t xml:space="preserve">Undertaking : </t>
  </si>
  <si>
    <r>
      <rPr>
        <sz val="11"/>
        <color theme="1"/>
        <rFont val="Calibri"/>
        <family val="2"/>
        <scheme val="minor"/>
      </rPr>
      <t>1.</t>
    </r>
    <r>
      <rPr>
        <sz val="7"/>
        <color theme="1"/>
        <rFont val="Calibri"/>
        <family val="2"/>
        <scheme val="minor"/>
      </rPr>
      <t xml:space="preserve">      </t>
    </r>
    <r>
      <rPr>
        <sz val="11"/>
        <color theme="1"/>
        <rFont val="Calibri"/>
        <family val="2"/>
        <scheme val="minor"/>
      </rPr>
      <t>I have personally visited the property &amp; identified the same based on the documents provided.</t>
    </r>
  </si>
  <si>
    <r>
      <rPr>
        <sz val="11"/>
        <color theme="1"/>
        <rFont val="Calibri"/>
        <family val="2"/>
        <scheme val="minor"/>
      </rPr>
      <t>2.</t>
    </r>
    <r>
      <rPr>
        <sz val="7"/>
        <color theme="1"/>
        <rFont val="Calibri"/>
        <family val="2"/>
        <scheme val="minor"/>
      </rPr>
      <t xml:space="preserve">      </t>
    </r>
    <r>
      <rPr>
        <sz val="11"/>
        <color theme="1"/>
        <rFont val="Calibri"/>
        <family val="2"/>
        <scheme val="minor"/>
      </rPr>
      <t>I/We have no direct or Indirect Interest in the property being valued.</t>
    </r>
  </si>
  <si>
    <r>
      <rPr>
        <sz val="11"/>
        <color theme="1"/>
        <rFont val="Calibri"/>
        <family val="2"/>
        <scheme val="minor"/>
      </rPr>
      <t>3.</t>
    </r>
    <r>
      <rPr>
        <sz val="7"/>
        <color theme="1"/>
        <rFont val="Calibri"/>
        <family val="2"/>
        <scheme val="minor"/>
      </rPr>
      <t xml:space="preserve">      </t>
    </r>
    <r>
      <rPr>
        <sz val="11"/>
        <color theme="1"/>
        <rFont val="Calibri"/>
        <family val="2"/>
        <scheme val="minor"/>
      </rPr>
      <t>The information furnished above is true and correct to my/our knowledge.</t>
    </r>
  </si>
  <si>
    <t>Seal Of the Agency</t>
  </si>
  <si>
    <t>Negative</t>
  </si>
  <si>
    <t>Refer</t>
  </si>
  <si>
    <t xml:space="preserve">Attachment : </t>
  </si>
  <si>
    <r>
      <rPr>
        <sz val="11"/>
        <color theme="1"/>
        <rFont val="Calibri"/>
        <family val="2"/>
        <scheme val="minor"/>
      </rPr>
      <t>2.</t>
    </r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Location sketch for the property</t>
    </r>
  </si>
  <si>
    <t xml:space="preserve">Market Value of the Unit :               </t>
  </si>
  <si>
    <t xml:space="preserve">Market Value of the Building : </t>
  </si>
  <si>
    <r>
      <t xml:space="preserve">Unit Details  - </t>
    </r>
    <r>
      <rPr>
        <sz val="11"/>
        <color theme="1"/>
        <rFont val="Calibri"/>
        <family val="2"/>
        <scheme val="minor"/>
      </rPr>
      <t>Row House/</t>
    </r>
    <r>
      <rPr>
        <b/>
        <sz val="11"/>
        <color theme="1"/>
        <rFont val="Calibri"/>
        <family val="2"/>
        <scheme val="minor"/>
      </rPr>
      <t xml:space="preserve"> Independent House</t>
    </r>
    <r>
      <rPr>
        <sz val="11"/>
        <color theme="1"/>
        <rFont val="Calibri"/>
        <family val="2"/>
        <scheme val="minor"/>
      </rPr>
      <t>/Plot/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Industries/Commercial Building</t>
    </r>
  </si>
  <si>
    <t>Valuation of the Property Flat/Shop/Office</t>
  </si>
  <si>
    <t>Market Value of the property</t>
  </si>
  <si>
    <t xml:space="preserve">Sq Yard </t>
  </si>
  <si>
    <t>No of Floors (As per Site )</t>
  </si>
  <si>
    <t>Approval No</t>
  </si>
  <si>
    <t>Land</t>
  </si>
  <si>
    <t xml:space="preserve">Built Up Area </t>
  </si>
  <si>
    <t xml:space="preserve">Recommended Cost of Construction </t>
  </si>
  <si>
    <t xml:space="preserve">  Sq.Yard  </t>
  </si>
  <si>
    <t>per Sq.Yard</t>
  </si>
  <si>
    <t>Technical Status</t>
  </si>
  <si>
    <t>Total Value of property after Completion : (Market Value of Land + Recommended Const Cost+Amenities)</t>
  </si>
  <si>
    <t>As per Site (In sft )</t>
  </si>
  <si>
    <t>As per approved plan (In sft)</t>
  </si>
  <si>
    <t xml:space="preserve">Stilt Floor </t>
  </si>
  <si>
    <t>TF</t>
  </si>
  <si>
    <t xml:space="preserve">No of Floors (As per Plan ) </t>
  </si>
  <si>
    <t>Govt Value of the Land</t>
  </si>
  <si>
    <t xml:space="preserve">Distress Value of the Property : </t>
  </si>
  <si>
    <t xml:space="preserve">Stilt Floor   </t>
  </si>
  <si>
    <t xml:space="preserve">TF </t>
  </si>
  <si>
    <t>-</t>
  </si>
  <si>
    <t xml:space="preserve">4th </t>
  </si>
  <si>
    <t>Area of Land (in Sq.yds)</t>
  </si>
  <si>
    <t>Market rate of the Land :Rs.</t>
  </si>
  <si>
    <t>LAP -  Individual building(ACC)</t>
  </si>
  <si>
    <t>MMA00073078</t>
  </si>
  <si>
    <t>Sri. Kandhiregula Jagannadharao, S/O. K Apparao</t>
  </si>
  <si>
    <t>Sr no 766/7,765/2, G.M ward no 190,446, Patta no 1B and 278, Isukaveta, Anakapalli town, Greater Visakhapatnam municipal corporation area, Visakhapatnam District -5331001</t>
  </si>
  <si>
    <t>District : Anakapalli</t>
  </si>
  <si>
    <t>Pin Code: 5331001</t>
  </si>
  <si>
    <t xml:space="preserve"> Near Petrol Bunk</t>
  </si>
  <si>
    <t>35 Mtrs</t>
  </si>
  <si>
    <t>Occupied by Owners</t>
  </si>
  <si>
    <t>ACC Shed</t>
  </si>
  <si>
    <t>Free Hold</t>
  </si>
  <si>
    <t xml:space="preserve"> Railway Station 2KM(Anakapalli)</t>
  </si>
  <si>
    <r>
      <t xml:space="preserve">Excellent / Good / </t>
    </r>
    <r>
      <rPr>
        <b/>
        <sz val="11"/>
        <color theme="1"/>
        <rFont val="Calibri"/>
        <family val="2"/>
        <scheme val="minor"/>
      </rPr>
      <t>Average/</t>
    </r>
    <r>
      <rPr>
        <sz val="11"/>
        <color theme="1"/>
        <rFont val="Calibri"/>
        <family val="2"/>
        <scheme val="minor"/>
      </rPr>
      <t xml:space="preserve"> Under construction </t>
    </r>
  </si>
  <si>
    <t>As per submitted doucument Item-2, Part-1</t>
  </si>
  <si>
    <t>20ft Road</t>
  </si>
  <si>
    <t>Partly 6th part and partly site of Budda Jagannadharao, Budda Srinu</t>
  </si>
  <si>
    <t>20ft road</t>
  </si>
  <si>
    <t>As per submitted doucument Item-2, Part-2</t>
  </si>
  <si>
    <t>As per submitted doucument Item-2, Part-3</t>
  </si>
  <si>
    <t>As per submitted doucument Item-2, Part-4</t>
  </si>
  <si>
    <t>As per submitted doucument Item-2, Part-5</t>
  </si>
  <si>
    <t>As per submitted doucument Item-2, Part-6</t>
  </si>
  <si>
    <t>As per submitted doucument Item-2, Part-7</t>
  </si>
  <si>
    <t>As per submitted doucument Item-2, Part-8</t>
  </si>
  <si>
    <t>Part -3 triangle shape site</t>
  </si>
  <si>
    <t>Lakshmidevi Kaluva</t>
  </si>
  <si>
    <t>Dhona Kaluva</t>
  </si>
  <si>
    <t>Part-2</t>
  </si>
  <si>
    <t>Part-5 Triangle shape site</t>
  </si>
  <si>
    <t>Site</t>
  </si>
  <si>
    <t>Part-4 site</t>
  </si>
  <si>
    <t>Nill</t>
  </si>
  <si>
    <t>Part-1</t>
  </si>
  <si>
    <t>site of Budda Jagannadharao, Budda Srinu</t>
  </si>
  <si>
    <t>Part-8 site</t>
  </si>
  <si>
    <t>20ft Road and Others Vacant Land</t>
  </si>
  <si>
    <t>20ft Road and Others Vacant Land of others</t>
  </si>
  <si>
    <t>Vacant Land of others</t>
  </si>
  <si>
    <t>NO</t>
  </si>
  <si>
    <t xml:space="preserve">50 Years </t>
  </si>
  <si>
    <t>Ground Floor (ACC)</t>
  </si>
  <si>
    <t>GF-1(Office)</t>
  </si>
  <si>
    <t>GF-2(Swimming Pool)</t>
  </si>
  <si>
    <t>GF-3(Zim)</t>
  </si>
  <si>
    <t>Name of The Person Visited Site : Pavan</t>
  </si>
  <si>
    <t>Name of The Valuation Agency :  H E M Asociates</t>
  </si>
  <si>
    <t>Date of Inspection : 25-01-2026</t>
  </si>
  <si>
    <t>M.rs Surya Enterprises -  9849133606</t>
  </si>
  <si>
    <t>City : Anakapalli Mandal</t>
  </si>
  <si>
    <t>As per deed 1652 sq.yds and As per Land Conversion 1403 sq,yds</t>
  </si>
  <si>
    <r>
      <rPr>
        <sz val="11"/>
        <color theme="1"/>
        <rFont val="Calibri"/>
        <family val="2"/>
        <scheme val="minor"/>
      </rPr>
      <t xml:space="preserve">1. The Subject Property Is a Ground Floor Commercial Property Which is Consist of 3 Units of ( 1 Unit Office, 1 Unit id GYM &amp; 1 Swimming Pool)
2. Property is identified through E Bill, SR No and Boundaries.
3.Sanction Plan not Provided, However as per Fi Instructions BUA is Considered As per Actual Areas.
7. Legal aspects are beyond scope of valuation.
8. GPS: 17.676306, 82.999444.           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</t>
    </r>
  </si>
  <si>
    <t>Latitude : 17.676306</t>
  </si>
  <si>
    <t>Longitude : 82.999444</t>
  </si>
  <si>
    <t xml:space="preserve">1.Copy of Rectification Deed with Doc No. 2515/2022,  Dated. 11-03-2022, in Favour of Sri. Kandhiregula Jagannadharao, S/O. K Apparao 
2. Copy of Partition deed with Doc No 3367/2015, Dated 30-05-2015 From Anakapalli SRO                                                                                                                                                                                                                                                                                                                                                                                                                                                                                                                         2.Copy of Land Conversion Certificate.                                                                                                                                                                                                                                                                                                                                                                                                                                                                                                                                                                                                                                                                                                                                                                                                                                      3.Copy of E Bills with SC NO 1172682203001567, 1172682203001542, 1172682203001569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</si>
  <si>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H.E.M.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</si>
</sst>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Rs.-849]\ #,##0"/>
    <numFmt numFmtId="165" formatCode="&quot;₹&quot;\ #,##0.00"/>
    <numFmt numFmtId="166" formatCode="[$₹-4009]\ #,##0.00"/>
    <numFmt numFmtId="167" formatCode="[$Rs.-849]\ #,##0.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6"/>
      <color rgb="FF00B0F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67" fontId="1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167" fontId="8" fillId="4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 wrapText="1"/>
    </xf>
    <xf numFmtId="0" fontId="11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5" fontId="15" fillId="5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0" fillId="0" borderId="1" xfId="0" applyNumberFormat="1" applyFont="1" applyBorder="1" applyAlignment="1">
      <alignment horizontal="left" vertical="center" wrapText="1"/>
    </xf>
    <xf numFmtId="164" fontId="15" fillId="0" borderId="1" xfId="0" applyNumberFormat="1" applyFont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9" fontId="9" fillId="0" borderId="1" xfId="1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1181100</xdr:colOff>
      <xdr:row>119</xdr:row>
      <xdr:rowOff>0</xdr:rowOff>
    </xdr:from>
    <xdr:to>
      <xdr:col>11</xdr:col>
      <xdr:colOff>1514475</xdr:colOff>
      <xdr:row>119</xdr:row>
      <xdr:rowOff>2658142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05" y="35068392"/>
          <a:ext cx="2809875" cy="265814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3</xdr:col>
      <xdr:colOff>990600</xdr:colOff>
      <xdr:row>119</xdr:row>
      <xdr:rowOff>2658142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9587" y="35053732"/>
          <a:ext cx="3238500" cy="2658142"/>
        </a:xfrm>
        <a:prstGeom prst="rect">
          <a:avLst/>
        </a:prstGeom>
      </xdr:spPr>
    </xdr:pic>
    <xdr:clientData/>
  </xdr:twoCellAnchor>
  <xdr:twoCellAnchor>
    <xdr:from>
      <xdr:col>3</xdr:col>
      <xdr:colOff>1000125</xdr:colOff>
      <xdr:row>119</xdr:row>
      <xdr:rowOff>0</xdr:rowOff>
    </xdr:from>
    <xdr:to>
      <xdr:col>7</xdr:col>
      <xdr:colOff>1171575</xdr:colOff>
      <xdr:row>119</xdr:row>
      <xdr:rowOff>2658142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3033" y="35060858"/>
          <a:ext cx="3752850" cy="2658142"/>
        </a:xfrm>
        <a:prstGeom prst="rect">
          <a:avLst/>
        </a:prstGeom>
      </xdr:spPr>
    </xdr:pic>
    <xdr:clientData/>
  </xdr:twoCellAnchor>
  <xdr:twoCellAnchor>
    <xdr:from>
      <xdr:col>3</xdr:col>
      <xdr:colOff>1000125</xdr:colOff>
      <xdr:row>121</xdr:row>
      <xdr:rowOff>0</xdr:rowOff>
    </xdr:from>
    <xdr:to>
      <xdr:col>7</xdr:col>
      <xdr:colOff>1171575</xdr:colOff>
      <xdr:row>121</xdr:row>
      <xdr:rowOff>2401563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689" y="37756558"/>
          <a:ext cx="3752850" cy="240156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3</xdr:col>
      <xdr:colOff>990600</xdr:colOff>
      <xdr:row>121</xdr:row>
      <xdr:rowOff>2401563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9583" y="37751604"/>
          <a:ext cx="3238500" cy="2401563"/>
        </a:xfrm>
        <a:prstGeom prst="rect">
          <a:avLst/>
        </a:prstGeom>
      </xdr:spPr>
    </xdr:pic>
    <xdr:clientData/>
  </xdr:twoCellAnchor>
  <xdr:twoCellAnchor>
    <xdr:from>
      <xdr:col>7</xdr:col>
      <xdr:colOff>1181100</xdr:colOff>
      <xdr:row>121</xdr:row>
      <xdr:rowOff>0</xdr:rowOff>
    </xdr:from>
    <xdr:to>
      <xdr:col>11</xdr:col>
      <xdr:colOff>1514475</xdr:colOff>
      <xdr:row>121</xdr:row>
      <xdr:rowOff>2401563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0982" y="37767308"/>
          <a:ext cx="2809875" cy="2401563"/>
        </a:xfrm>
        <a:prstGeom prst="rect">
          <a:avLst/>
        </a:prstGeom>
      </xdr:spPr>
    </xdr:pic>
    <xdr:clientData/>
  </xdr:twoCellAnchor>
  <xdr:twoCellAnchor>
    <xdr:from>
      <xdr:col>3</xdr:col>
      <xdr:colOff>1000125</xdr:colOff>
      <xdr:row>123</xdr:row>
      <xdr:rowOff>0</xdr:rowOff>
    </xdr:from>
    <xdr:to>
      <xdr:col>7</xdr:col>
      <xdr:colOff>1171575</xdr:colOff>
      <xdr:row>123</xdr:row>
      <xdr:rowOff>2858512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667" y="40206938"/>
          <a:ext cx="3752850" cy="285851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3</xdr:col>
      <xdr:colOff>990600</xdr:colOff>
      <xdr:row>123</xdr:row>
      <xdr:rowOff>2858512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5117" y="40204900"/>
          <a:ext cx="3238500" cy="2858512"/>
        </a:xfrm>
        <a:prstGeom prst="rect">
          <a:avLst/>
        </a:prstGeom>
      </xdr:spPr>
    </xdr:pic>
    <xdr:clientData/>
  </xdr:twoCellAnchor>
  <xdr:twoCellAnchor>
    <xdr:from>
      <xdr:col>7</xdr:col>
      <xdr:colOff>1181100</xdr:colOff>
      <xdr:row>123</xdr:row>
      <xdr:rowOff>0</xdr:rowOff>
    </xdr:from>
    <xdr:to>
      <xdr:col>11</xdr:col>
      <xdr:colOff>1514475</xdr:colOff>
      <xdr:row>123</xdr:row>
      <xdr:rowOff>2858512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4820" y="40219824"/>
          <a:ext cx="2809875" cy="285851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11</xdr:col>
      <xdr:colOff>1514475</xdr:colOff>
      <xdr:row>129</xdr:row>
      <xdr:rowOff>2769894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0721" y="43326623"/>
          <a:ext cx="9820275" cy="276989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11</xdr:col>
      <xdr:colOff>1514475</xdr:colOff>
      <xdr:row>131</xdr:row>
      <xdr:rowOff>3457828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4473" y="46217848"/>
          <a:ext cx="9820275" cy="345782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44823</xdr:rowOff>
    </xdr:from>
    <xdr:to>
      <xdr:col>2</xdr:col>
      <xdr:colOff>672354</xdr:colOff>
      <xdr:row>10</xdr:row>
      <xdr:rowOff>380999</xdr:rowOff>
    </xdr:to>
    <xdr:pic>
      <xdr:nvPicPr>
        <xdr:cNvPr id="14" name="Picture 13" descr="C:\Documents and Settings\kvr\Desktop\untitled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2">
          <a:lum contrast="-3000"/>
        </a:blip>
        <a:stretch>
          <a:fillRect/>
        </a:stretch>
      </xdr:blipFill>
      <xdr:spPr>
        <a:xfrm>
          <a:off x="56030" y="44823"/>
          <a:ext cx="1748118" cy="22411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1000125</xdr:colOff>
      <xdr:row>127</xdr:row>
      <xdr:rowOff>0</xdr:rowOff>
    </xdr:from>
    <xdr:to>
      <xdr:col>7</xdr:col>
      <xdr:colOff>1171575</xdr:colOff>
      <xdr:row>127</xdr:row>
      <xdr:rowOff>2853457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07" y="43278006"/>
          <a:ext cx="3752850" cy="28534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11</xdr:col>
      <xdr:colOff>1514475</xdr:colOff>
      <xdr:row>125</xdr:row>
      <xdr:rowOff>2828173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2094" y="43239209"/>
          <a:ext cx="9820275" cy="28281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3</xdr:col>
      <xdr:colOff>990600</xdr:colOff>
      <xdr:row>127</xdr:row>
      <xdr:rowOff>2853457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1556" y="43258749"/>
          <a:ext cx="3238500" cy="2853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137"/>
  <sheetViews>
    <sheetView tabSelected="1" topLeftCell="A115" zoomScale="85" zoomScaleNormal="85" zoomScaleSheetLayoutView="80" workbookViewId="0">
      <selection activeCell="H90" sqref="H90"/>
    </sheetView>
  </sheetViews>
  <sheetFormatPr defaultColWidth="9.140625" defaultRowHeight="15"/>
  <cols>
    <col min="1" max="1" width="3.28515625" style="1" customWidth="1"/>
    <col min="2" max="2" width="13.5703125" style="1" bestFit="1" customWidth="1"/>
    <col min="3" max="3" width="15" style="1" customWidth="1"/>
    <col min="4" max="4" width="14.42578125" style="1" customWidth="1"/>
    <col min="5" max="5" width="12.7109375" style="1" customWidth="1"/>
    <col min="6" max="6" width="11.85546875" style="1" bestFit="1" customWidth="1"/>
    <col min="7" max="7" width="12.42578125" style="1" customWidth="1"/>
    <col min="8" max="8" width="17.140625" style="1" customWidth="1"/>
    <col min="9" max="9" width="10.42578125" style="1" customWidth="1"/>
    <col min="10" max="10" width="1.85546875" style="1" bestFit="1" customWidth="1"/>
    <col min="11" max="11" width="5.42578125" style="1" bestFit="1" customWidth="1"/>
    <col min="12" max="12" width="22.28515625" style="1" customWidth="1"/>
    <col min="13" max="13" width="14.5703125" style="1" customWidth="1"/>
    <col min="14" max="14" width="17.7109375" style="1" bestFit="1" customWidth="1"/>
    <col min="15" max="15" width="10.28515625" style="1" bestFit="1" customWidth="1"/>
    <col min="16" max="16" width="17.5703125" style="1" bestFit="1" customWidth="1"/>
    <col min="17" max="17" width="6.140625" style="1" bestFit="1" customWidth="1"/>
    <col min="18" max="18" width="7.5703125" style="1" bestFit="1" customWidth="1"/>
    <col min="19" max="19" width="9.85546875" style="1" bestFit="1" customWidth="1"/>
    <col min="20" max="16383" width="9.140625" style="1"/>
  </cols>
  <sheetData>
    <row r="1" spans="1:13">
      <c r="A1" s="65" t="s">
        <v>230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1:13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2"/>
    </row>
    <row r="10" spans="1:1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1" spans="1:13" ht="30.7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>
      <c r="A12" s="36"/>
      <c r="B12" s="120" t="s">
        <v>0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</row>
    <row r="13" spans="1:13">
      <c r="A13" s="36"/>
      <c r="B13" s="37" t="s">
        <v>176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</row>
    <row r="14" spans="1:13" ht="15" customHeight="1">
      <c r="A14" s="36"/>
      <c r="B14" s="46" t="s">
        <v>1</v>
      </c>
      <c r="C14" s="97"/>
      <c r="D14" s="97"/>
      <c r="E14" s="97"/>
      <c r="F14" s="98" t="s">
        <v>177</v>
      </c>
      <c r="G14" s="97"/>
      <c r="H14" s="97"/>
      <c r="I14" s="97"/>
      <c r="J14" s="97"/>
      <c r="K14" s="121">
        <v>46051</v>
      </c>
      <c r="L14" s="97"/>
    </row>
    <row r="15" spans="1:13" ht="15" customHeight="1">
      <c r="A15" s="36"/>
      <c r="B15" s="46" t="s">
        <v>2</v>
      </c>
      <c r="C15" s="46"/>
      <c r="D15" s="46"/>
      <c r="E15" s="46"/>
      <c r="F15" s="92" t="s">
        <v>223</v>
      </c>
      <c r="G15" s="119"/>
      <c r="H15" s="119"/>
      <c r="I15" s="119"/>
      <c r="J15" s="119"/>
      <c r="K15" s="119"/>
      <c r="L15" s="119"/>
    </row>
    <row r="16" spans="1:13" ht="18" customHeight="1">
      <c r="A16" s="36"/>
      <c r="B16" s="46" t="s">
        <v>3</v>
      </c>
      <c r="C16" s="46"/>
      <c r="D16" s="46"/>
      <c r="E16" s="46"/>
      <c r="F16" s="122" t="s">
        <v>178</v>
      </c>
      <c r="G16" s="123"/>
      <c r="H16" s="123"/>
      <c r="I16" s="123"/>
      <c r="J16" s="123"/>
      <c r="K16" s="123"/>
      <c r="L16" s="123"/>
    </row>
    <row r="17" spans="1:19" ht="30">
      <c r="A17" s="36"/>
      <c r="B17" s="68" t="s">
        <v>4</v>
      </c>
      <c r="C17" s="68"/>
      <c r="D17" s="68"/>
      <c r="E17" s="68"/>
      <c r="F17" s="95" t="s">
        <v>5</v>
      </c>
      <c r="G17" s="95"/>
      <c r="H17" s="95"/>
      <c r="I17" s="95"/>
      <c r="J17" s="95"/>
      <c r="K17" s="95"/>
      <c r="L17" s="95"/>
      <c r="N17" s="1" t="s">
        <v>6</v>
      </c>
      <c r="O17" s="1" t="s">
        <v>7</v>
      </c>
      <c r="P17" s="1" t="s">
        <v>5</v>
      </c>
    </row>
    <row r="18" spans="1:19" ht="30">
      <c r="A18" s="36"/>
      <c r="B18" s="68" t="s">
        <v>8</v>
      </c>
      <c r="C18" s="68"/>
      <c r="D18" s="68"/>
      <c r="E18" s="68"/>
      <c r="F18" s="55" t="s">
        <v>10</v>
      </c>
      <c r="G18" s="56"/>
      <c r="H18" s="56"/>
      <c r="I18" s="56"/>
      <c r="J18" s="56"/>
      <c r="K18" s="56"/>
      <c r="L18" s="56"/>
      <c r="N18" s="1" t="s">
        <v>10</v>
      </c>
      <c r="O18" s="1" t="s">
        <v>9</v>
      </c>
      <c r="P18" s="1" t="s">
        <v>11</v>
      </c>
    </row>
    <row r="19" spans="1:19" ht="93" customHeight="1">
      <c r="A19" s="36"/>
      <c r="B19" s="46" t="s">
        <v>12</v>
      </c>
      <c r="C19" s="46"/>
      <c r="D19" s="46"/>
      <c r="E19" s="92" t="s">
        <v>229</v>
      </c>
      <c r="F19" s="119"/>
      <c r="G19" s="119"/>
      <c r="H19" s="119"/>
      <c r="I19" s="119"/>
      <c r="J19" s="119"/>
      <c r="K19" s="119"/>
      <c r="L19" s="119"/>
      <c r="N19" s="1" t="s">
        <v>47</v>
      </c>
    </row>
    <row r="20" spans="1:19" ht="50.25" customHeight="1">
      <c r="A20" s="36"/>
      <c r="B20" s="46" t="s">
        <v>13</v>
      </c>
      <c r="C20" s="46"/>
      <c r="D20" s="92" t="s">
        <v>179</v>
      </c>
      <c r="E20" s="119"/>
      <c r="F20" s="119"/>
      <c r="G20" s="119"/>
      <c r="H20" s="119"/>
      <c r="I20" s="119"/>
      <c r="J20" s="119"/>
      <c r="K20" s="119"/>
      <c r="L20" s="119"/>
    </row>
    <row r="21" spans="1:19" ht="51" customHeight="1">
      <c r="A21" s="36"/>
      <c r="B21" s="46" t="s">
        <v>14</v>
      </c>
      <c r="C21" s="46"/>
      <c r="D21" s="92" t="s">
        <v>179</v>
      </c>
      <c r="E21" s="119"/>
      <c r="F21" s="119"/>
      <c r="G21" s="119"/>
      <c r="H21" s="119"/>
      <c r="I21" s="119"/>
      <c r="J21" s="119"/>
      <c r="K21" s="119"/>
      <c r="L21" s="119"/>
      <c r="N21" s="3"/>
    </row>
    <row r="22" spans="1:19" ht="27.6" customHeight="1">
      <c r="A22" s="36"/>
      <c r="B22" s="45" t="s">
        <v>224</v>
      </c>
      <c r="C22" s="46"/>
      <c r="D22" s="45" t="s">
        <v>180</v>
      </c>
      <c r="E22" s="46"/>
      <c r="F22" s="46" t="s">
        <v>15</v>
      </c>
      <c r="G22" s="46"/>
      <c r="H22" s="46"/>
      <c r="I22" s="37" t="s">
        <v>181</v>
      </c>
      <c r="J22" s="48"/>
      <c r="K22" s="48"/>
      <c r="L22" s="48"/>
    </row>
    <row r="23" spans="1:19" ht="15" customHeight="1">
      <c r="A23" s="36"/>
      <c r="B23" s="46" t="s">
        <v>16</v>
      </c>
      <c r="C23" s="46"/>
      <c r="D23" s="46"/>
      <c r="E23" s="46"/>
      <c r="F23" s="117" t="s">
        <v>182</v>
      </c>
      <c r="G23" s="118"/>
      <c r="H23" s="118"/>
      <c r="I23" s="118"/>
      <c r="J23" s="118"/>
      <c r="K23" s="118"/>
      <c r="L23" s="118"/>
    </row>
    <row r="24" spans="1:19">
      <c r="A24" s="36"/>
      <c r="B24" s="46" t="s">
        <v>17</v>
      </c>
      <c r="C24" s="97"/>
      <c r="D24" s="97"/>
      <c r="E24" s="97"/>
      <c r="F24" s="117" t="s">
        <v>183</v>
      </c>
      <c r="G24" s="110"/>
      <c r="H24" s="110"/>
      <c r="I24" s="110"/>
      <c r="J24" s="110"/>
      <c r="K24" s="110"/>
      <c r="L24" s="110"/>
    </row>
    <row r="25" spans="1:19" ht="18.75" customHeight="1">
      <c r="A25" s="36"/>
      <c r="B25" s="68" t="s">
        <v>18</v>
      </c>
      <c r="C25" s="68"/>
      <c r="D25" s="68"/>
      <c r="E25" s="68"/>
      <c r="F25" s="114" t="s">
        <v>22</v>
      </c>
      <c r="G25" s="114"/>
      <c r="H25" s="114"/>
      <c r="I25" s="114"/>
      <c r="J25" s="114"/>
      <c r="K25" s="114"/>
      <c r="L25" s="114"/>
      <c r="N25" s="1" t="s">
        <v>20</v>
      </c>
      <c r="O25" s="1" t="s">
        <v>19</v>
      </c>
      <c r="P25" s="1" t="s">
        <v>21</v>
      </c>
      <c r="Q25" s="1" t="s">
        <v>22</v>
      </c>
    </row>
    <row r="26" spans="1:19" ht="18.75" customHeight="1">
      <c r="A26" s="36"/>
      <c r="B26" s="68" t="s">
        <v>23</v>
      </c>
      <c r="C26" s="68"/>
      <c r="D26" s="68"/>
      <c r="E26" s="68"/>
      <c r="F26" s="114" t="s">
        <v>24</v>
      </c>
      <c r="G26" s="114"/>
      <c r="H26" s="114"/>
      <c r="I26" s="114"/>
      <c r="J26" s="114"/>
      <c r="K26" s="114"/>
      <c r="L26" s="114"/>
      <c r="N26" s="1" t="s">
        <v>24</v>
      </c>
      <c r="O26" s="1" t="s">
        <v>25</v>
      </c>
      <c r="P26" s="1" t="s">
        <v>26</v>
      </c>
    </row>
    <row r="27" spans="1:19" ht="18.75" customHeight="1">
      <c r="A27" s="36"/>
      <c r="B27" s="68" t="s">
        <v>27</v>
      </c>
      <c r="C27" s="68"/>
      <c r="D27" s="68"/>
      <c r="E27" s="68"/>
      <c r="F27" s="114" t="s">
        <v>28</v>
      </c>
      <c r="G27" s="114"/>
      <c r="H27" s="114"/>
      <c r="I27" s="114"/>
      <c r="J27" s="114"/>
      <c r="K27" s="114"/>
      <c r="L27" s="114"/>
      <c r="N27" s="1" t="s">
        <v>28</v>
      </c>
      <c r="O27" s="1" t="s">
        <v>29</v>
      </c>
      <c r="P27" s="1" t="s">
        <v>30</v>
      </c>
    </row>
    <row r="28" spans="1:19" ht="18.75" customHeight="1">
      <c r="A28" s="36"/>
      <c r="B28" s="68" t="s">
        <v>31</v>
      </c>
      <c r="C28" s="68"/>
      <c r="D28" s="68"/>
      <c r="E28" s="68"/>
      <c r="F28" s="115" t="s">
        <v>10</v>
      </c>
      <c r="G28" s="115"/>
      <c r="H28" s="115"/>
      <c r="I28" s="115"/>
      <c r="J28" s="115"/>
      <c r="K28" s="115"/>
      <c r="L28" s="115"/>
      <c r="N28" s="1" t="s">
        <v>10</v>
      </c>
      <c r="O28" s="1" t="s">
        <v>32</v>
      </c>
      <c r="P28" s="1" t="s">
        <v>9</v>
      </c>
    </row>
    <row r="29" spans="1:19" ht="15" customHeight="1">
      <c r="A29" s="36"/>
      <c r="B29" s="46" t="s">
        <v>33</v>
      </c>
      <c r="C29" s="97"/>
      <c r="D29" s="97"/>
      <c r="E29" s="97"/>
      <c r="F29" s="116" t="s">
        <v>34</v>
      </c>
      <c r="G29" s="116"/>
      <c r="H29" s="116"/>
      <c r="I29" s="116"/>
      <c r="J29" s="116"/>
      <c r="K29" s="116"/>
      <c r="L29" s="116"/>
      <c r="N29" s="1" t="s">
        <v>35</v>
      </c>
      <c r="O29" s="1" t="s">
        <v>34</v>
      </c>
      <c r="P29" s="1" t="s">
        <v>36</v>
      </c>
    </row>
    <row r="30" spans="1:19" ht="15" customHeight="1">
      <c r="A30" s="36"/>
      <c r="B30" s="46" t="s">
        <v>37</v>
      </c>
      <c r="C30" s="46"/>
      <c r="D30" s="46"/>
      <c r="E30" s="46"/>
      <c r="F30" s="110" t="s">
        <v>9</v>
      </c>
      <c r="G30" s="110"/>
      <c r="H30" s="110"/>
      <c r="I30" s="110"/>
      <c r="J30" s="110"/>
      <c r="K30" s="110"/>
      <c r="L30" s="110"/>
      <c r="N30" s="1" t="s">
        <v>10</v>
      </c>
      <c r="O30" s="1" t="s">
        <v>11</v>
      </c>
      <c r="P30" s="1" t="s">
        <v>9</v>
      </c>
      <c r="Q30" s="1" t="s">
        <v>38</v>
      </c>
    </row>
    <row r="31" spans="1:19" ht="15" customHeight="1">
      <c r="A31" s="36"/>
      <c r="B31" s="68" t="s">
        <v>39</v>
      </c>
      <c r="C31" s="68"/>
      <c r="D31" s="68"/>
      <c r="E31" s="68"/>
      <c r="F31" s="111" t="s">
        <v>40</v>
      </c>
      <c r="G31" s="111"/>
      <c r="H31" s="111"/>
      <c r="I31" s="111"/>
      <c r="J31" s="111"/>
      <c r="K31" s="111"/>
      <c r="L31" s="111"/>
      <c r="N31" s="1" t="s">
        <v>41</v>
      </c>
      <c r="O31" s="1" t="s">
        <v>42</v>
      </c>
      <c r="P31" s="1" t="s">
        <v>43</v>
      </c>
      <c r="Q31" s="1" t="s">
        <v>40</v>
      </c>
      <c r="R31" s="1" t="s">
        <v>44</v>
      </c>
      <c r="S31" s="1" t="s">
        <v>45</v>
      </c>
    </row>
    <row r="32" spans="1:19" ht="15" customHeight="1">
      <c r="A32" s="36"/>
      <c r="B32" s="46" t="s">
        <v>46</v>
      </c>
      <c r="C32" s="46"/>
      <c r="D32" s="112" t="s">
        <v>184</v>
      </c>
      <c r="E32" s="113"/>
      <c r="F32" s="46" t="s">
        <v>48</v>
      </c>
      <c r="G32" s="46"/>
      <c r="H32" s="46"/>
      <c r="I32" s="105" t="s">
        <v>49</v>
      </c>
      <c r="J32" s="105"/>
      <c r="K32" s="105"/>
      <c r="L32" s="105"/>
    </row>
    <row r="33" spans="1:13" ht="15" customHeight="1">
      <c r="A33" s="36"/>
      <c r="B33" s="46" t="s">
        <v>50</v>
      </c>
      <c r="C33" s="46"/>
      <c r="D33" s="46"/>
      <c r="E33" s="46"/>
      <c r="F33" s="105" t="s">
        <v>49</v>
      </c>
      <c r="G33" s="105"/>
      <c r="H33" s="105"/>
      <c r="I33" s="105"/>
      <c r="J33" s="105"/>
      <c r="K33" s="105"/>
      <c r="L33" s="105"/>
    </row>
    <row r="34" spans="1:13" ht="15" customHeight="1">
      <c r="A34" s="36"/>
      <c r="B34" s="46" t="s">
        <v>51</v>
      </c>
      <c r="C34" s="46"/>
      <c r="D34" s="46"/>
      <c r="E34" s="46"/>
      <c r="F34" s="98" t="s">
        <v>185</v>
      </c>
      <c r="G34" s="97"/>
      <c r="H34" s="97"/>
      <c r="I34" s="97"/>
      <c r="J34" s="97"/>
      <c r="K34" s="97"/>
      <c r="L34" s="97"/>
    </row>
    <row r="35" spans="1:13" ht="15" customHeight="1">
      <c r="A35" s="36"/>
      <c r="B35" s="46" t="s">
        <v>52</v>
      </c>
      <c r="C35" s="46"/>
      <c r="D35" s="46"/>
      <c r="E35" s="46"/>
      <c r="F35" s="98" t="s">
        <v>186</v>
      </c>
      <c r="G35" s="97"/>
      <c r="H35" s="97"/>
      <c r="I35" s="97"/>
      <c r="J35" s="97"/>
      <c r="K35" s="97"/>
      <c r="L35" s="97"/>
    </row>
    <row r="36" spans="1:13" ht="15" customHeight="1">
      <c r="A36" s="36"/>
      <c r="B36" s="46" t="s">
        <v>53</v>
      </c>
      <c r="C36" s="46"/>
      <c r="D36" s="46"/>
      <c r="E36" s="46"/>
      <c r="F36" s="98" t="s">
        <v>10</v>
      </c>
      <c r="G36" s="97"/>
      <c r="H36" s="97"/>
      <c r="I36" s="97"/>
      <c r="J36" s="97"/>
      <c r="K36" s="97"/>
      <c r="L36" s="97"/>
    </row>
    <row r="37" spans="1:13" ht="15" customHeight="1">
      <c r="A37" s="36"/>
      <c r="B37" s="46" t="s">
        <v>54</v>
      </c>
      <c r="C37" s="46"/>
      <c r="D37" s="46"/>
      <c r="E37" s="46"/>
      <c r="F37" s="98" t="s">
        <v>49</v>
      </c>
      <c r="G37" s="97"/>
      <c r="H37" s="97"/>
      <c r="I37" s="97"/>
      <c r="J37" s="97"/>
      <c r="K37" s="97"/>
      <c r="L37" s="97"/>
    </row>
    <row r="38" spans="1:13" ht="15" customHeight="1">
      <c r="A38" s="36"/>
      <c r="B38" s="46" t="s">
        <v>55</v>
      </c>
      <c r="C38" s="46"/>
      <c r="D38" s="46"/>
      <c r="E38" s="46"/>
      <c r="F38" s="97" t="s">
        <v>56</v>
      </c>
      <c r="G38" s="97"/>
      <c r="H38" s="97"/>
      <c r="I38" s="97"/>
      <c r="J38" s="97"/>
      <c r="K38" s="97"/>
      <c r="L38" s="97"/>
    </row>
    <row r="39" spans="1:13" ht="27.95" customHeight="1">
      <c r="A39" s="36"/>
      <c r="B39" s="6" t="s">
        <v>57</v>
      </c>
      <c r="C39" s="57" t="s">
        <v>187</v>
      </c>
      <c r="D39" s="105"/>
      <c r="E39" s="105"/>
      <c r="F39" s="62" t="s">
        <v>58</v>
      </c>
      <c r="G39" s="62"/>
      <c r="H39" s="62"/>
      <c r="I39" s="109" t="s">
        <v>73</v>
      </c>
      <c r="J39" s="89"/>
      <c r="K39" s="89"/>
      <c r="L39" s="89"/>
    </row>
    <row r="40" spans="1:13" ht="27" customHeight="1">
      <c r="A40" s="36"/>
      <c r="B40" s="62" t="s">
        <v>59</v>
      </c>
      <c r="C40" s="62"/>
      <c r="D40" s="57" t="s">
        <v>188</v>
      </c>
      <c r="E40" s="105"/>
      <c r="F40" s="62" t="s">
        <v>60</v>
      </c>
      <c r="G40" s="62"/>
      <c r="H40" s="62"/>
      <c r="I40" s="89" t="s">
        <v>49</v>
      </c>
      <c r="J40" s="89"/>
      <c r="K40" s="89"/>
      <c r="L40" s="89"/>
    </row>
    <row r="41" spans="1:13" ht="24.6" customHeight="1">
      <c r="A41" s="36"/>
      <c r="B41" s="46" t="s">
        <v>61</v>
      </c>
      <c r="C41" s="46"/>
      <c r="D41" s="46"/>
      <c r="E41" s="48" t="s">
        <v>62</v>
      </c>
      <c r="F41" s="48"/>
      <c r="G41" s="48" t="s">
        <v>63</v>
      </c>
      <c r="H41" s="48"/>
      <c r="I41" s="48" t="s">
        <v>64</v>
      </c>
      <c r="J41" s="48"/>
      <c r="K41" s="48"/>
      <c r="L41" s="23" t="s">
        <v>65</v>
      </c>
    </row>
    <row r="42" spans="1:13" ht="60.75" customHeight="1">
      <c r="A42" s="36"/>
      <c r="B42" s="45" t="s">
        <v>189</v>
      </c>
      <c r="C42" s="46"/>
      <c r="D42" s="46"/>
      <c r="E42" s="108" t="s">
        <v>190</v>
      </c>
      <c r="F42" s="47"/>
      <c r="G42" s="108" t="s">
        <v>191</v>
      </c>
      <c r="H42" s="47"/>
      <c r="I42" s="108" t="s">
        <v>190</v>
      </c>
      <c r="J42" s="47"/>
      <c r="K42" s="47"/>
      <c r="L42" s="33" t="s">
        <v>192</v>
      </c>
      <c r="M42" s="4"/>
    </row>
    <row r="43" spans="1:13" ht="60.75" customHeight="1">
      <c r="A43" s="36"/>
      <c r="B43" s="37" t="s">
        <v>193</v>
      </c>
      <c r="C43" s="37"/>
      <c r="D43" s="37"/>
      <c r="E43" s="108" t="s">
        <v>200</v>
      </c>
      <c r="F43" s="108"/>
      <c r="G43" s="108" t="s">
        <v>190</v>
      </c>
      <c r="H43" s="108"/>
      <c r="I43" s="108" t="s">
        <v>201</v>
      </c>
      <c r="J43" s="108"/>
      <c r="K43" s="108"/>
      <c r="L43" s="33" t="s">
        <v>190</v>
      </c>
      <c r="M43" s="4"/>
    </row>
    <row r="44" spans="1:13" ht="60.75" customHeight="1">
      <c r="A44" s="36"/>
      <c r="B44" s="37" t="s">
        <v>194</v>
      </c>
      <c r="C44" s="37"/>
      <c r="D44" s="37"/>
      <c r="E44" s="108" t="s">
        <v>202</v>
      </c>
      <c r="F44" s="108"/>
      <c r="G44" s="108" t="s">
        <v>203</v>
      </c>
      <c r="H44" s="108"/>
      <c r="I44" s="108" t="s">
        <v>201</v>
      </c>
      <c r="J44" s="108"/>
      <c r="K44" s="108"/>
      <c r="L44" s="33" t="s">
        <v>190</v>
      </c>
      <c r="M44" s="4"/>
    </row>
    <row r="45" spans="1:13" ht="60.75" customHeight="1">
      <c r="A45" s="36"/>
      <c r="B45" s="37" t="s">
        <v>195</v>
      </c>
      <c r="C45" s="37"/>
      <c r="D45" s="37"/>
      <c r="E45" s="108" t="s">
        <v>190</v>
      </c>
      <c r="F45" s="108"/>
      <c r="G45" s="108" t="s">
        <v>204</v>
      </c>
      <c r="H45" s="108"/>
      <c r="I45" s="108" t="s">
        <v>201</v>
      </c>
      <c r="J45" s="108"/>
      <c r="K45" s="108"/>
      <c r="L45" s="33" t="s">
        <v>205</v>
      </c>
      <c r="M45" s="4"/>
    </row>
    <row r="46" spans="1:13" ht="60.75" customHeight="1">
      <c r="A46" s="36"/>
      <c r="B46" s="37" t="s">
        <v>196</v>
      </c>
      <c r="C46" s="37"/>
      <c r="D46" s="37"/>
      <c r="E46" s="108" t="s">
        <v>206</v>
      </c>
      <c r="F46" s="108"/>
      <c r="G46" s="108" t="s">
        <v>207</v>
      </c>
      <c r="H46" s="108"/>
      <c r="I46" s="108" t="s">
        <v>201</v>
      </c>
      <c r="J46" s="108"/>
      <c r="K46" s="108"/>
      <c r="L46" s="33" t="s">
        <v>190</v>
      </c>
      <c r="M46" s="4"/>
    </row>
    <row r="47" spans="1:13" ht="60.75" customHeight="1">
      <c r="A47" s="36"/>
      <c r="B47" s="37" t="s">
        <v>197</v>
      </c>
      <c r="C47" s="37"/>
      <c r="D47" s="37"/>
      <c r="E47" s="108" t="s">
        <v>208</v>
      </c>
      <c r="F47" s="108"/>
      <c r="G47" s="108" t="s">
        <v>201</v>
      </c>
      <c r="H47" s="108"/>
      <c r="I47" s="108" t="s">
        <v>190</v>
      </c>
      <c r="J47" s="108"/>
      <c r="K47" s="108"/>
      <c r="L47" s="33" t="s">
        <v>209</v>
      </c>
      <c r="M47" s="4"/>
    </row>
    <row r="48" spans="1:13" ht="60.75" customHeight="1">
      <c r="A48" s="36"/>
      <c r="B48" s="37" t="s">
        <v>198</v>
      </c>
      <c r="C48" s="37"/>
      <c r="D48" s="37"/>
      <c r="E48" s="108" t="s">
        <v>209</v>
      </c>
      <c r="F48" s="108"/>
      <c r="G48" s="108" t="s">
        <v>210</v>
      </c>
      <c r="H48" s="108"/>
      <c r="I48" s="108" t="s">
        <v>201</v>
      </c>
      <c r="J48" s="108"/>
      <c r="K48" s="108"/>
      <c r="L48" s="33" t="s">
        <v>190</v>
      </c>
      <c r="M48" s="4"/>
    </row>
    <row r="49" spans="1:14" ht="60.75" customHeight="1">
      <c r="A49" s="36"/>
      <c r="B49" s="37" t="s">
        <v>199</v>
      </c>
      <c r="C49" s="37"/>
      <c r="D49" s="37"/>
      <c r="E49" s="108" t="s">
        <v>211</v>
      </c>
      <c r="F49" s="108"/>
      <c r="G49" s="108" t="s">
        <v>201</v>
      </c>
      <c r="H49" s="108"/>
      <c r="I49" s="108" t="s">
        <v>201</v>
      </c>
      <c r="J49" s="108"/>
      <c r="K49" s="108"/>
      <c r="L49" s="33" t="s">
        <v>190</v>
      </c>
      <c r="M49" s="4"/>
    </row>
    <row r="50" spans="1:14" ht="31.5" customHeight="1">
      <c r="A50" s="36"/>
      <c r="B50" s="48" t="s">
        <v>66</v>
      </c>
      <c r="C50" s="48"/>
      <c r="D50" s="48"/>
      <c r="E50" s="108" t="s">
        <v>212</v>
      </c>
      <c r="F50" s="47"/>
      <c r="G50" s="108" t="s">
        <v>213</v>
      </c>
      <c r="H50" s="47"/>
      <c r="I50" s="108" t="s">
        <v>213</v>
      </c>
      <c r="J50" s="47"/>
      <c r="K50" s="47"/>
      <c r="L50" s="33" t="s">
        <v>190</v>
      </c>
    </row>
    <row r="51" spans="1:14" ht="18.600000000000001" customHeight="1">
      <c r="A51" s="36"/>
      <c r="B51" s="67" t="s">
        <v>227</v>
      </c>
      <c r="C51" s="104"/>
      <c r="D51" s="104"/>
      <c r="E51" s="104"/>
      <c r="F51" s="67" t="s">
        <v>228</v>
      </c>
      <c r="G51" s="104"/>
      <c r="H51" s="104"/>
      <c r="I51" s="104"/>
      <c r="J51" s="104"/>
      <c r="K51" s="104"/>
      <c r="L51" s="104"/>
    </row>
    <row r="52" spans="1:14" ht="16.5" customHeight="1">
      <c r="A52" s="36"/>
      <c r="B52" s="48" t="s">
        <v>67</v>
      </c>
      <c r="C52" s="105"/>
      <c r="D52" s="105"/>
      <c r="E52" s="105"/>
      <c r="F52" s="105"/>
      <c r="G52" s="105"/>
      <c r="H52" s="105"/>
      <c r="I52" s="105"/>
      <c r="J52" s="105"/>
      <c r="K52" s="105"/>
      <c r="L52" s="105"/>
    </row>
    <row r="53" spans="1:14" ht="17.100000000000001" customHeight="1">
      <c r="A53" s="36"/>
      <c r="B53" s="46" t="s">
        <v>68</v>
      </c>
      <c r="C53" s="46"/>
      <c r="D53" s="48" t="s">
        <v>69</v>
      </c>
      <c r="E53" s="48"/>
      <c r="F53" s="48"/>
      <c r="G53" s="106" t="s">
        <v>155</v>
      </c>
      <c r="H53" s="106"/>
      <c r="I53" s="48" t="s">
        <v>70</v>
      </c>
      <c r="J53" s="48"/>
      <c r="K53" s="48"/>
      <c r="L53" s="48"/>
    </row>
    <row r="54" spans="1:14" ht="15.6" customHeight="1">
      <c r="A54" s="36"/>
      <c r="B54" s="46" t="s">
        <v>71</v>
      </c>
      <c r="C54" s="46"/>
      <c r="D54" s="107" t="s">
        <v>49</v>
      </c>
      <c r="E54" s="105"/>
      <c r="F54" s="105"/>
      <c r="G54" s="107" t="s">
        <v>49</v>
      </c>
      <c r="H54" s="105"/>
      <c r="I54" s="49" t="s">
        <v>49</v>
      </c>
      <c r="J54" s="50"/>
      <c r="K54" s="50"/>
      <c r="L54" s="50"/>
    </row>
    <row r="55" spans="1:14" ht="18.600000000000001" customHeight="1">
      <c r="A55" s="36"/>
      <c r="B55" s="99" t="s">
        <v>72</v>
      </c>
      <c r="C55" s="99"/>
      <c r="D55" s="100" t="s">
        <v>214</v>
      </c>
      <c r="E55" s="101"/>
      <c r="F55" s="101"/>
      <c r="G55" s="102" t="s">
        <v>49</v>
      </c>
      <c r="H55" s="103"/>
      <c r="I55" s="51" t="s">
        <v>49</v>
      </c>
      <c r="J55" s="52"/>
      <c r="K55" s="52"/>
      <c r="L55" s="52"/>
    </row>
    <row r="56" spans="1:14" ht="18.600000000000001" customHeight="1">
      <c r="A56" s="36"/>
      <c r="B56" s="68" t="s">
        <v>74</v>
      </c>
      <c r="C56" s="68"/>
      <c r="D56" s="54">
        <v>7</v>
      </c>
      <c r="E56" s="54"/>
      <c r="F56" s="68" t="s">
        <v>75</v>
      </c>
      <c r="G56" s="68"/>
      <c r="H56" s="68"/>
      <c r="I56" s="53" t="s">
        <v>215</v>
      </c>
      <c r="J56" s="54"/>
      <c r="K56" s="54"/>
      <c r="L56" s="54"/>
    </row>
    <row r="57" spans="1:14" ht="16.5" customHeight="1">
      <c r="A57" s="36"/>
      <c r="B57" s="68" t="s">
        <v>76</v>
      </c>
      <c r="C57" s="68"/>
      <c r="D57" s="54">
        <v>2018</v>
      </c>
      <c r="E57" s="54"/>
      <c r="F57" s="68" t="s">
        <v>77</v>
      </c>
      <c r="G57" s="68"/>
      <c r="H57" s="68"/>
      <c r="I57" s="55" t="s">
        <v>185</v>
      </c>
      <c r="J57" s="56"/>
      <c r="K57" s="56"/>
      <c r="L57" s="56"/>
      <c r="N57" s="34" t="s">
        <v>185</v>
      </c>
    </row>
    <row r="58" spans="1:14">
      <c r="A58" s="36"/>
      <c r="B58" s="68" t="s">
        <v>79</v>
      </c>
      <c r="C58" s="68"/>
      <c r="D58" s="68"/>
      <c r="E58" s="68"/>
      <c r="F58" s="95" t="s">
        <v>80</v>
      </c>
      <c r="G58" s="95"/>
      <c r="H58" s="95"/>
      <c r="I58" s="95"/>
      <c r="J58" s="95"/>
      <c r="K58" s="95"/>
      <c r="L58" s="95"/>
    </row>
    <row r="59" spans="1:14">
      <c r="A59" s="36"/>
      <c r="B59" s="68" t="s">
        <v>81</v>
      </c>
      <c r="C59" s="68"/>
      <c r="D59" s="68"/>
      <c r="E59" s="68"/>
      <c r="F59" s="96">
        <v>0</v>
      </c>
      <c r="G59" s="96"/>
      <c r="H59" s="96"/>
      <c r="I59" s="96"/>
      <c r="J59" s="96"/>
      <c r="K59" s="96"/>
      <c r="L59" s="96"/>
    </row>
    <row r="60" spans="1:14" ht="26.45" customHeight="1">
      <c r="A60" s="36"/>
      <c r="B60" s="46" t="s">
        <v>167</v>
      </c>
      <c r="C60" s="97"/>
      <c r="D60" s="98" t="s">
        <v>49</v>
      </c>
      <c r="E60" s="97"/>
      <c r="F60" s="46" t="s">
        <v>154</v>
      </c>
      <c r="G60" s="46"/>
      <c r="H60" s="46"/>
      <c r="I60" s="57" t="s">
        <v>216</v>
      </c>
      <c r="J60" s="58"/>
      <c r="K60" s="58"/>
      <c r="L60" s="58"/>
    </row>
    <row r="61" spans="1:14">
      <c r="A61" s="36"/>
      <c r="B61" s="48" t="s">
        <v>151</v>
      </c>
      <c r="C61" s="48"/>
      <c r="D61" s="48"/>
      <c r="E61" s="48"/>
      <c r="F61" s="48"/>
      <c r="G61" s="48"/>
      <c r="H61" s="48"/>
      <c r="I61" s="48"/>
      <c r="J61" s="48"/>
      <c r="K61" s="48"/>
      <c r="L61" s="48"/>
    </row>
    <row r="62" spans="1:14">
      <c r="A62" s="36"/>
      <c r="B62" s="94" t="s">
        <v>82</v>
      </c>
      <c r="C62" s="94"/>
      <c r="D62" s="25"/>
      <c r="E62" s="8" t="s">
        <v>83</v>
      </c>
      <c r="F62" s="94" t="s">
        <v>84</v>
      </c>
      <c r="G62" s="94"/>
      <c r="H62" s="94"/>
      <c r="I62" s="59">
        <v>0</v>
      </c>
      <c r="J62" s="59"/>
      <c r="K62" s="59"/>
      <c r="L62" s="8" t="s">
        <v>83</v>
      </c>
    </row>
    <row r="63" spans="1:14">
      <c r="A63" s="36"/>
      <c r="B63" s="94" t="s">
        <v>156</v>
      </c>
      <c r="C63" s="94"/>
      <c r="D63" s="25"/>
      <c r="E63" s="8" t="s">
        <v>83</v>
      </c>
      <c r="F63" s="94" t="s">
        <v>85</v>
      </c>
      <c r="G63" s="94"/>
      <c r="H63" s="94"/>
      <c r="I63" s="59">
        <v>0</v>
      </c>
      <c r="J63" s="59"/>
      <c r="K63" s="59"/>
      <c r="L63" s="8" t="s">
        <v>83</v>
      </c>
    </row>
    <row r="64" spans="1:14" ht="18" customHeight="1">
      <c r="A64" s="36"/>
      <c r="B64" s="46" t="s">
        <v>86</v>
      </c>
      <c r="C64" s="46"/>
      <c r="D64" s="31"/>
      <c r="E64" s="7" t="s">
        <v>87</v>
      </c>
      <c r="F64" s="46" t="s">
        <v>88</v>
      </c>
      <c r="G64" s="46"/>
      <c r="H64" s="46"/>
      <c r="I64" s="59">
        <v>0</v>
      </c>
      <c r="J64" s="59"/>
      <c r="K64" s="59"/>
      <c r="L64" s="8" t="s">
        <v>83</v>
      </c>
    </row>
    <row r="65" spans="1:16" ht="26.25" customHeight="1">
      <c r="A65" s="36"/>
      <c r="B65" s="68" t="s">
        <v>157</v>
      </c>
      <c r="C65" s="68"/>
      <c r="D65" s="24"/>
      <c r="E65" s="32" t="s">
        <v>83</v>
      </c>
      <c r="F65" s="68" t="s">
        <v>89</v>
      </c>
      <c r="G65" s="68"/>
      <c r="H65" s="68"/>
      <c r="I65" s="54"/>
      <c r="J65" s="54"/>
      <c r="K65" s="54"/>
      <c r="L65" s="32" t="s">
        <v>90</v>
      </c>
      <c r="N65" s="1" t="s">
        <v>91</v>
      </c>
      <c r="O65" s="1" t="s">
        <v>78</v>
      </c>
      <c r="P65" s="1" t="s">
        <v>92</v>
      </c>
    </row>
    <row r="66" spans="1:16" ht="30.6" customHeight="1">
      <c r="A66" s="36"/>
      <c r="B66" s="6" t="s">
        <v>93</v>
      </c>
      <c r="C66" s="6" t="s">
        <v>94</v>
      </c>
      <c r="D66" s="32" t="s">
        <v>95</v>
      </c>
      <c r="E66" s="32" t="s">
        <v>96</v>
      </c>
      <c r="F66" s="46" t="s">
        <v>97</v>
      </c>
      <c r="G66" s="46"/>
      <c r="H66" s="46"/>
      <c r="I66" s="60">
        <f>I65*D65</f>
        <v>0</v>
      </c>
      <c r="J66" s="60"/>
      <c r="K66" s="60"/>
      <c r="L66" s="60"/>
      <c r="N66" s="12"/>
    </row>
    <row r="67" spans="1:16" ht="28.9" customHeight="1">
      <c r="A67" s="36"/>
      <c r="B67" s="26" t="s">
        <v>98</v>
      </c>
      <c r="C67" s="9" t="s">
        <v>25</v>
      </c>
      <c r="D67" s="26" t="s">
        <v>99</v>
      </c>
      <c r="E67" s="10">
        <v>0</v>
      </c>
      <c r="F67" s="11" t="s">
        <v>100</v>
      </c>
      <c r="G67" s="11" t="s">
        <v>101</v>
      </c>
      <c r="H67" s="26" t="s">
        <v>102</v>
      </c>
      <c r="I67" s="61">
        <v>0</v>
      </c>
      <c r="J67" s="61"/>
      <c r="K67" s="61"/>
      <c r="L67" s="61"/>
    </row>
    <row r="68" spans="1:16" ht="20.45" customHeight="1">
      <c r="A68" s="36"/>
      <c r="B68" s="90" t="s">
        <v>103</v>
      </c>
      <c r="C68" s="90"/>
      <c r="D68" s="90"/>
      <c r="E68" s="90"/>
      <c r="F68" s="90"/>
      <c r="G68" s="90"/>
      <c r="H68" s="90"/>
      <c r="I68" s="61">
        <v>0</v>
      </c>
      <c r="J68" s="61"/>
      <c r="K68" s="61"/>
      <c r="L68" s="61"/>
    </row>
    <row r="69" spans="1:16" ht="18.600000000000001" customHeight="1">
      <c r="A69" s="36"/>
      <c r="B69" s="48" t="s">
        <v>152</v>
      </c>
      <c r="C69" s="48"/>
      <c r="D69" s="48"/>
      <c r="E69" s="48"/>
      <c r="F69" s="91">
        <f>I66+I67+I68</f>
        <v>0</v>
      </c>
      <c r="G69" s="91"/>
      <c r="H69" s="91"/>
      <c r="I69" s="91"/>
      <c r="J69" s="91"/>
      <c r="K69" s="91"/>
      <c r="L69" s="91"/>
    </row>
    <row r="70" spans="1:16" ht="19.5" customHeight="1">
      <c r="A70" s="36"/>
      <c r="B70" s="89" t="s">
        <v>150</v>
      </c>
      <c r="C70" s="89"/>
      <c r="D70" s="89"/>
      <c r="E70" s="89"/>
      <c r="F70" s="89"/>
      <c r="G70" s="89"/>
      <c r="H70" s="89"/>
      <c r="I70" s="89"/>
      <c r="J70" s="89"/>
      <c r="K70" s="89"/>
      <c r="L70" s="89"/>
    </row>
    <row r="71" spans="1:16" ht="18" customHeight="1">
      <c r="A71" s="36"/>
      <c r="B71" s="46" t="s">
        <v>104</v>
      </c>
      <c r="C71" s="46"/>
      <c r="D71" s="46"/>
      <c r="E71" s="46"/>
      <c r="F71" s="92" t="s">
        <v>225</v>
      </c>
      <c r="G71" s="93"/>
      <c r="H71" s="93"/>
      <c r="I71" s="93"/>
      <c r="J71" s="93"/>
      <c r="K71" s="93"/>
      <c r="L71" s="93"/>
    </row>
    <row r="72" spans="1:16" ht="45.75" customHeight="1">
      <c r="A72" s="36"/>
      <c r="B72" s="46" t="s">
        <v>105</v>
      </c>
      <c r="C72" s="46"/>
      <c r="D72" s="46"/>
      <c r="E72" s="30" t="s">
        <v>165</v>
      </c>
      <c r="F72" s="5" t="s">
        <v>217</v>
      </c>
      <c r="G72" s="5" t="s">
        <v>218</v>
      </c>
      <c r="H72" s="5" t="s">
        <v>219</v>
      </c>
      <c r="I72" s="30" t="s">
        <v>166</v>
      </c>
      <c r="J72" s="48" t="s">
        <v>173</v>
      </c>
      <c r="K72" s="48"/>
      <c r="L72" s="30" t="s">
        <v>106</v>
      </c>
    </row>
    <row r="73" spans="1:16" ht="18" customHeight="1">
      <c r="A73" s="36"/>
      <c r="B73" s="46" t="s">
        <v>163</v>
      </c>
      <c r="C73" s="46"/>
      <c r="D73" s="46"/>
      <c r="E73" s="15">
        <v>0</v>
      </c>
      <c r="F73" s="15">
        <v>1620</v>
      </c>
      <c r="G73" s="15">
        <v>776</v>
      </c>
      <c r="H73" s="15">
        <v>1135</v>
      </c>
      <c r="I73" s="15">
        <v>0</v>
      </c>
      <c r="J73" s="43">
        <v>0</v>
      </c>
      <c r="K73" s="43"/>
      <c r="L73" s="30">
        <f>SUM(E73:J73)</f>
        <v>3531</v>
      </c>
    </row>
    <row r="74" spans="1:16" ht="19.5" customHeight="1">
      <c r="A74" s="36"/>
      <c r="B74" s="46" t="s">
        <v>164</v>
      </c>
      <c r="C74" s="46"/>
      <c r="D74" s="46"/>
      <c r="E74" s="22">
        <v>0</v>
      </c>
      <c r="F74" s="20">
        <v>0</v>
      </c>
      <c r="G74" s="20">
        <v>0</v>
      </c>
      <c r="H74" s="20">
        <v>0</v>
      </c>
      <c r="I74" s="20">
        <v>0</v>
      </c>
      <c r="J74" s="47">
        <v>0</v>
      </c>
      <c r="K74" s="47"/>
      <c r="L74" s="30">
        <f>SUM(E74:K74)</f>
        <v>0</v>
      </c>
    </row>
    <row r="75" spans="1:16" ht="14.45" customHeight="1">
      <c r="A75" s="36"/>
      <c r="B75" s="46" t="s">
        <v>107</v>
      </c>
      <c r="C75" s="46"/>
      <c r="D75" s="89" t="s">
        <v>83</v>
      </c>
      <c r="E75" s="89"/>
      <c r="F75" s="48" t="s">
        <v>107</v>
      </c>
      <c r="G75" s="48"/>
      <c r="H75" s="48"/>
      <c r="I75" s="48"/>
      <c r="J75" s="48"/>
      <c r="K75" s="48"/>
      <c r="L75" s="31" t="s">
        <v>87</v>
      </c>
    </row>
    <row r="76" spans="1:16" ht="13.5" customHeight="1">
      <c r="A76" s="36"/>
      <c r="B76" s="45" t="s">
        <v>108</v>
      </c>
      <c r="C76" s="45"/>
      <c r="D76" s="45"/>
      <c r="E76" s="27" t="s">
        <v>109</v>
      </c>
      <c r="F76" s="27" t="s">
        <v>110</v>
      </c>
      <c r="G76" s="27" t="s">
        <v>111</v>
      </c>
      <c r="H76" s="27" t="s">
        <v>112</v>
      </c>
      <c r="I76" s="37" t="s">
        <v>113</v>
      </c>
      <c r="J76" s="37"/>
      <c r="K76" s="37"/>
      <c r="L76" s="37"/>
    </row>
    <row r="77" spans="1:16" ht="15.6" customHeight="1">
      <c r="A77" s="36"/>
      <c r="B77" s="45" t="s">
        <v>114</v>
      </c>
      <c r="C77" s="45"/>
      <c r="D77" s="45"/>
      <c r="E77" s="20" t="s">
        <v>49</v>
      </c>
      <c r="F77" s="20" t="s">
        <v>49</v>
      </c>
      <c r="G77" s="20" t="s">
        <v>49</v>
      </c>
      <c r="H77" s="20" t="s">
        <v>49</v>
      </c>
      <c r="I77" s="43"/>
      <c r="J77" s="43"/>
      <c r="K77" s="43"/>
      <c r="L77" s="43"/>
    </row>
    <row r="78" spans="1:16" ht="13.5" customHeight="1">
      <c r="A78" s="36"/>
      <c r="B78" s="45" t="s">
        <v>115</v>
      </c>
      <c r="C78" s="45"/>
      <c r="D78" s="45"/>
      <c r="E78" s="20" t="s">
        <v>49</v>
      </c>
      <c r="F78" s="20" t="s">
        <v>49</v>
      </c>
      <c r="G78" s="20" t="s">
        <v>49</v>
      </c>
      <c r="H78" s="20" t="s">
        <v>49</v>
      </c>
      <c r="I78" s="43"/>
      <c r="J78" s="43"/>
      <c r="K78" s="43"/>
      <c r="L78" s="43"/>
    </row>
    <row r="79" spans="1:16" ht="12" customHeight="1">
      <c r="A79" s="36"/>
      <c r="B79" s="45" t="s">
        <v>116</v>
      </c>
      <c r="C79" s="45"/>
      <c r="D79" s="45"/>
      <c r="E79" s="17" t="s">
        <v>172</v>
      </c>
      <c r="F79" s="17" t="s">
        <v>172</v>
      </c>
      <c r="G79" s="17" t="s">
        <v>172</v>
      </c>
      <c r="H79" s="17" t="s">
        <v>172</v>
      </c>
      <c r="I79" s="43"/>
      <c r="J79" s="43"/>
      <c r="K79" s="43"/>
      <c r="L79" s="43"/>
    </row>
    <row r="80" spans="1:16" ht="12.95" customHeight="1">
      <c r="A80" s="36"/>
      <c r="B80" s="45" t="s">
        <v>117</v>
      </c>
      <c r="C80" s="45"/>
      <c r="D80" s="45"/>
      <c r="E80" s="88" t="s">
        <v>40</v>
      </c>
      <c r="F80" s="88"/>
      <c r="G80" s="88"/>
      <c r="H80" s="88"/>
      <c r="I80" s="88"/>
      <c r="J80" s="88"/>
      <c r="K80" s="88"/>
      <c r="L80" s="88"/>
    </row>
    <row r="81" spans="1:12" ht="16.5" customHeight="1">
      <c r="A81" s="36"/>
      <c r="B81" s="45" t="s">
        <v>118</v>
      </c>
      <c r="C81" s="45"/>
      <c r="D81" s="45"/>
      <c r="E81" s="88" t="s">
        <v>40</v>
      </c>
      <c r="F81" s="88"/>
      <c r="G81" s="88"/>
      <c r="H81" s="88"/>
      <c r="I81" s="88"/>
      <c r="J81" s="88"/>
      <c r="K81" s="88"/>
      <c r="L81" s="88"/>
    </row>
    <row r="82" spans="1:12" ht="19.5" customHeight="1">
      <c r="A82" s="36"/>
      <c r="B82" s="64" t="s">
        <v>119</v>
      </c>
      <c r="C82" s="64"/>
      <c r="D82" s="64"/>
      <c r="E82" s="64"/>
      <c r="F82" s="64"/>
      <c r="G82" s="64"/>
      <c r="H82" s="64"/>
      <c r="I82" s="64"/>
      <c r="J82" s="64"/>
      <c r="K82" s="64"/>
      <c r="L82" s="64"/>
    </row>
    <row r="83" spans="1:12" ht="19.5" customHeight="1">
      <c r="A83" s="36"/>
      <c r="B83" s="84" t="s">
        <v>120</v>
      </c>
      <c r="C83" s="84"/>
      <c r="D83" s="84"/>
      <c r="E83" s="84"/>
      <c r="F83" s="84"/>
      <c r="G83" s="84"/>
      <c r="H83" s="84"/>
      <c r="I83" s="84"/>
      <c r="J83" s="84"/>
      <c r="K83" s="84"/>
      <c r="L83" s="84"/>
    </row>
    <row r="84" spans="1:12" ht="20.100000000000001" customHeight="1">
      <c r="A84" s="36"/>
      <c r="B84" s="46" t="s">
        <v>174</v>
      </c>
      <c r="C84" s="45"/>
      <c r="D84" s="37">
        <v>1403</v>
      </c>
      <c r="E84" s="37"/>
      <c r="F84" s="45" t="s">
        <v>175</v>
      </c>
      <c r="G84" s="45"/>
      <c r="H84" s="45"/>
      <c r="I84" s="86">
        <v>65000</v>
      </c>
      <c r="J84" s="86"/>
      <c r="K84" s="86"/>
      <c r="L84" s="7" t="s">
        <v>153</v>
      </c>
    </row>
    <row r="85" spans="1:12" ht="16.5" customHeight="1">
      <c r="A85" s="36"/>
      <c r="B85" s="85" t="s">
        <v>121</v>
      </c>
      <c r="C85" s="85"/>
      <c r="D85" s="87">
        <f>D84*I84</f>
        <v>91195000</v>
      </c>
      <c r="E85" s="87"/>
      <c r="F85" s="87"/>
      <c r="G85" s="87"/>
      <c r="H85" s="87"/>
      <c r="I85" s="87"/>
      <c r="J85" s="87"/>
      <c r="K85" s="87"/>
      <c r="L85" s="18"/>
    </row>
    <row r="86" spans="1:12" ht="17.100000000000001" customHeight="1">
      <c r="A86" s="36"/>
      <c r="B86" s="37" t="s">
        <v>122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spans="1:12" ht="42" customHeight="1">
      <c r="A87" s="36"/>
      <c r="B87" s="45" t="s">
        <v>105</v>
      </c>
      <c r="C87" s="45"/>
      <c r="D87" s="45"/>
      <c r="E87" s="30" t="s">
        <v>170</v>
      </c>
      <c r="F87" s="5" t="s">
        <v>217</v>
      </c>
      <c r="G87" s="5" t="s">
        <v>218</v>
      </c>
      <c r="H87" s="5" t="s">
        <v>219</v>
      </c>
      <c r="I87" s="30" t="s">
        <v>171</v>
      </c>
      <c r="J87" s="48" t="s">
        <v>173</v>
      </c>
      <c r="K87" s="48"/>
      <c r="L87" s="5" t="s">
        <v>106</v>
      </c>
    </row>
    <row r="88" spans="1:12" ht="19.5" customHeight="1">
      <c r="A88" s="36"/>
      <c r="B88" s="45" t="s">
        <v>123</v>
      </c>
      <c r="C88" s="45"/>
      <c r="D88" s="45"/>
      <c r="E88" s="13">
        <v>0</v>
      </c>
      <c r="F88" s="28">
        <v>1620</v>
      </c>
      <c r="G88" s="28">
        <v>776</v>
      </c>
      <c r="H88" s="28">
        <v>1135</v>
      </c>
      <c r="I88" s="28"/>
      <c r="J88" s="38">
        <v>0</v>
      </c>
      <c r="K88" s="38"/>
      <c r="L88" s="30">
        <f>SUM(E88:K88)</f>
        <v>3531</v>
      </c>
    </row>
    <row r="89" spans="1:12" ht="25.5" customHeight="1">
      <c r="A89" s="36"/>
      <c r="B89" s="45" t="s">
        <v>124</v>
      </c>
      <c r="C89" s="45"/>
      <c r="D89" s="45"/>
      <c r="E89" s="28">
        <v>0</v>
      </c>
      <c r="F89" s="28">
        <v>900</v>
      </c>
      <c r="G89" s="28">
        <v>900</v>
      </c>
      <c r="H89" s="28">
        <v>900</v>
      </c>
      <c r="I89" s="28"/>
      <c r="J89" s="38">
        <v>0</v>
      </c>
      <c r="K89" s="38"/>
      <c r="L89" s="30" t="s">
        <v>49</v>
      </c>
    </row>
    <row r="90" spans="1:12" ht="19.5" customHeight="1">
      <c r="A90" s="36"/>
      <c r="B90" s="45" t="s">
        <v>125</v>
      </c>
      <c r="C90" s="45"/>
      <c r="D90" s="45"/>
      <c r="E90" s="29">
        <f>E88*E89</f>
        <v>0</v>
      </c>
      <c r="F90" s="35">
        <v>1458000</v>
      </c>
      <c r="G90" s="35">
        <v>698400</v>
      </c>
      <c r="H90" s="29">
        <f>H89*H88</f>
        <v>1021500</v>
      </c>
      <c r="I90" s="29"/>
      <c r="J90" s="74">
        <f>J88*K89</f>
        <v>0</v>
      </c>
      <c r="K90" s="74"/>
      <c r="L90" s="14">
        <f>SUM(E90:K90)</f>
        <v>3177900</v>
      </c>
    </row>
    <row r="91" spans="1:12" ht="17.100000000000001" customHeight="1">
      <c r="A91" s="36"/>
      <c r="B91" s="37" t="s">
        <v>126</v>
      </c>
      <c r="C91" s="37"/>
      <c r="D91" s="75" t="s">
        <v>127</v>
      </c>
      <c r="E91" s="75"/>
      <c r="F91" s="38"/>
      <c r="G91" s="38"/>
      <c r="H91" s="38"/>
      <c r="I91" s="38"/>
      <c r="J91" s="38"/>
      <c r="K91" s="38"/>
      <c r="L91" s="14">
        <v>0</v>
      </c>
    </row>
    <row r="92" spans="1:12" ht="20.100000000000001" customHeight="1">
      <c r="A92" s="36"/>
      <c r="B92" s="37" t="s">
        <v>149</v>
      </c>
      <c r="C92" s="37"/>
      <c r="D92" s="76">
        <f>L90</f>
        <v>3177900</v>
      </c>
      <c r="E92" s="76"/>
      <c r="F92" s="37" t="s">
        <v>148</v>
      </c>
      <c r="G92" s="37"/>
      <c r="H92" s="37"/>
      <c r="I92" s="37"/>
      <c r="J92" s="37"/>
      <c r="K92" s="37"/>
      <c r="L92" s="19">
        <f>D85+L90+L91</f>
        <v>94372900</v>
      </c>
    </row>
    <row r="93" spans="1:12" ht="14.45" customHeight="1">
      <c r="A93" s="36"/>
      <c r="B93" s="64" t="s">
        <v>128</v>
      </c>
      <c r="C93" s="64"/>
      <c r="D93" s="64"/>
      <c r="E93" s="64"/>
      <c r="F93" s="64"/>
      <c r="G93" s="64"/>
      <c r="H93" s="64"/>
      <c r="I93" s="64"/>
      <c r="J93" s="64"/>
      <c r="K93" s="64"/>
      <c r="L93" s="64"/>
    </row>
    <row r="94" spans="1:12" ht="19.5" customHeight="1">
      <c r="A94" s="36"/>
      <c r="B94" s="45" t="s">
        <v>129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2" ht="19.5" customHeight="1">
      <c r="A95" s="36"/>
      <c r="B95" s="45" t="s">
        <v>130</v>
      </c>
      <c r="C95" s="45"/>
      <c r="D95" s="80" t="s">
        <v>49</v>
      </c>
      <c r="E95" s="81"/>
      <c r="F95" s="77" t="s">
        <v>131</v>
      </c>
      <c r="G95" s="77"/>
      <c r="H95" s="77"/>
      <c r="I95" s="82" t="s">
        <v>49</v>
      </c>
      <c r="J95" s="82"/>
      <c r="K95" s="82"/>
      <c r="L95" s="82"/>
    </row>
    <row r="96" spans="1:12" ht="26.25" customHeight="1">
      <c r="A96" s="36"/>
      <c r="B96" s="78" t="s">
        <v>132</v>
      </c>
      <c r="C96" s="79"/>
      <c r="D96" s="79"/>
      <c r="E96" s="79"/>
      <c r="F96" s="66" t="s">
        <v>49</v>
      </c>
      <c r="G96" s="66"/>
      <c r="H96" s="66"/>
      <c r="I96" s="66"/>
      <c r="J96" s="66"/>
      <c r="K96" s="66"/>
      <c r="L96" s="66"/>
    </row>
    <row r="97" spans="1:12" ht="15" customHeight="1">
      <c r="A97" s="36"/>
      <c r="B97" s="79" t="s">
        <v>158</v>
      </c>
      <c r="C97" s="79"/>
      <c r="D97" s="79"/>
      <c r="E97" s="79"/>
      <c r="F97" s="83" t="s">
        <v>49</v>
      </c>
      <c r="G97" s="83"/>
      <c r="H97" s="83"/>
      <c r="I97" s="83"/>
      <c r="J97" s="83"/>
      <c r="K97" s="83"/>
      <c r="L97" s="83"/>
    </row>
    <row r="98" spans="1:12" ht="29.25" customHeight="1">
      <c r="A98" s="36"/>
      <c r="B98" s="46" t="s">
        <v>162</v>
      </c>
      <c r="C98" s="46"/>
      <c r="D98" s="46"/>
      <c r="E98" s="46"/>
      <c r="F98" s="46"/>
      <c r="G98" s="73">
        <f>L92</f>
        <v>94372900</v>
      </c>
      <c r="H98" s="73"/>
      <c r="I98" s="73"/>
      <c r="J98" s="73"/>
      <c r="K98" s="73"/>
      <c r="L98" s="73"/>
    </row>
    <row r="99" spans="1:12" ht="15" customHeight="1">
      <c r="A99" s="36"/>
      <c r="B99" s="48" t="s">
        <v>134</v>
      </c>
      <c r="C99" s="37"/>
      <c r="D99" s="37"/>
      <c r="E99" s="37"/>
      <c r="F99" s="37"/>
      <c r="G99" s="37"/>
      <c r="H99" s="37"/>
      <c r="I99" s="37"/>
      <c r="J99" s="37"/>
      <c r="K99" s="37"/>
      <c r="L99" s="37"/>
    </row>
    <row r="100" spans="1:12" ht="14.45" customHeight="1">
      <c r="A100" s="36"/>
      <c r="B100" s="38" t="s">
        <v>133</v>
      </c>
      <c r="C100" s="38"/>
      <c r="D100" s="43">
        <v>1403</v>
      </c>
      <c r="E100" s="43"/>
      <c r="F100" s="20" t="s">
        <v>159</v>
      </c>
      <c r="G100" s="43" t="s">
        <v>135</v>
      </c>
      <c r="H100" s="43"/>
      <c r="I100" s="44">
        <v>0</v>
      </c>
      <c r="J100" s="44"/>
      <c r="K100" s="44"/>
      <c r="L100" s="16" t="s">
        <v>160</v>
      </c>
    </row>
    <row r="101" spans="1:12" ht="15.95" customHeight="1">
      <c r="A101" s="36"/>
      <c r="B101" s="43" t="s">
        <v>168</v>
      </c>
      <c r="C101" s="38"/>
      <c r="D101" s="72">
        <f>D100*I100</f>
        <v>0</v>
      </c>
      <c r="E101" s="72"/>
      <c r="F101" s="72"/>
      <c r="G101" s="72"/>
      <c r="H101" s="72"/>
      <c r="I101" s="72"/>
      <c r="J101" s="72"/>
      <c r="K101" s="72"/>
      <c r="L101" s="72"/>
    </row>
    <row r="102" spans="1:12">
      <c r="A102" s="36"/>
      <c r="B102" s="46" t="s">
        <v>136</v>
      </c>
      <c r="C102" s="45"/>
      <c r="D102" s="71" t="s">
        <v>49</v>
      </c>
      <c r="E102" s="71"/>
      <c r="F102" s="71"/>
      <c r="G102" s="71"/>
      <c r="H102" s="71"/>
      <c r="I102" s="71"/>
      <c r="J102" s="71"/>
      <c r="K102" s="71"/>
      <c r="L102" s="71"/>
    </row>
    <row r="103" spans="1:12" ht="15.6" customHeight="1">
      <c r="A103" s="36"/>
      <c r="B103" s="62" t="s">
        <v>169</v>
      </c>
      <c r="C103" s="63"/>
      <c r="D103" s="63"/>
      <c r="E103" s="63"/>
      <c r="F103" s="42">
        <f>SUM(L92*0.8)</f>
        <v>75498320</v>
      </c>
      <c r="G103" s="42"/>
      <c r="H103" s="42"/>
      <c r="I103" s="42"/>
      <c r="J103" s="42"/>
      <c r="K103" s="42"/>
      <c r="L103" s="42"/>
    </row>
    <row r="104" spans="1:12" ht="17.45" customHeight="1">
      <c r="A104" s="36"/>
      <c r="B104" s="67" t="s">
        <v>137</v>
      </c>
      <c r="C104" s="67"/>
      <c r="D104" s="67"/>
      <c r="E104" s="67"/>
      <c r="F104" s="67"/>
      <c r="G104" s="67"/>
      <c r="H104" s="67"/>
      <c r="I104" s="67"/>
      <c r="J104" s="67"/>
      <c r="K104" s="67"/>
      <c r="L104" s="67"/>
    </row>
    <row r="105" spans="1:12" ht="16.5" customHeight="1">
      <c r="A105" s="36"/>
      <c r="B105" s="45" t="s">
        <v>226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46"/>
    </row>
    <row r="106" spans="1:12" ht="121.5" customHeight="1">
      <c r="A106" s="3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 ht="15" customHeight="1">
      <c r="A107" s="36"/>
      <c r="B107" s="68" t="s">
        <v>161</v>
      </c>
      <c r="C107" s="69"/>
      <c r="D107" s="69"/>
      <c r="E107" s="69"/>
      <c r="F107" s="70" t="s">
        <v>138</v>
      </c>
      <c r="G107" s="70"/>
      <c r="H107" s="70"/>
      <c r="I107" s="70"/>
      <c r="J107" s="70"/>
      <c r="K107" s="70"/>
      <c r="L107" s="70"/>
    </row>
    <row r="108" spans="1:12" ht="15" customHeight="1">
      <c r="A108" s="36"/>
      <c r="B108" s="45" t="s">
        <v>139</v>
      </c>
      <c r="C108" s="45"/>
      <c r="D108" s="45"/>
      <c r="E108" s="45"/>
      <c r="F108" s="45"/>
      <c r="G108" s="45"/>
      <c r="H108" s="45"/>
      <c r="I108" s="45"/>
      <c r="J108" s="45"/>
      <c r="K108" s="45"/>
      <c r="L108" s="45"/>
    </row>
    <row r="109" spans="1:12" ht="15" customHeight="1">
      <c r="A109" s="36"/>
      <c r="B109" s="66" t="s">
        <v>140</v>
      </c>
      <c r="C109" s="66"/>
      <c r="D109" s="66"/>
      <c r="E109" s="66"/>
      <c r="F109" s="66"/>
      <c r="G109" s="66"/>
      <c r="H109" s="66"/>
      <c r="I109" s="66"/>
      <c r="J109" s="66"/>
      <c r="K109" s="66"/>
      <c r="L109" s="66"/>
    </row>
    <row r="110" spans="1:12" ht="15" customHeight="1">
      <c r="A110" s="36"/>
      <c r="B110" s="66" t="s">
        <v>141</v>
      </c>
      <c r="C110" s="66"/>
      <c r="D110" s="66"/>
      <c r="E110" s="66"/>
      <c r="F110" s="66"/>
      <c r="G110" s="66"/>
      <c r="H110" s="66"/>
      <c r="I110" s="66"/>
      <c r="J110" s="66"/>
      <c r="K110" s="66"/>
      <c r="L110" s="66"/>
    </row>
    <row r="111" spans="1:12" ht="15" customHeight="1">
      <c r="A111" s="36"/>
      <c r="B111" s="66" t="s">
        <v>142</v>
      </c>
      <c r="C111" s="66"/>
      <c r="D111" s="66"/>
      <c r="E111" s="66"/>
      <c r="F111" s="66"/>
      <c r="G111" s="66"/>
      <c r="H111" s="66"/>
      <c r="I111" s="66"/>
      <c r="J111" s="66"/>
      <c r="K111" s="66"/>
      <c r="L111" s="66"/>
    </row>
    <row r="112" spans="1:12" ht="15" customHeight="1">
      <c r="A112" s="36"/>
      <c r="B112" s="45" t="s">
        <v>220</v>
      </c>
      <c r="C112" s="45"/>
      <c r="D112" s="45"/>
      <c r="E112" s="45"/>
      <c r="F112" s="45" t="s">
        <v>221</v>
      </c>
      <c r="G112" s="45"/>
      <c r="H112" s="45"/>
      <c r="I112" s="45"/>
      <c r="J112" s="45"/>
      <c r="K112" s="45"/>
      <c r="L112" s="45"/>
    </row>
    <row r="113" spans="1:16">
      <c r="A113" s="36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</row>
    <row r="114" spans="1:16" ht="21" customHeight="1">
      <c r="A114" s="36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</row>
    <row r="115" spans="1:16" ht="15" customHeight="1">
      <c r="A115" s="36"/>
      <c r="B115" s="45" t="s">
        <v>222</v>
      </c>
      <c r="C115" s="46"/>
      <c r="D115" s="46"/>
      <c r="E115" s="46"/>
      <c r="F115" s="45" t="s">
        <v>143</v>
      </c>
      <c r="G115" s="45"/>
      <c r="H115" s="45"/>
      <c r="I115" s="45"/>
      <c r="J115" s="45"/>
      <c r="K115" s="45"/>
      <c r="L115" s="45"/>
      <c r="N115" s="1" t="s">
        <v>138</v>
      </c>
      <c r="O115" s="1" t="s">
        <v>144</v>
      </c>
      <c r="P115" s="1" t="s">
        <v>145</v>
      </c>
    </row>
    <row r="116" spans="1:16" ht="42" customHeight="1">
      <c r="A116" s="36"/>
      <c r="B116" s="46"/>
      <c r="C116" s="46"/>
      <c r="D116" s="46"/>
      <c r="E116" s="46"/>
      <c r="F116" s="45"/>
      <c r="G116" s="45"/>
      <c r="H116" s="45"/>
      <c r="I116" s="45"/>
      <c r="J116" s="45"/>
      <c r="K116" s="45"/>
      <c r="L116" s="45"/>
    </row>
    <row r="117" spans="1:16">
      <c r="A117" s="36"/>
      <c r="B117" s="45" t="s">
        <v>146</v>
      </c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  <row r="118" spans="1:16">
      <c r="A118" s="3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</row>
    <row r="119" spans="1:16" ht="18" customHeight="1">
      <c r="A119" t="inlineStr">
        <is>
          <t>Property access / side approach</t>
        </is>
      </c>
      <c r="E119" t="inlineStr">
        <is>
          <t>Swimming pool</t>
        </is>
      </c>
      <c r="I119" t="inlineStr">
        <is>
          <t>Building / property exterior</t>
        </is>
      </c>
    </row>
    <row r="120" spans="1:16" ht="212.30251968503936" customHeight="1"/>
    <row r="121" spans="1:16" ht="18" customHeight="1">
      <c r="A121" t="inlineStr">
        <is>
          <t>Office / commercial interior</t>
        </is>
      </c>
      <c r="E121" t="inlineStr">
        <is>
          <t>Gym / amenity interior</t>
        </is>
      </c>
      <c r="I121" t="inlineStr">
        <is>
          <t>Interior / utility area</t>
        </is>
      </c>
    </row>
    <row r="122" spans="1:16" ht="192.09944881889763" customHeight="1"/>
    <row r="123" spans="1:16" ht="18" customHeight="1">
      <c r="A123" t="inlineStr">
        <is>
          <t>Swimming pool — second view</t>
        </is>
      </c>
      <c r="E123" t="inlineStr">
        <is>
          <t>Property equipment / utility</t>
        </is>
      </c>
      <c r="I123" t="inlineStr">
        <is>
          <t>Approach / side view</t>
        </is>
      </c>
    </row>
    <row r="124" spans="1:16" ht="228.07968503937008" customHeight="1"/>
    <row r="125" spans="1:16" ht="18" customHeight="1">
      <c r="A125" t="inlineStr">
        <is>
          <t>Electricity Bill Screenshot</t>
        </is>
      </c>
    </row>
    <row r="126" spans="1:16" ht="225.6907874015748" customHeight="1"/>
    <row r="127" spans="1:16" ht="18" customHeight="1">
      <c r="A127" t="inlineStr">
        <is>
          <t>Electricity meter</t>
        </is>
      </c>
      <c r="E127" t="inlineStr">
        <is>
          <t>Applicant / owner at site</t>
        </is>
      </c>
    </row>
    <row r="128" spans="1:16" ht="227.68165354330708" customHeight="1"/>
    <row r="129" spans="1:12" ht="18" customHeight="1">
      <c r="A129" t="inlineStr">
        <is>
          <t>Satellite View</t>
        </is>
      </c>
    </row>
    <row r="130" spans="1:12" ht="221.10188976377952" customHeight="1"/>
    <row r="131" spans="1:12" ht="18" customHeight="1">
      <c r="A131" t="inlineStr">
        <is>
          <t>Map Screenshot</t>
        </is>
      </c>
    </row>
    <row r="132" spans="1:12" ht="275.26992125984253" customHeight="1"/>
    <row r="133" spans="1:12" ht="1" customHeight="1"/>
    <row r="134" spans="1:12" ht="1" customHeight="1"/>
    <row r="135" spans="1:12" ht="1" customHeight="1"/>
    <row r="136" spans="1:12" ht="1" customHeight="1"/>
    <row r="137" spans="1:12" ht="1" customHeight="1"/>
  </sheetData>
  <mergeCells count="253">
    <mergeCell ref="G43:H43"/>
    <mergeCell ref="G44:H44"/>
    <mergeCell ref="G45:H45"/>
    <mergeCell ref="G46:H46"/>
    <mergeCell ref="G47:H47"/>
    <mergeCell ref="G48:H48"/>
    <mergeCell ref="G49:H49"/>
    <mergeCell ref="I43:K43"/>
    <mergeCell ref="I44:K44"/>
    <mergeCell ref="I45:K45"/>
    <mergeCell ref="I46:K46"/>
    <mergeCell ref="I47:K47"/>
    <mergeCell ref="I48:K48"/>
    <mergeCell ref="I49:K49"/>
    <mergeCell ref="B48:D48"/>
    <mergeCell ref="B49:D49"/>
    <mergeCell ref="E43:F43"/>
    <mergeCell ref="E44:F44"/>
    <mergeCell ref="E45:F45"/>
    <mergeCell ref="E46:F46"/>
    <mergeCell ref="E47:F47"/>
    <mergeCell ref="E48:F48"/>
    <mergeCell ref="E49:F49"/>
    <mergeCell ref="B12:L12"/>
    <mergeCell ref="B13:L13"/>
    <mergeCell ref="B14:E14"/>
    <mergeCell ref="F14:J14"/>
    <mergeCell ref="K14:L14"/>
    <mergeCell ref="B15:E15"/>
    <mergeCell ref="F15:L15"/>
    <mergeCell ref="B16:E16"/>
    <mergeCell ref="F16:L16"/>
    <mergeCell ref="B22:C22"/>
    <mergeCell ref="D22:E22"/>
    <mergeCell ref="F22:H22"/>
    <mergeCell ref="B23:E23"/>
    <mergeCell ref="F23:L23"/>
    <mergeCell ref="B24:E24"/>
    <mergeCell ref="F24:L24"/>
    <mergeCell ref="I22:L22"/>
    <mergeCell ref="B17:E17"/>
    <mergeCell ref="F17:L17"/>
    <mergeCell ref="B18:E18"/>
    <mergeCell ref="F18:L18"/>
    <mergeCell ref="B19:D19"/>
    <mergeCell ref="E19:L19"/>
    <mergeCell ref="B20:C20"/>
    <mergeCell ref="D20:L20"/>
    <mergeCell ref="B21:C21"/>
    <mergeCell ref="D21:L21"/>
    <mergeCell ref="B25:E25"/>
    <mergeCell ref="F25:L25"/>
    <mergeCell ref="B26:E26"/>
    <mergeCell ref="F26:L26"/>
    <mergeCell ref="B27:E27"/>
    <mergeCell ref="F27:L27"/>
    <mergeCell ref="B28:E28"/>
    <mergeCell ref="F28:L28"/>
    <mergeCell ref="B29:E29"/>
    <mergeCell ref="F29:L29"/>
    <mergeCell ref="B30:E30"/>
    <mergeCell ref="F30:L30"/>
    <mergeCell ref="B31:E31"/>
    <mergeCell ref="F31:L31"/>
    <mergeCell ref="B32:C32"/>
    <mergeCell ref="D32:E32"/>
    <mergeCell ref="F32:H32"/>
    <mergeCell ref="B33:E33"/>
    <mergeCell ref="F33:L33"/>
    <mergeCell ref="I32:L32"/>
    <mergeCell ref="B34:E34"/>
    <mergeCell ref="F34:L34"/>
    <mergeCell ref="B35:E35"/>
    <mergeCell ref="F35:L35"/>
    <mergeCell ref="B36:E36"/>
    <mergeCell ref="F36:L36"/>
    <mergeCell ref="B37:E37"/>
    <mergeCell ref="F37:L37"/>
    <mergeCell ref="B38:E38"/>
    <mergeCell ref="F38:L38"/>
    <mergeCell ref="B42:D42"/>
    <mergeCell ref="E42:F42"/>
    <mergeCell ref="G42:H42"/>
    <mergeCell ref="B50:D50"/>
    <mergeCell ref="E50:F50"/>
    <mergeCell ref="G50:H50"/>
    <mergeCell ref="I42:K42"/>
    <mergeCell ref="I50:K50"/>
    <mergeCell ref="C39:E39"/>
    <mergeCell ref="F39:H39"/>
    <mergeCell ref="B40:C40"/>
    <mergeCell ref="D40:E40"/>
    <mergeCell ref="F40:H40"/>
    <mergeCell ref="B41:D41"/>
    <mergeCell ref="E41:F41"/>
    <mergeCell ref="G41:H41"/>
    <mergeCell ref="I39:L39"/>
    <mergeCell ref="I40:L40"/>
    <mergeCell ref="I41:K41"/>
    <mergeCell ref="B43:D43"/>
    <mergeCell ref="B44:D44"/>
    <mergeCell ref="B45:D45"/>
    <mergeCell ref="B46:D46"/>
    <mergeCell ref="B47:D47"/>
    <mergeCell ref="B51:E51"/>
    <mergeCell ref="F51:L51"/>
    <mergeCell ref="B52:L52"/>
    <mergeCell ref="B53:C53"/>
    <mergeCell ref="D53:F53"/>
    <mergeCell ref="G53:H53"/>
    <mergeCell ref="B54:C54"/>
    <mergeCell ref="D54:F54"/>
    <mergeCell ref="G54:H54"/>
    <mergeCell ref="B58:E58"/>
    <mergeCell ref="F58:L58"/>
    <mergeCell ref="B59:E59"/>
    <mergeCell ref="F59:L59"/>
    <mergeCell ref="B60:C60"/>
    <mergeCell ref="D60:E60"/>
    <mergeCell ref="F60:H60"/>
    <mergeCell ref="B61:L61"/>
    <mergeCell ref="B55:C55"/>
    <mergeCell ref="D55:F55"/>
    <mergeCell ref="G55:H55"/>
    <mergeCell ref="B56:C56"/>
    <mergeCell ref="F56:H56"/>
    <mergeCell ref="B57:C57"/>
    <mergeCell ref="F57:H57"/>
    <mergeCell ref="D56:E56"/>
    <mergeCell ref="D57:E57"/>
    <mergeCell ref="B62:C62"/>
    <mergeCell ref="F62:H62"/>
    <mergeCell ref="B63:C63"/>
    <mergeCell ref="F63:H63"/>
    <mergeCell ref="B64:C64"/>
    <mergeCell ref="F64:H64"/>
    <mergeCell ref="B65:C65"/>
    <mergeCell ref="F65:H65"/>
    <mergeCell ref="F66:H66"/>
    <mergeCell ref="B72:D72"/>
    <mergeCell ref="B73:D73"/>
    <mergeCell ref="B74:D74"/>
    <mergeCell ref="B75:C75"/>
    <mergeCell ref="D75:E75"/>
    <mergeCell ref="B68:H68"/>
    <mergeCell ref="B69:E69"/>
    <mergeCell ref="F69:L69"/>
    <mergeCell ref="B70:L70"/>
    <mergeCell ref="B71:E71"/>
    <mergeCell ref="F71:L71"/>
    <mergeCell ref="B76:D76"/>
    <mergeCell ref="B77:D77"/>
    <mergeCell ref="B78:D78"/>
    <mergeCell ref="B79:D79"/>
    <mergeCell ref="B80:D80"/>
    <mergeCell ref="E80:L80"/>
    <mergeCell ref="B81:D81"/>
    <mergeCell ref="E81:L81"/>
    <mergeCell ref="I76:L76"/>
    <mergeCell ref="I77:L77"/>
    <mergeCell ref="I78:L78"/>
    <mergeCell ref="I79:L79"/>
    <mergeCell ref="B82:L82"/>
    <mergeCell ref="B83:L83"/>
    <mergeCell ref="B84:C84"/>
    <mergeCell ref="F84:H84"/>
    <mergeCell ref="B85:C85"/>
    <mergeCell ref="B86:L86"/>
    <mergeCell ref="B87:D87"/>
    <mergeCell ref="J87:K87"/>
    <mergeCell ref="I84:K84"/>
    <mergeCell ref="D84:E84"/>
    <mergeCell ref="D85:K85"/>
    <mergeCell ref="G98:L98"/>
    <mergeCell ref="B98:F98"/>
    <mergeCell ref="B88:D88"/>
    <mergeCell ref="B89:D89"/>
    <mergeCell ref="B90:D90"/>
    <mergeCell ref="B91:C91"/>
    <mergeCell ref="B92:C92"/>
    <mergeCell ref="J88:K88"/>
    <mergeCell ref="J89:K89"/>
    <mergeCell ref="J90:K90"/>
    <mergeCell ref="F91:K91"/>
    <mergeCell ref="F92:K92"/>
    <mergeCell ref="D91:E91"/>
    <mergeCell ref="D92:E92"/>
    <mergeCell ref="B94:L94"/>
    <mergeCell ref="B95:C95"/>
    <mergeCell ref="F95:H95"/>
    <mergeCell ref="B96:E96"/>
    <mergeCell ref="B97:E97"/>
    <mergeCell ref="D95:E95"/>
    <mergeCell ref="I95:L95"/>
    <mergeCell ref="F96:L96"/>
    <mergeCell ref="F97:L97"/>
    <mergeCell ref="F75:K75"/>
    <mergeCell ref="B103:E103"/>
    <mergeCell ref="B93:L93"/>
    <mergeCell ref="A1:L11"/>
    <mergeCell ref="B117:L117"/>
    <mergeCell ref="B112:E114"/>
    <mergeCell ref="F112:L114"/>
    <mergeCell ref="B104:L104"/>
    <mergeCell ref="B107:E107"/>
    <mergeCell ref="F107:L107"/>
    <mergeCell ref="B108:L108"/>
    <mergeCell ref="B109:L109"/>
    <mergeCell ref="B110:L110"/>
    <mergeCell ref="B111:L111"/>
    <mergeCell ref="B105:L106"/>
    <mergeCell ref="B102:C102"/>
    <mergeCell ref="B99:L99"/>
    <mergeCell ref="B100:C100"/>
    <mergeCell ref="B101:C101"/>
    <mergeCell ref="D100:E100"/>
    <mergeCell ref="D102:L102"/>
    <mergeCell ref="D101:L101"/>
    <mergeCell ref="J74:K74"/>
    <mergeCell ref="J73:K73"/>
    <mergeCell ref="J72:K72"/>
    <mergeCell ref="I53:L53"/>
    <mergeCell ref="I54:L54"/>
    <mergeCell ref="I55:L55"/>
    <mergeCell ref="I56:L56"/>
    <mergeCell ref="I57:L57"/>
    <mergeCell ref="I60:L60"/>
    <mergeCell ref="I62:K62"/>
    <mergeCell ref="I63:K63"/>
    <mergeCell ref="I64:K64"/>
    <mergeCell ref="I65:K65"/>
    <mergeCell ref="I66:L66"/>
    <mergeCell ref="I67:L67"/>
    <mergeCell ref="I68:L68"/>
    <mergeCell ref="F103:L103"/>
    <mergeCell ref="G100:H100"/>
    <mergeCell ref="I100:K100"/>
    <mergeCell ref="B115:E116"/>
    <mergeCell ref="F115:L116"/>
    <mergeCell ref="A119:D119"/>
    <mergeCell ref="E119:H119"/>
    <mergeCell ref="I119:L119"/>
    <mergeCell ref="A121:D121"/>
    <mergeCell ref="E121:H121"/>
    <mergeCell ref="I121:L121"/>
    <mergeCell ref="A123:D123"/>
    <mergeCell ref="E123:H123"/>
    <mergeCell ref="I123:L123"/>
    <mergeCell ref="A125:L125"/>
    <mergeCell ref="A127:D127"/>
    <mergeCell ref="E127:H127"/>
    <mergeCell ref="A129:L129"/>
    <mergeCell ref="A131:L131"/>
  </mergeCells>
  <dataValidations count="11">
    <dataValidation type="list" allowBlank="1" showInputMessage="1" showErrorMessage="1" sqref="F17:L17">
      <formula1>$N$17:$P$17</formula1>
    </dataValidation>
    <dataValidation type="list" allowBlank="1" showInputMessage="1" showErrorMessage="1" sqref="F18:L18">
      <formula1>$N$18:$P$18</formula1>
    </dataValidation>
    <dataValidation type="list" allowBlank="1" showInputMessage="1" showErrorMessage="1" sqref="F25:L25">
      <formula1>$N$25:$Q$25</formula1>
    </dataValidation>
    <dataValidation type="list" allowBlank="1" showInputMessage="1" showErrorMessage="1" sqref="F26:L26">
      <formula1>$N$26:$P$26</formula1>
    </dataValidation>
    <dataValidation type="list" allowBlank="1" showInputMessage="1" showErrorMessage="1" sqref="F27:L27">
      <formula1>$N$27:$P$27</formula1>
    </dataValidation>
    <dataValidation type="list" allowBlank="1" showInputMessage="1" showErrorMessage="1" sqref="F28:L28">
      <formula1>$N$28:$P$28</formula1>
    </dataValidation>
    <dataValidation type="list" allowBlank="1" showInputMessage="1" showErrorMessage="1" sqref="F29:L29">
      <formula1>$N$29:$P$29</formula1>
    </dataValidation>
    <dataValidation type="list" allowBlank="1" showInputMessage="1" showErrorMessage="1" sqref="F30:L30">
      <formula1>$N$30:$Q$30</formula1>
    </dataValidation>
    <dataValidation type="list" allowBlank="1" showInputMessage="1" showErrorMessage="1" sqref="F31:L31">
      <formula1>$N$31:$S$31</formula1>
    </dataValidation>
    <dataValidation type="list" allowBlank="1" showInputMessage="1" showErrorMessage="1" sqref="I57">
      <formula1>$N$65:$P$65</formula1>
    </dataValidation>
    <dataValidation type="list" allowBlank="1" showInputMessage="1" showErrorMessage="1" sqref="F107:L107">
      <formula1>$N$115:$P$115</formula1>
    </dataValidation>
  </dataValidations>
  <pageMargins left="0.15748031496062992" right="0.15748031496062992" top="0.74803149606299213" bottom="0.51181102362204722" header="0.31496062992125984" footer="0.31496062992125984"/>
  <pageSetup paperSize="9" fitToHeight="0" orientation="portrait" r:id="rId1" fitToWidth="1"/>
  <rowBreaks count="3" manualBreakCount="3">
    <brk id="118" min="0" max="16383" man="1"/>
    <brk id="124" min="0" max="16383" man="1"/>
    <brk id="130" min="0" max="16383" man="1"/>
  </rowBreaks>
  <colBreaks count="1" manualBreakCount="1">
    <brk id="12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41d68b9a-df35-487c-8a88-fadc3e7eddbc" origin="userSelected">
  <element uid="97030673-daa3-43bd-a26b-8d7061eb96a2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0MWQ2OGI5YS1kZjM1LTQ4N2MtOGE4OC1mYWRjM2U3ZWRkYmMiIG9yaWdpbj0idXNlclNlbGVjdGVkIj48ZWxlbWVudCB1aWQ9Ijk3MDMwNjczLWRhYTMtNDNiZC1hMjZiLThkNzA2MWViOTZhMiIgdmFsdWU9IiIgeG1sbnM9Imh0dHA6Ly93d3cuYm9sZG9uamFtZXMuY29tLzIwMDgvMDEvc2llL2ludGVybmFsL2xhYmVsIiAvPjwvc2lzbD48VXNlck5hbWU+QVhJU0JcQUZMMjM1NTwvVXNlck5hbWU+PERhdGVUaW1lPjA5LzA2LzIwMjMgMTE6MDY6MTQ8L0RhdGVUaW1lPjxMYWJlbFN0cmluZz5JbnRlcm5hbDwvTGFiZWxTdHJpbmc+PC9pdGVtPjwvbGFiZWxIaXN0b3J5Pg==</Value>
</WrappedLabelHistory>
</file>

<file path=customXml/itemProps1.xml><?xml version="1.0" encoding="utf-8"?>
<ds:datastoreItem xmlns:ds="http://schemas.openxmlformats.org/officeDocument/2006/customXml" ds:itemID="{48F10CAB-F0BE-4711-A6C2-1D38611AF7F5}">
  <ds:schemaRefs/>
</ds:datastoreItem>
</file>

<file path=customXml/itemProps2.xml><?xml version="1.0" encoding="utf-8"?>
<ds:datastoreItem xmlns:ds="http://schemas.openxmlformats.org/officeDocument/2006/customXml" ds:itemID="{09819437-4BF5-4FDB-B91D-289546FBE1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Axis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Kakad</dc:creator>
  <cp:lastModifiedBy>ADMIN</cp:lastModifiedBy>
  <cp:lastPrinted>2026-01-30T05:30:28Z</cp:lastPrinted>
  <dcterms:created xsi:type="dcterms:W3CDTF">2020-04-22T03:35:00Z</dcterms:created>
  <dcterms:modified xsi:type="dcterms:W3CDTF">2026-02-07T12:32:40Z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b1f85227-d6de-4e37-8c51-bdf2b3f805fb</vt:lpwstr>
  </property>
  <property fmtid="{D5CDD505-2E9C-101B-9397-08002B2CF9AE}" pid="3" name="bjSaver">
    <vt:lpwstr>Ac1MpiRXUF2kQA3CDAzkI+HMHlOqI4ww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policy="41d68b9a-df35-487c-8a88-fadc3e7eddbc" origin="userSelected" xmlns="http://www.boldonj</vt:lpwstr>
  </property>
  <property fmtid="{D5CDD505-2E9C-101B-9397-08002B2CF9AE}" pid="5" name="bjDocumentLabelXML-0">
    <vt:lpwstr>ames.com/2008/01/sie/internal/label"&gt;&lt;element uid="97030673-daa3-43bd-a26b-8d7061eb96a2" value="" /&gt;&lt;/sisl&gt;</vt:lpwstr>
  </property>
  <property fmtid="{D5CDD505-2E9C-101B-9397-08002B2CF9AE}" pid="6" name="bjDocumentSecurityLabel">
    <vt:lpwstr>Axis Bank|Internal</vt:lpwstr>
  </property>
  <property fmtid="{D5CDD505-2E9C-101B-9397-08002B2CF9AE}" pid="7" name="HostName">
    <vt:lpwstr>AFL-L-01092</vt:lpwstr>
  </property>
  <property fmtid="{D5CDD505-2E9C-101B-9397-08002B2CF9AE}" pid="8" name="bjClsUserRVM">
    <vt:lpwstr>[]</vt:lpwstr>
  </property>
  <property fmtid="{D5CDD505-2E9C-101B-9397-08002B2CF9AE}" pid="9" name="bjLabelHistoryID">
    <vt:lpwstr>{09819437-4BF5-4FDB-B91D-289546FBE124}</vt:lpwstr>
  </property>
  <property fmtid="{D5CDD505-2E9C-101B-9397-08002B2CF9AE}" pid="10" name="ICV">
    <vt:lpwstr>9E0B471AF65C423F906B09654483E430_12</vt:lpwstr>
  </property>
  <property fmtid="{D5CDD505-2E9C-101B-9397-08002B2CF9AE}" pid="11" name="KSOProductBuildVer">
    <vt:lpwstr>1033-12.2.0.21931</vt:lpwstr>
  </property>
</Properties>
</file>