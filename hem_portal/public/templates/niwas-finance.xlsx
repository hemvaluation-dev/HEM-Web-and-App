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5600" windowHeight="11760"/>
  </bookViews>
  <sheets>
    <sheet name="UTR Format" sheetId="2" r:id="rId1"/>
    <sheet name="Sheet1" sheetId="7" r:id="rId2"/>
    <sheet name="Calculation Illustration" sheetId="6" r:id="rId3"/>
  </sheets>
  <definedNames>
    <definedName name="_xlnm.Print_Area" localSheetId="0">'UTR Format'!$A$1:$D$313</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1" i="2" l="1"/>
  <c r="D133" i="2"/>
  <c r="C23" i="2"/>
  <c r="C134" i="2" l="1"/>
  <c r="C139" i="2" s="1"/>
  <c r="C153" i="2" l="1"/>
  <c r="C124" i="2" l="1"/>
  <c r="C71" i="2" l="1"/>
  <c r="C144" i="2" l="1"/>
  <c r="C135" i="2"/>
  <c r="C15" i="2"/>
  <c r="C145" i="2" l="1"/>
  <c r="C142" i="2"/>
  <c r="C146" i="2" s="1"/>
  <c r="C147" i="2" s="1"/>
  <c r="C148" i="2" s="1"/>
  <c r="F27" i="6"/>
  <c r="F30" i="6" s="1"/>
  <c r="F31" i="6" s="1"/>
  <c r="F32" i="6" s="1"/>
  <c r="E27" i="6"/>
  <c r="E30" i="6" s="1"/>
  <c r="E10" i="6"/>
  <c r="C30" i="6"/>
  <c r="C31" i="6" s="1"/>
  <c r="C28" i="6"/>
  <c r="C32" i="6" s="1"/>
  <c r="C10" i="6"/>
  <c r="E28" i="6" l="1"/>
  <c r="E31" i="6" s="1"/>
  <c r="E32" i="6" s="1"/>
  <c r="C34" i="6"/>
  <c r="C33" i="6"/>
  <c r="E33" i="6"/>
  <c r="E34" i="6"/>
  <c r="F34" i="6"/>
  <c r="F33" i="6"/>
  <c r="F28" i="6"/>
</calcChain>
</file>

<file path=xl/sharedStrings.xml><?xml version="1.0" encoding="utf-8"?>
<sst xmlns="http://schemas.openxmlformats.org/spreadsheetml/2006/main" count="408" uniqueCount="252">
  <si>
    <t>1. VALUER DETAILS</t>
  </si>
  <si>
    <t>Valuers name, Contact Details, Email ID &amp; Code</t>
  </si>
  <si>
    <t>Date of report (dd-mm-yyyy)</t>
  </si>
  <si>
    <t>Valuation requested by &amp; Branch name</t>
  </si>
  <si>
    <t>Deal Number (mandatory)</t>
  </si>
  <si>
    <t>Loan Product (HL/LAP/MSME LAP)</t>
  </si>
  <si>
    <t>Visiting engineer name &amp; Mobile number</t>
  </si>
  <si>
    <t>Details (Name, contact details and relation to applicant) of the person available at the time of technical visit.</t>
  </si>
  <si>
    <t xml:space="preserve">Has the valuer done valuation of this property before for IHFPL? If yes, share details  </t>
  </si>
  <si>
    <t>2. BASIC DETAILS</t>
  </si>
  <si>
    <t>Name of the borrower</t>
  </si>
  <si>
    <t>Name of Co-Applicant</t>
  </si>
  <si>
    <t>Name of document holder / Name of the property owner</t>
  </si>
  <si>
    <t>Type of loan (scheme : Self Construction/P+C/Builder Purchase/Resale Purchase/HL BT&amp;Top Up/Extension/Repair &amp; Renovation/Additional Top up/LAP SORP/LAP SOCP/LAP Refinance/MSME LAP SORP/LAP BT&amp; TOP UP)</t>
  </si>
  <si>
    <t>Type of property (Independent House/Flat in Apartment/Under construction property/Open Plot/row house)</t>
  </si>
  <si>
    <t>Usage as per Approved plans &amp; Permission (Residential / Industrial / Commercial / Mixed Usage)</t>
  </si>
  <si>
    <t>For Completed Properties - Specify if Usage is in line with approvals. If not mention area segregation as per usage (Residential / Industrial / Commercial / Mixed Usage)</t>
  </si>
  <si>
    <t>Property occupation status (Self occupied/Let out/Vacant/Partially occupied/Under Construction)</t>
  </si>
  <si>
    <t>Complete detailed address as per the the legal documentation</t>
  </si>
  <si>
    <t>Complete detailed address as per the the technical visit</t>
  </si>
  <si>
    <t>Mandal/Taluk/Tehsil</t>
  </si>
  <si>
    <t>District</t>
  </si>
  <si>
    <t>State</t>
  </si>
  <si>
    <t>Pincode</t>
  </si>
  <si>
    <t>AS PER LEGAL DOCUMENTS</t>
  </si>
  <si>
    <t>AS PER ACTUAL SITE</t>
  </si>
  <si>
    <t>EAST</t>
  </si>
  <si>
    <t>WEST</t>
  </si>
  <si>
    <t>SOUTH</t>
  </si>
  <si>
    <t>Do the Boundaries match? Actual vs the Legal Documentation. Specify in detail if there is a mismatch (As per site) / Boundaries matching with Sale Deed (Yes/No)</t>
  </si>
  <si>
    <t>If mismatch, Specify in detail.</t>
  </si>
  <si>
    <t>Longitude &amp; Latitude of the property</t>
  </si>
  <si>
    <t>Distance from the City / Town / Taluka Centre</t>
  </si>
  <si>
    <t>Name &amp; Area</t>
  </si>
  <si>
    <t>Distane in KMs</t>
  </si>
  <si>
    <t>Nearest Railway Station from property and Distance</t>
  </si>
  <si>
    <t>Nearest Bus Station from property and Distance</t>
  </si>
  <si>
    <t>Nearest State Highway from property and Distance</t>
  </si>
  <si>
    <t>Nearest School from property and Distance</t>
  </si>
  <si>
    <t>Nearest University from property and Distance</t>
  </si>
  <si>
    <t>Nearest Police Station from property and Distance</t>
  </si>
  <si>
    <t>Nearest Hospital from property and Distance</t>
  </si>
  <si>
    <t>4. DOCUMENT DETAILS</t>
  </si>
  <si>
    <t>Approved Layout Plan available (Yes / No)</t>
  </si>
  <si>
    <t>Name of Approving Authority &amp; Approval no.</t>
  </si>
  <si>
    <t>Approved Building Plan available (Yes / No)</t>
  </si>
  <si>
    <t>Name of Approving Authority &amp; Approval No.</t>
  </si>
  <si>
    <t>Actual Building Plan (Yes / No)</t>
  </si>
  <si>
    <t>5. ADDITIONAL DETAILS</t>
  </si>
  <si>
    <t>Applicable Authority for Non Agriculture Conversion (if any)</t>
  </si>
  <si>
    <t>Is the location inside the Municipal Corporation Limits? Specify Yes / No. If yes, Specify its name</t>
  </si>
  <si>
    <t>Is the location inside the Gram Panchayat Limits? Specify Yes / No. If yes, Specify its name</t>
  </si>
  <si>
    <t>Applicable Authority for Approval of Plot Layout Plan</t>
  </si>
  <si>
    <t>Applicable Authority for Approval of Construction Layout Plan</t>
  </si>
  <si>
    <t>Name of the Authority approving the Plot Layout with Approval Details 
 Designation of the Authority, Date &amp; Year )</t>
  </si>
  <si>
    <t>Name of the Authority approving the Construction Layout with Approval Details 
(Designation of the Authority, Date &amp; Year )</t>
  </si>
  <si>
    <t>Is there any Horizontal Deviation? If yes, mention percentage (Yes / No)</t>
  </si>
  <si>
    <t>If Yes (horizontal deviation), % of deviation</t>
  </si>
  <si>
    <t>Is there a Vertical Deviation? If yes, mention percentage (Yes/No)</t>
  </si>
  <si>
    <t>If Yes (vertical deviation), % of deviation</t>
  </si>
  <si>
    <t>Approximate percentage of habitation / occupancy in the locality (please mention %)</t>
  </si>
  <si>
    <t>Width of the passage leading to the actual property in Feet (For Individual House Types)</t>
  </si>
  <si>
    <t>Width of the road leading to the property in Feet</t>
  </si>
  <si>
    <t>If the property has multiple tenants, please provide the area wise occupation &amp; usage details</t>
  </si>
  <si>
    <t>Is the property situated in the violated vertical portion? (Yes/No)</t>
  </si>
  <si>
    <t>Is the property partly / completely situated in the violated horizontal portion? Yes / No. 
( If partly, mention Area in SqFt&amp; the percentage )</t>
  </si>
  <si>
    <t>Specify Any factors that would affect the Saleability / Marketability of the property</t>
  </si>
  <si>
    <t>Is the Location Sketch provided from the nearest permanent landmark? (Yes/No)</t>
  </si>
  <si>
    <t>Nearest Landmark as per Engineer physical visit</t>
  </si>
  <si>
    <t>Does a part or whole of the property figure in any of the illegal / unauthorised list of constructions / properties maintained / circulated / declared by the government? If Yes, please provide relevant details</t>
  </si>
  <si>
    <t>Does the property have a proper Electrical connection from the government / or an government authorised service provider? Please provide details.</t>
  </si>
  <si>
    <t>Does the property have a proper Water Supply connection from the government / or an government authorised service provider? Please provide details</t>
  </si>
  <si>
    <t>Does the property have a proper Waste Water / Sewage Disposal System provided by the government / or an government authorised service provider? Please provide details.</t>
  </si>
  <si>
    <t>Has there been any legal / punitive action ( Serving of Notices, Demolitions etc ) on any properties in the vicinity? If yes, please provide details.</t>
  </si>
  <si>
    <t>Has there been any government notification issued or in the making which would affect the legal status of the property &amp;it's saleability / marketability? If yes, please provide relevant details.</t>
  </si>
  <si>
    <t>Is the property (Part/Whole ) in contravention to the current Zoning Regulations as per the Development Control Regulations or the Development Plan? If yes, please provide details.(Yes/No)</t>
  </si>
  <si>
    <t>If Yes, Please provide details</t>
  </si>
  <si>
    <t>Land use of property as per zoning regulations? (Residential/Commercial/Industrial/Agricultural/Mixed use/Institutional/Recreational/Conservation)</t>
  </si>
  <si>
    <t>Was there any kind of notification displayed in the vicinity that would affect the legal / authorised status &amp; / or saleability / marketability of the property offered as a collateral? If yes, please provide details</t>
  </si>
  <si>
    <t>Whether property/collateral to be mortgaged is National Disaster Management Authority (NDMA) norms compiled (Yes/No)</t>
  </si>
  <si>
    <t>Is the property affected by road widening as per Master plan (Yes/No)</t>
  </si>
  <si>
    <t>6. LAND / PLOT Details</t>
  </si>
  <si>
    <t>Can plot Demarcated / Identified on site (Yes / No)</t>
  </si>
  <si>
    <t>Ownership Type (Free hold/Lease hold)</t>
  </si>
  <si>
    <t>Agreement Value</t>
  </si>
  <si>
    <t>7. CONSTRUCTION Details</t>
  </si>
  <si>
    <t>Developer name (Self/Contractor/Builder name)</t>
  </si>
  <si>
    <t>Number of floors</t>
  </si>
  <si>
    <t>Number of Flats / Units in the Building</t>
  </si>
  <si>
    <t>Number of Lifts</t>
  </si>
  <si>
    <t>Floor in which property is situated</t>
  </si>
  <si>
    <t>Property status (Complete/Incomplete)</t>
  </si>
  <si>
    <t>Percentage of completion (%)</t>
  </si>
  <si>
    <t>Year of Construction of building</t>
  </si>
  <si>
    <t>Residual age of the property (in Years)</t>
  </si>
  <si>
    <t>Type of construction (Load Bearing/RCC/ACC/Composite)</t>
  </si>
  <si>
    <t>Type of Roofing (RCC/ACC/Others)</t>
  </si>
  <si>
    <t>Construction Status / Work Completion Status</t>
  </si>
  <si>
    <t>FSI Applicable (Yes/No)</t>
  </si>
  <si>
    <t>FSI Utilised</t>
  </si>
  <si>
    <t>8. CALCULATION OF VALUE</t>
  </si>
  <si>
    <t>Land Area /Plot area (in Sq.ft/in Sq Yd) (As per document)</t>
  </si>
  <si>
    <t>Land Area/Plot area (in Sq.ft/in Sq Yd) (As per plan)</t>
  </si>
  <si>
    <t>Land Area/Plot area (in Sq.ft/in Sq Yd) (As per site)</t>
  </si>
  <si>
    <t>UDS (in case of Apartment Flat) in Sq yds</t>
  </si>
  <si>
    <t>Value of land (per sq yd) for similar properties in the vicinity and surroundings (as inquired from local agents) (in Rs/Sq yd)</t>
  </si>
  <si>
    <t>Government Guideline / Circle rate for land  (in Rs per Sq.ft/Sq yd)</t>
  </si>
  <si>
    <t>Total Land Value As per Government Guidelines (in Rs)</t>
  </si>
  <si>
    <t>Construction Estimation given by customer (Yes/No/NA)</t>
  </si>
  <si>
    <t>Is the estimation given by customer valid or not (Yes/No/NA)</t>
  </si>
  <si>
    <t>CONTSTRUCTION AREA (as per approved plan/building by laws)</t>
  </si>
  <si>
    <t>FLOOR</t>
  </si>
  <si>
    <t>As per Plan</t>
  </si>
  <si>
    <t>As Per Site</t>
  </si>
  <si>
    <t>Groun Floor (in SFt)</t>
  </si>
  <si>
    <t>First Floor (in Sft)</t>
  </si>
  <si>
    <t>Second Floor (in sft)</t>
  </si>
  <si>
    <t>Third floor (in sft)</t>
  </si>
  <si>
    <t>Total (in sft)</t>
  </si>
  <si>
    <t>Adherence to Sanction Plan/building plan (Yes/No/NA)</t>
  </si>
  <si>
    <t>Total of BUA as per Sanction Plan in Sq.ft</t>
  </si>
  <si>
    <t>9. ADDITIONAL CHECKS FOR PANCHAYAT PROPERTIES</t>
  </si>
  <si>
    <t>ONLY FOR PANCHAYAT PROPERTIES</t>
  </si>
  <si>
    <t>Approach road condition leading to the property (Good/Bad)</t>
  </si>
  <si>
    <t>Development of surrounding areas of property (Underdeveloped/Developing/Developed)</t>
  </si>
  <si>
    <t>Distance from city center in Kms (Name of the City &amp; Distance (in Kms)</t>
  </si>
  <si>
    <t>Electricity (Yes/No)</t>
  </si>
  <si>
    <t>Water supply (Yes/No)</t>
  </si>
  <si>
    <t>Sewer provision (Yes/No)</t>
  </si>
  <si>
    <t>Sewer line connected to main sewer (Yes/No/NA)</t>
  </si>
  <si>
    <t>Any Demolition threat in future development / expansion (Yes/No)</t>
  </si>
  <si>
    <t>10. Remarks &amp; Observations on the Property &amp; Valuation</t>
  </si>
  <si>
    <t>11. Valuer's Declaration</t>
  </si>
  <si>
    <t>LIST OF DOCUMENTS PROVIDED for Valuation</t>
  </si>
  <si>
    <t>3.PROPERTY LOCATION DETAILS</t>
  </si>
  <si>
    <t>Date &amp; Time of visit (dd-mm-yyyy &amp; hh:mm)</t>
  </si>
  <si>
    <t>2.10</t>
  </si>
  <si>
    <t>3.10</t>
  </si>
  <si>
    <t>Specify Document provided for Non Agriculture usage, Non Agriculture Converted Area &amp; the Approving Authority (if any)</t>
  </si>
  <si>
    <t>5.10</t>
  </si>
  <si>
    <t>5.20</t>
  </si>
  <si>
    <t>5.30</t>
  </si>
  <si>
    <t>Prevailing Market Rate Range (in Rs per Sq.ft/Sq.yd)</t>
  </si>
  <si>
    <t>Land Area considered for Valuation (in Sq. ft/Sq.yd)</t>
  </si>
  <si>
    <t>Age of the property (for completed properties) (no of years)</t>
  </si>
  <si>
    <t>7.10</t>
  </si>
  <si>
    <t>A</t>
  </si>
  <si>
    <t>B</t>
  </si>
  <si>
    <t>C</t>
  </si>
  <si>
    <t>Final land/Plot  area considered for valuation (in Sq.ft/in Sq Yd)</t>
  </si>
  <si>
    <t>Total land value (in Rs.) (A *B)</t>
  </si>
  <si>
    <t>8.10</t>
  </si>
  <si>
    <t>D</t>
  </si>
  <si>
    <t>E</t>
  </si>
  <si>
    <t>F</t>
  </si>
  <si>
    <t>G</t>
  </si>
  <si>
    <t>H</t>
  </si>
  <si>
    <t>I</t>
  </si>
  <si>
    <t>J</t>
  </si>
  <si>
    <t>Construction Area (in sft) considered for valuation</t>
  </si>
  <si>
    <t>Total construction value (after completion of 100% of building (in Rs )) (D * E)</t>
  </si>
  <si>
    <t>Current Stage of Construction (%)</t>
  </si>
  <si>
    <t>SELF CONSTRUCTION</t>
  </si>
  <si>
    <t>NA</t>
  </si>
  <si>
    <t>Yes</t>
  </si>
  <si>
    <t>1000 sft</t>
  </si>
  <si>
    <t>800 sft</t>
  </si>
  <si>
    <t>110.66 sq yds or 996 sft</t>
  </si>
  <si>
    <t>900 sft</t>
  </si>
  <si>
    <t>720 sft</t>
  </si>
  <si>
    <t>INDEPENDENT HOUSE</t>
  </si>
  <si>
    <t>200 sq yds</t>
  </si>
  <si>
    <t>-</t>
  </si>
  <si>
    <t>25 sq yds</t>
  </si>
  <si>
    <t>APARTMENT FLAT (FRESH/RESALE)</t>
  </si>
  <si>
    <t>Carpet Area of the property in SqFt</t>
  </si>
  <si>
    <t>Construction Cost/Rate considered for construction (in Rs per Sq.ft)</t>
  </si>
  <si>
    <t>Total Value of Building (land + construction)/flat after completion of 100% (in Rs) (C +F)</t>
  </si>
  <si>
    <t>Total Value of Building (land+construction)/flat for present construction stage (in Rs) (C+I)</t>
  </si>
  <si>
    <t>100 sq yds or 900 sft</t>
  </si>
  <si>
    <t>INR 3333/sft</t>
  </si>
  <si>
    <t>640 sft</t>
  </si>
  <si>
    <t>1600/-</t>
  </si>
  <si>
    <t xml:space="preserve">Built Up/Super Built Up or Saleable Area in case of Flats in Apartments, in SqFt </t>
  </si>
  <si>
    <t>Na</t>
  </si>
  <si>
    <t>4800/-</t>
  </si>
  <si>
    <t>Forced Sale Value of Property (in Rs.)</t>
  </si>
  <si>
    <t>Distress Value of Property (in Rs.)</t>
  </si>
  <si>
    <t>Realisable value of the Property (in Rs.)</t>
  </si>
  <si>
    <t>Total construction value for present construction stage (in Rs ) (F*H)</t>
  </si>
  <si>
    <t>Rate adopted for valuation for LAND (per Sq yard/Sq ft)( in Rs.)</t>
  </si>
  <si>
    <t>H.E.M. ASSOCIATES</t>
  </si>
  <si>
    <t>HEM ASSOCIATES</t>
  </si>
  <si>
    <t>No</t>
  </si>
  <si>
    <t>Residential</t>
  </si>
  <si>
    <t>Andhra Pradesh</t>
  </si>
  <si>
    <t xml:space="preserve">NA </t>
  </si>
  <si>
    <t>60%70%</t>
  </si>
  <si>
    <t>Free hold</t>
  </si>
  <si>
    <t>Complete</t>
  </si>
  <si>
    <t>RCC</t>
  </si>
  <si>
    <t>Good</t>
  </si>
  <si>
    <t>Developing</t>
  </si>
  <si>
    <t xml:space="preserve">NORTH </t>
  </si>
  <si>
    <t xml:space="preserve"> Land Boundary details</t>
  </si>
  <si>
    <t>As perDoc</t>
  </si>
  <si>
    <t>Yes, GVMC</t>
  </si>
  <si>
    <t>Yes, 1500000/-</t>
  </si>
  <si>
    <t xml:space="preserve">                                   ELEVATIOI PHOTO                      ELEVATION WITH SELFIE                                   </t>
  </si>
  <si>
    <t xml:space="preserve">                              SIDE VIEW OF PROPERTY                                                                       </t>
  </si>
  <si>
    <t>Independent House</t>
  </si>
  <si>
    <t>Self occupied</t>
  </si>
  <si>
    <t>10.1 Kms</t>
  </si>
  <si>
    <t xml:space="preserve"> bus stop</t>
  </si>
  <si>
    <t>2.6 Kms</t>
  </si>
  <si>
    <t>33.0 Kms</t>
  </si>
  <si>
    <t>13.3 Kms</t>
  </si>
  <si>
    <t xml:space="preserve"> Railway Station</t>
  </si>
  <si>
    <t>8.0 Kms</t>
  </si>
  <si>
    <t xml:space="preserve"> kids play school</t>
  </si>
  <si>
    <t xml:space="preserve"> University </t>
  </si>
  <si>
    <t>1 Town Police Station</t>
  </si>
  <si>
    <t xml:space="preserve"> Hospital</t>
  </si>
  <si>
    <t>Lap</t>
  </si>
  <si>
    <t>Niwas-HFC-VIZAG Branch</t>
  </si>
  <si>
    <t xml:space="preserve"> Road</t>
  </si>
  <si>
    <t>Yes, Srugavarapukota Grama Panchayat</t>
  </si>
  <si>
    <t>DLVIZLAP - 01260125337</t>
  </si>
  <si>
    <t>Rama Krishna</t>
  </si>
  <si>
    <t>GUDIVADA LAKSHMANARAO
 Ph. No. 9581952979; 9347098966</t>
  </si>
  <si>
    <t xml:space="preserve">Gudivada Siromani W/o Gudivada Lakshman Rao </t>
  </si>
  <si>
    <t>Gajuwaka Mandal</t>
  </si>
  <si>
    <t>Visakhapatnam District</t>
  </si>
  <si>
    <t>5 Ft Wide Road</t>
  </si>
  <si>
    <t>RCC Building of Et Jogamma</t>
  </si>
  <si>
    <t>RCC Building of Veda Gunna</t>
  </si>
  <si>
    <t>RCC Building of Et Venkata Swamy</t>
  </si>
  <si>
    <t>17.702578, 83.217251</t>
  </si>
  <si>
    <t>4 Kms</t>
  </si>
  <si>
    <t>Yes, Visakhapatnam GVMC</t>
  </si>
  <si>
    <t>Gudivada Siromani</t>
  </si>
  <si>
    <t>1. Copy of Sale Deed Doc. No. 3366/2010, 25-08-2010, in favour of Gudivada Siromani W/o Gudivada Lakshman Rao.
2. Copy of Property Tax with Asst. No. 1086386655, 31-03-2024, in favour of Gudivada Siromani.
3. Copy of Electricity Bill with Sc. No. 11132900M1001358, Meter. No. 2932219, in favour of V.A Saraswathi.</t>
  </si>
  <si>
    <t>Door. No. 2-29-80 (As per Doc &amp; Tax), Sy. No. 29/1, Asst. No. 520100, 1088021901 (As per Doc), Asst. No. 1086386655(As per Tax), SC. No. 1358, Near Sri Giri Talent School, Mindi Village, Visakhapatnam GVMC, Gajuwaka Mandal, Visakhapatnam District, Andhra Pradesh, Pin-530012.</t>
  </si>
  <si>
    <t>8 Ft CC Road</t>
  </si>
  <si>
    <t>RCC Building of Manga</t>
  </si>
  <si>
    <t>RCC Building of VenkataSwamyRCC Building of Door. No. 36-10)</t>
  </si>
  <si>
    <t>8 Ft CC Road on East Side</t>
  </si>
  <si>
    <t>Near Sri Giri Talent School</t>
  </si>
  <si>
    <t>G+1</t>
  </si>
  <si>
    <t>20 Years</t>
  </si>
  <si>
    <t>56..25</t>
  </si>
  <si>
    <t>1. The Subject property is a G+1 RCC Residential building, each floor having 2BHK,Occupied by owners, located in Visakhapatnam GVMC.
2. Subject Property is identified with the provided, Door. No. 2-29-80 (As per Doc &amp; Tax).
3. Santion plan has not been provided.
4. Property Surrounded with Residential houses.
5. In physical condition there is 8 Ft CC Road on East Side.
6. Property tax &amp; Electricity bill has been provided.
7. Legal aspects are beyond the scope of valuation.
8.Sy. No. of the property is not in the list of  Prohibited properties site.
9. BUA forG+1 RCC Residential Building is 312Sft+312Sft, Land area mentioned as per doc and as per Site inspection is 56.25Sq.ds, Hence valauation Considerded for same.
10. GPS Coordinates: 17.702578, 83.217251.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</si>
</sst>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quot; Sq.Ft.&quot;"/>
    <numFmt numFmtId="165" formatCode="&quot;Rs.&quot;0&quot; /Sq.Ft.&quot;"/>
    <numFmt numFmtId="166" formatCode="0&quot; Years Old&quot;"/>
    <numFmt numFmtId="167" formatCode="0&quot; Years&quot;"/>
    <numFmt numFmtId="168" formatCode="0.00&quot; Sq.Yd&quot;"/>
    <numFmt numFmtId="169" formatCode="&quot;Rs.&quot;0&quot; /Sq.Yds.&quot;"/>
    <numFmt numFmtId="170" formatCode="&quot;Rs.&quot;0"/>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Book Antiqua"/>
      <family val="1"/>
    </font>
    <font>
      <b/>
      <sz val="12"/>
      <color theme="1"/>
      <name val="Book Antiqua"/>
      <family val="1"/>
    </font>
    <font>
      <b/>
      <sz val="28"/>
      <color rgb="FF00B0F0"/>
      <name val="Book Antiqua"/>
      <family val="1"/>
    </font>
  </fonts>
  <fills count="6">
    <fill>
      <patternFill patternType="none"/>
    </fill>
    <fill>
      <patternFill patternType="gray125"/>
    </fill>
    <fill>
      <patternFill patternType="solid">
        <fgColor rgb="FF99FFCC"/>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s>
  <borders count="57">
    <border>
      <left/>
      <right/>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9" fontId="2" fillId="0" borderId="0" applyFont="0" applyFill="0" applyBorder="0" applyAlignment="0" applyProtection="0"/>
  </cellStyleXfs>
  <cellXfs count="252">
    <xf numFmtId="0" fontId="0" fillId="0" borderId="0" xfId="0"/>
    <xf numFmtId="0" fontId="1" fillId="3" borderId="15" xfId="0" applyFont="1" applyFill="1" applyBorder="1" applyAlignment="1">
      <alignment horizontal="center" vertical="top"/>
    </xf>
    <xf numFmtId="0" fontId="0" fillId="0" borderId="17" xfId="0" applyBorder="1" applyAlignment="1">
      <alignment horizontal="left" vertical="top"/>
    </xf>
    <xf numFmtId="0" fontId="0" fillId="0" borderId="19" xfId="0" applyBorder="1" applyAlignment="1">
      <alignment horizontal="left" vertical="top"/>
    </xf>
    <xf numFmtId="0" fontId="0" fillId="0" borderId="21" xfId="0" applyBorder="1" applyAlignment="1">
      <alignment horizontal="left" vertical="top"/>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4" xfId="0" quotePrefix="1" applyBorder="1" applyAlignment="1">
      <alignment horizontal="center"/>
    </xf>
    <xf numFmtId="0" fontId="0" fillId="0" borderId="24" xfId="0" applyBorder="1" applyAlignment="1">
      <alignment wrapText="1"/>
    </xf>
    <xf numFmtId="0" fontId="1" fillId="0" borderId="24" xfId="0" applyFont="1" applyBorder="1" applyAlignment="1">
      <alignment wrapText="1"/>
    </xf>
    <xf numFmtId="0" fontId="0" fillId="4" borderId="24" xfId="0" applyFill="1" applyBorder="1" applyAlignment="1">
      <alignment wrapText="1"/>
    </xf>
    <xf numFmtId="0" fontId="1" fillId="3" borderId="24" xfId="0" applyFont="1" applyFill="1" applyBorder="1" applyAlignment="1">
      <alignment horizontal="center" wrapText="1"/>
    </xf>
    <xf numFmtId="0" fontId="1" fillId="0" borderId="24" xfId="0" applyFont="1" applyBorder="1" applyAlignment="1">
      <alignment horizontal="center" wrapText="1"/>
    </xf>
    <xf numFmtId="0" fontId="1" fillId="0" borderId="24" xfId="0" applyFont="1" applyBorder="1" applyAlignment="1">
      <alignment vertical="center" wrapText="1"/>
    </xf>
    <xf numFmtId="0" fontId="1" fillId="5" borderId="24" xfId="0" applyFont="1" applyFill="1" applyBorder="1" applyAlignment="1">
      <alignment wrapText="1"/>
    </xf>
    <xf numFmtId="0" fontId="1" fillId="0" borderId="25" xfId="0" applyFont="1" applyBorder="1" applyAlignment="1">
      <alignment wrapText="1"/>
    </xf>
    <xf numFmtId="0" fontId="1" fillId="5" borderId="24" xfId="0" applyFont="1" applyFill="1" applyBorder="1" applyAlignment="1">
      <alignment horizontal="center"/>
    </xf>
    <xf numFmtId="0" fontId="1" fillId="5" borderId="24" xfId="0" applyFont="1" applyFill="1" applyBorder="1" applyAlignment="1">
      <alignment horizontal="center" vertical="center"/>
    </xf>
    <xf numFmtId="0" fontId="0" fillId="4" borderId="28" xfId="0" applyFill="1" applyBorder="1" applyAlignment="1">
      <alignment wrapText="1"/>
    </xf>
    <xf numFmtId="0" fontId="0" fillId="0" borderId="26" xfId="0" applyBorder="1" applyAlignment="1">
      <alignment wrapText="1"/>
    </xf>
    <xf numFmtId="0" fontId="1" fillId="3" borderId="23" xfId="0" applyFont="1" applyFill="1" applyBorder="1" applyAlignment="1">
      <alignment wrapText="1"/>
    </xf>
    <xf numFmtId="0" fontId="1" fillId="0" borderId="25" xfId="0" applyFont="1" applyBorder="1" applyAlignment="1">
      <alignment horizontal="center" wrapText="1"/>
    </xf>
    <xf numFmtId="0" fontId="1" fillId="3" borderId="29" xfId="0" applyFont="1" applyFill="1" applyBorder="1" applyAlignment="1">
      <alignment horizontal="center" vertical="top"/>
    </xf>
    <xf numFmtId="0" fontId="0" fillId="0" borderId="29" xfId="0" applyBorder="1" applyAlignment="1">
      <alignment vertical="top"/>
    </xf>
    <xf numFmtId="0" fontId="0" fillId="0" borderId="30" xfId="0" applyBorder="1" applyAlignment="1">
      <alignment vertical="top"/>
    </xf>
    <xf numFmtId="0" fontId="0" fillId="0" borderId="31" xfId="0" applyBorder="1" applyAlignment="1">
      <alignment vertical="top"/>
    </xf>
    <xf numFmtId="0" fontId="0" fillId="0" borderId="3" xfId="0" applyBorder="1"/>
    <xf numFmtId="0" fontId="0" fillId="0" borderId="24" xfId="0" applyBorder="1"/>
    <xf numFmtId="0" fontId="1" fillId="0" borderId="23" xfId="0" applyFont="1" applyBorder="1" applyAlignment="1">
      <alignment wrapText="1"/>
    </xf>
    <xf numFmtId="0" fontId="0" fillId="0" borderId="24" xfId="0" applyBorder="1" applyAlignment="1">
      <alignment horizontal="left"/>
    </xf>
    <xf numFmtId="0" fontId="0" fillId="0" borderId="26" xfId="0" applyBorder="1"/>
    <xf numFmtId="0" fontId="0" fillId="0" borderId="2" xfId="0" applyBorder="1"/>
    <xf numFmtId="0" fontId="1" fillId="0" borderId="32" xfId="0" applyFont="1" applyBorder="1" applyAlignment="1">
      <alignment horizontal="center"/>
    </xf>
    <xf numFmtId="0" fontId="1" fillId="0" borderId="1" xfId="0" applyFont="1" applyBorder="1" applyAlignment="1">
      <alignment horizontal="center"/>
    </xf>
    <xf numFmtId="9" fontId="0" fillId="0" borderId="24" xfId="0" applyNumberFormat="1" applyBorder="1" applyAlignment="1">
      <alignment horizontal="left"/>
    </xf>
    <xf numFmtId="0" fontId="0" fillId="0" borderId="25" xfId="0" applyBorder="1" applyAlignment="1">
      <alignment horizontal="left"/>
    </xf>
    <xf numFmtId="1" fontId="0" fillId="0" borderId="24" xfId="0" applyNumberFormat="1" applyBorder="1" applyAlignment="1">
      <alignment horizontal="left"/>
    </xf>
    <xf numFmtId="0" fontId="0" fillId="0" borderId="3" xfId="0" applyBorder="1" applyAlignment="1">
      <alignment horizontal="left"/>
    </xf>
    <xf numFmtId="9" fontId="0" fillId="0" borderId="3" xfId="0" applyNumberFormat="1" applyBorder="1" applyAlignment="1">
      <alignment horizontal="left"/>
    </xf>
    <xf numFmtId="0" fontId="0" fillId="0" borderId="4" xfId="0" applyBorder="1" applyAlignment="1">
      <alignment horizontal="left"/>
    </xf>
    <xf numFmtId="0" fontId="3" fillId="0" borderId="0" xfId="0" applyFont="1"/>
    <xf numFmtId="0" fontId="3" fillId="0" borderId="26" xfId="0" applyFont="1" applyBorder="1" applyAlignment="1">
      <alignment horizontal="center"/>
    </xf>
    <xf numFmtId="0" fontId="3" fillId="0" borderId="2" xfId="0" applyFont="1" applyBorder="1" applyAlignment="1">
      <alignment wrapText="1"/>
    </xf>
    <xf numFmtId="0" fontId="3" fillId="0" borderId="24" xfId="0" applyFont="1" applyBorder="1" applyAlignment="1">
      <alignment horizontal="center"/>
    </xf>
    <xf numFmtId="0" fontId="3" fillId="0" borderId="3" xfId="0" applyFont="1" applyBorder="1" applyAlignment="1">
      <alignment wrapText="1"/>
    </xf>
    <xf numFmtId="0" fontId="3" fillId="0" borderId="3" xfId="0" applyFont="1" applyBorder="1" applyAlignment="1">
      <alignment vertical="center" wrapText="1"/>
    </xf>
    <xf numFmtId="0" fontId="3" fillId="0" borderId="25" xfId="0" applyFont="1" applyBorder="1" applyAlignment="1">
      <alignment horizontal="center"/>
    </xf>
    <xf numFmtId="0" fontId="3" fillId="0" borderId="4" xfId="0" applyFont="1" applyBorder="1" applyAlignment="1">
      <alignment wrapText="1"/>
    </xf>
    <xf numFmtId="0" fontId="3" fillId="0" borderId="45" xfId="0" applyFont="1" applyBorder="1" applyAlignment="1">
      <alignment horizontal="center"/>
    </xf>
    <xf numFmtId="0" fontId="3" fillId="0" borderId="5" xfId="0" applyFont="1" applyBorder="1" applyAlignment="1">
      <alignment wrapText="1"/>
    </xf>
    <xf numFmtId="0" fontId="3" fillId="0" borderId="3" xfId="0" applyFont="1" applyBorder="1" applyAlignment="1">
      <alignment vertical="top" wrapText="1"/>
    </xf>
    <xf numFmtId="0" fontId="3" fillId="0" borderId="24" xfId="0" quotePrefix="1" applyFont="1" applyBorder="1" applyAlignment="1">
      <alignment horizontal="center"/>
    </xf>
    <xf numFmtId="0" fontId="3" fillId="0" borderId="0" xfId="0" applyFont="1" applyAlignment="1">
      <alignment vertical="top"/>
    </xf>
    <xf numFmtId="0" fontId="3" fillId="0" borderId="23" xfId="0" applyFont="1" applyBorder="1" applyAlignment="1">
      <alignment horizontal="center"/>
    </xf>
    <xf numFmtId="0" fontId="4" fillId="3" borderId="54" xfId="0" applyFont="1" applyFill="1" applyBorder="1" applyAlignment="1">
      <alignment horizontal="center" vertical="center" wrapText="1"/>
    </xf>
    <xf numFmtId="0" fontId="4" fillId="3" borderId="55" xfId="0" applyFont="1" applyFill="1" applyBorder="1" applyAlignment="1">
      <alignment horizontal="center" vertical="top" wrapText="1"/>
    </xf>
    <xf numFmtId="0" fontId="4" fillId="3" borderId="56" xfId="0" applyFont="1" applyFill="1" applyBorder="1" applyAlignment="1">
      <alignment horizontal="center" vertical="top" wrapText="1"/>
    </xf>
    <xf numFmtId="0" fontId="3" fillId="0" borderId="34" xfId="0" applyFont="1" applyBorder="1" applyAlignment="1">
      <alignment horizontal="center"/>
    </xf>
    <xf numFmtId="0" fontId="4" fillId="0" borderId="37" xfId="0" applyFont="1" applyBorder="1" applyAlignment="1">
      <alignment horizontal="center" vertical="center" wrapText="1"/>
    </xf>
    <xf numFmtId="0" fontId="3" fillId="0" borderId="47" xfId="0" applyFont="1" applyBorder="1" applyAlignment="1">
      <alignment horizontal="center"/>
    </xf>
    <xf numFmtId="0" fontId="3" fillId="0" borderId="0" xfId="0" applyFont="1" applyAlignment="1">
      <alignment horizontal="center"/>
    </xf>
    <xf numFmtId="0" fontId="3" fillId="0" borderId="26" xfId="0" applyFont="1" applyBorder="1" applyAlignment="1">
      <alignment horizontal="center" vertical="center"/>
    </xf>
    <xf numFmtId="0" fontId="3" fillId="0" borderId="2" xfId="0" applyFont="1" applyBorder="1" applyAlignment="1">
      <alignment vertical="center" wrapText="1"/>
    </xf>
    <xf numFmtId="0" fontId="3" fillId="0" borderId="14" xfId="0" applyFont="1" applyBorder="1" applyAlignment="1">
      <alignment horizontal="left" vertical="center"/>
    </xf>
    <xf numFmtId="0" fontId="3" fillId="0" borderId="9" xfId="0" applyFont="1" applyBorder="1" applyAlignment="1">
      <alignment horizontal="center" vertical="center"/>
    </xf>
    <xf numFmtId="0" fontId="3" fillId="0" borderId="0" xfId="0" applyFont="1" applyAlignment="1">
      <alignment vertical="center"/>
    </xf>
    <xf numFmtId="0" fontId="4" fillId="0" borderId="3" xfId="0" applyFont="1" applyBorder="1" applyAlignment="1">
      <alignment wrapText="1"/>
    </xf>
    <xf numFmtId="0" fontId="3" fillId="3" borderId="3" xfId="0" applyFont="1" applyFill="1" applyBorder="1" applyAlignment="1">
      <alignment wrapText="1"/>
    </xf>
    <xf numFmtId="0" fontId="4" fillId="3" borderId="21" xfId="0" applyFont="1" applyFill="1" applyBorder="1" applyAlignment="1">
      <alignment horizontal="center" vertical="top"/>
    </xf>
    <xf numFmtId="0" fontId="4" fillId="3" borderId="11" xfId="0" applyFont="1" applyFill="1" applyBorder="1" applyAlignment="1">
      <alignment horizontal="center" vertical="top"/>
    </xf>
    <xf numFmtId="0" fontId="3" fillId="0" borderId="14" xfId="0" applyFont="1" applyBorder="1" applyAlignment="1">
      <alignment vertical="top" wrapText="1"/>
    </xf>
    <xf numFmtId="0" fontId="3" fillId="0" borderId="9" xfId="0" applyFont="1" applyBorder="1" applyAlignment="1">
      <alignment vertical="top"/>
    </xf>
    <xf numFmtId="0" fontId="3" fillId="0" borderId="15" xfId="0" applyFont="1" applyBorder="1" applyAlignment="1">
      <alignment vertical="top" wrapText="1"/>
    </xf>
    <xf numFmtId="0" fontId="3" fillId="0" borderId="7" xfId="0" applyFont="1" applyBorder="1" applyAlignment="1">
      <alignment vertical="top"/>
    </xf>
    <xf numFmtId="0" fontId="3" fillId="0" borderId="19" xfId="0" applyFont="1" applyBorder="1" applyAlignment="1">
      <alignment vertical="top" wrapText="1"/>
    </xf>
    <xf numFmtId="0" fontId="3" fillId="0" borderId="8" xfId="0" applyFont="1" applyBorder="1" applyAlignment="1">
      <alignment vertical="top"/>
    </xf>
    <xf numFmtId="0" fontId="3" fillId="0" borderId="23" xfId="0" applyFont="1" applyBorder="1" applyAlignment="1">
      <alignment wrapText="1"/>
    </xf>
    <xf numFmtId="0" fontId="3" fillId="0" borderId="24" xfId="0" applyFont="1" applyBorder="1" applyAlignment="1">
      <alignment wrapText="1"/>
    </xf>
    <xf numFmtId="0" fontId="3" fillId="0" borderId="25" xfId="0" applyFont="1" applyBorder="1" applyAlignment="1">
      <alignment wrapText="1"/>
    </xf>
    <xf numFmtId="0" fontId="3" fillId="0" borderId="37" xfId="0" applyFont="1" applyBorder="1" applyAlignment="1">
      <alignment horizontal="center"/>
    </xf>
    <xf numFmtId="0" fontId="3" fillId="0" borderId="37" xfId="0" applyFont="1" applyBorder="1" applyAlignment="1">
      <alignment wrapText="1"/>
    </xf>
    <xf numFmtId="0" fontId="3" fillId="0" borderId="37" xfId="0" applyFont="1" applyBorder="1" applyAlignment="1">
      <alignment horizontal="center" vertical="center"/>
    </xf>
    <xf numFmtId="0" fontId="3" fillId="0" borderId="37" xfId="0" applyFont="1" applyBorder="1" applyAlignment="1">
      <alignment vertical="center" wrapText="1"/>
    </xf>
    <xf numFmtId="0" fontId="3" fillId="0" borderId="37" xfId="0" quotePrefix="1" applyFont="1" applyBorder="1" applyAlignment="1">
      <alignment horizontal="center"/>
    </xf>
    <xf numFmtId="0" fontId="4" fillId="0" borderId="37" xfId="0" applyFont="1" applyBorder="1" applyAlignment="1">
      <alignment wrapText="1"/>
    </xf>
    <xf numFmtId="0" fontId="4" fillId="5" borderId="37" xfId="0" quotePrefix="1" applyFont="1" applyFill="1" applyBorder="1" applyAlignment="1">
      <alignment vertical="center" wrapText="1"/>
    </xf>
    <xf numFmtId="0" fontId="4" fillId="0" borderId="37" xfId="0" quotePrefix="1" applyFont="1" applyBorder="1" applyAlignment="1">
      <alignment vertical="center" wrapText="1"/>
    </xf>
    <xf numFmtId="0" fontId="4" fillId="0" borderId="23" xfId="0" applyFont="1" applyBorder="1" applyAlignment="1">
      <alignment wrapText="1"/>
    </xf>
    <xf numFmtId="0" fontId="4" fillId="0" borderId="24" xfId="0" applyFont="1" applyBorder="1" applyAlignment="1">
      <alignment wrapText="1"/>
    </xf>
    <xf numFmtId="0" fontId="4" fillId="5" borderId="24" xfId="0" applyFont="1" applyFill="1" applyBorder="1" applyAlignment="1">
      <alignment horizontal="center"/>
    </xf>
    <xf numFmtId="0" fontId="3" fillId="4" borderId="24" xfId="0" applyFont="1" applyFill="1" applyBorder="1" applyAlignment="1">
      <alignment wrapText="1"/>
    </xf>
    <xf numFmtId="0" fontId="3" fillId="4" borderId="28" xfId="0" applyFont="1" applyFill="1" applyBorder="1" applyAlignment="1">
      <alignment wrapText="1"/>
    </xf>
    <xf numFmtId="0" fontId="4" fillId="3" borderId="23" xfId="0" applyFont="1" applyFill="1" applyBorder="1" applyAlignment="1">
      <alignment wrapText="1"/>
    </xf>
    <xf numFmtId="0" fontId="4" fillId="3" borderId="24" xfId="0" applyFont="1" applyFill="1" applyBorder="1" applyAlignment="1">
      <alignment horizontal="center" wrapText="1"/>
    </xf>
    <xf numFmtId="0" fontId="4" fillId="3" borderId="15" xfId="0" applyFont="1" applyFill="1" applyBorder="1" applyAlignment="1">
      <alignment horizontal="center" vertical="top"/>
    </xf>
    <xf numFmtId="0" fontId="4" fillId="3" borderId="7" xfId="0" applyFont="1" applyFill="1" applyBorder="1" applyAlignment="1">
      <alignment horizontal="center" vertical="top"/>
    </xf>
    <xf numFmtId="0" fontId="4" fillId="0" borderId="24" xfId="0" applyFont="1" applyBorder="1" applyAlignment="1">
      <alignment horizontal="center" wrapText="1"/>
    </xf>
    <xf numFmtId="0" fontId="3" fillId="0" borderId="17" xfId="0" applyFont="1" applyBorder="1" applyAlignment="1">
      <alignment horizontal="left"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4" fillId="0" borderId="25" xfId="0" applyFont="1" applyBorder="1" applyAlignment="1">
      <alignment horizontal="center" wrapText="1"/>
    </xf>
    <xf numFmtId="0" fontId="3" fillId="0" borderId="21" xfId="0" applyFont="1" applyBorder="1" applyAlignment="1">
      <alignment horizontal="left" vertical="top"/>
    </xf>
    <xf numFmtId="0" fontId="3" fillId="0" borderId="11" xfId="0" applyFont="1" applyBorder="1" applyAlignment="1">
      <alignment horizontal="center" vertical="top"/>
    </xf>
    <xf numFmtId="0" fontId="3" fillId="0" borderId="26" xfId="0" applyFont="1" applyBorder="1" applyAlignment="1">
      <alignment wrapText="1"/>
    </xf>
    <xf numFmtId="0" fontId="4" fillId="5" borderId="24" xfId="0" applyFont="1" applyFill="1" applyBorder="1" applyAlignment="1">
      <alignment horizontal="center" vertical="center"/>
    </xf>
    <xf numFmtId="0" fontId="4" fillId="0" borderId="24" xfId="0" applyFont="1" applyBorder="1" applyAlignment="1">
      <alignment vertical="center" wrapText="1"/>
    </xf>
    <xf numFmtId="0" fontId="4" fillId="5" borderId="24" xfId="0" applyFont="1" applyFill="1" applyBorder="1" applyAlignment="1">
      <alignment wrapText="1"/>
    </xf>
    <xf numFmtId="0" fontId="4" fillId="0" borderId="25" xfId="0" applyFont="1" applyBorder="1" applyAlignment="1">
      <alignment wrapText="1"/>
    </xf>
    <xf numFmtId="0" fontId="3" fillId="0" borderId="20" xfId="0" applyFont="1" applyBorder="1" applyAlignment="1">
      <alignment horizontal="center"/>
    </xf>
    <xf numFmtId="0" fontId="3" fillId="0" borderId="10" xfId="0" applyFont="1" applyBorder="1" applyAlignment="1">
      <alignment horizontal="center"/>
    </xf>
    <xf numFmtId="0" fontId="3" fillId="0" borderId="48" xfId="0" applyFont="1" applyBorder="1" applyAlignment="1">
      <alignment horizontal="center"/>
    </xf>
    <xf numFmtId="0" fontId="3" fillId="0" borderId="0" xfId="0" applyFont="1" applyAlignment="1">
      <alignment wrapText="1"/>
    </xf>
    <xf numFmtId="0" fontId="3" fillId="0" borderId="46" xfId="0" applyFont="1" applyBorder="1" applyAlignment="1">
      <alignment vertical="top"/>
    </xf>
    <xf numFmtId="0" fontId="3" fillId="0" borderId="0" xfId="0" applyFont="1" applyBorder="1" applyAlignment="1">
      <alignment horizontal="center"/>
    </xf>
    <xf numFmtId="0" fontId="3" fillId="0" borderId="46" xfId="0" applyFont="1" applyBorder="1" applyAlignment="1">
      <alignment horizontal="center"/>
    </xf>
    <xf numFmtId="0" fontId="3" fillId="0" borderId="48" xfId="0" applyFont="1" applyBorder="1" applyAlignment="1">
      <alignment horizontal="center"/>
    </xf>
    <xf numFmtId="0" fontId="3" fillId="0" borderId="0" xfId="0" applyFont="1" applyBorder="1" applyAlignment="1">
      <alignment wrapText="1"/>
    </xf>
    <xf numFmtId="0" fontId="3" fillId="0" borderId="0" xfId="0" applyFont="1" applyBorder="1" applyAlignment="1">
      <alignment vertical="top"/>
    </xf>
    <xf numFmtId="0" fontId="3" fillId="3" borderId="0" xfId="0" applyFont="1" applyFill="1"/>
    <xf numFmtId="0" fontId="3" fillId="3" borderId="23" xfId="0" applyFont="1" applyFill="1" applyBorder="1" applyAlignment="1">
      <alignment horizontal="center"/>
    </xf>
    <xf numFmtId="0" fontId="3" fillId="0" borderId="37" xfId="0" applyFont="1" applyBorder="1" applyAlignment="1">
      <alignment horizontal="center" vertical="center" wrapText="1"/>
    </xf>
    <xf numFmtId="0" fontId="3" fillId="0" borderId="17" xfId="0" applyFont="1" applyBorder="1" applyAlignment="1">
      <alignment horizontal="left" vertical="top"/>
    </xf>
    <xf numFmtId="0" fontId="3" fillId="0" borderId="37" xfId="0" applyFont="1" applyBorder="1" applyAlignment="1">
      <alignment horizontal="center" vertical="center" wrapText="1"/>
    </xf>
    <xf numFmtId="0" fontId="3" fillId="0" borderId="48" xfId="0" applyFont="1" applyBorder="1" applyAlignment="1">
      <alignment horizontal="center"/>
    </xf>
    <xf numFmtId="0" fontId="3" fillId="0" borderId="37" xfId="0" applyFont="1" applyBorder="1" applyAlignment="1">
      <alignment horizontal="center" vertical="center" wrapText="1"/>
    </xf>
    <xf numFmtId="0" fontId="3" fillId="0" borderId="0" xfId="0" applyFont="1" applyAlignment="1">
      <alignment horizontal="center"/>
    </xf>
    <xf numFmtId="0" fontId="3" fillId="0" borderId="37"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7" xfId="0" applyFont="1" applyBorder="1" applyAlignment="1">
      <alignment horizontal="left" vertical="top" wrapText="1"/>
    </xf>
    <xf numFmtId="0" fontId="3" fillId="0" borderId="47" xfId="0" applyFont="1" applyBorder="1" applyAlignment="1">
      <alignment horizontal="center"/>
    </xf>
    <xf numFmtId="0" fontId="3" fillId="0" borderId="20" xfId="0" applyFont="1" applyBorder="1" applyAlignment="1">
      <alignment horizontal="center"/>
    </xf>
    <xf numFmtId="0" fontId="3" fillId="0" borderId="10" xfId="0" applyFont="1" applyBorder="1" applyAlignment="1">
      <alignment horizontal="center"/>
    </xf>
    <xf numFmtId="0" fontId="3" fillId="0" borderId="48" xfId="0" applyFont="1" applyBorder="1" applyAlignment="1">
      <alignment horizontal="center"/>
    </xf>
    <xf numFmtId="0" fontId="3" fillId="0" borderId="0" xfId="0" applyFont="1" applyBorder="1" applyAlignment="1">
      <alignment horizontal="center"/>
    </xf>
    <xf numFmtId="0" fontId="3" fillId="0" borderId="46" xfId="0" applyFont="1" applyBorder="1" applyAlignment="1">
      <alignment horizontal="center"/>
    </xf>
    <xf numFmtId="0" fontId="3" fillId="0" borderId="50" xfId="0" applyFont="1" applyBorder="1" applyAlignment="1">
      <alignment horizontal="center"/>
    </xf>
    <xf numFmtId="0" fontId="3" fillId="0" borderId="16" xfId="0" applyFont="1" applyBorder="1" applyAlignment="1">
      <alignment horizontal="center"/>
    </xf>
    <xf numFmtId="0" fontId="3" fillId="0" borderId="2" xfId="0" applyFont="1" applyBorder="1" applyAlignment="1">
      <alignment horizontal="center"/>
    </xf>
    <xf numFmtId="0" fontId="3" fillId="0" borderId="37" xfId="0" applyFont="1" applyBorder="1" applyAlignment="1">
      <alignment horizontal="center"/>
    </xf>
    <xf numFmtId="0" fontId="3" fillId="0" borderId="0" xfId="0" applyFont="1" applyAlignment="1">
      <alignment horizontal="center"/>
    </xf>
    <xf numFmtId="0" fontId="3" fillId="0" borderId="52" xfId="0" applyFont="1" applyBorder="1" applyAlignment="1">
      <alignment horizontal="left" vertical="top" wrapText="1"/>
    </xf>
    <xf numFmtId="0" fontId="3" fillId="0" borderId="20" xfId="0" applyFont="1" applyBorder="1" applyAlignment="1">
      <alignment horizontal="left" vertical="top" wrapText="1"/>
    </xf>
    <xf numFmtId="0" fontId="3" fillId="0" borderId="53" xfId="0" applyFont="1" applyBorder="1" applyAlignment="1">
      <alignment horizontal="left" vertical="top" wrapText="1"/>
    </xf>
    <xf numFmtId="0" fontId="3" fillId="0" borderId="33" xfId="0" applyFont="1" applyBorder="1" applyAlignment="1">
      <alignment horizontal="center" vertical="top"/>
    </xf>
    <xf numFmtId="0" fontId="3" fillId="0" borderId="13" xfId="0" applyFont="1" applyBorder="1" applyAlignment="1">
      <alignment horizontal="center" vertical="top"/>
    </xf>
    <xf numFmtId="0" fontId="3" fillId="0" borderId="0" xfId="0" applyFont="1" applyBorder="1" applyAlignment="1">
      <alignment horizontal="left" vertical="top"/>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3" fillId="0" borderId="27" xfId="0" applyFont="1" applyBorder="1" applyAlignment="1">
      <alignment horizontal="left" vertical="top"/>
    </xf>
    <xf numFmtId="0" fontId="3" fillId="0" borderId="1" xfId="0" applyFont="1" applyBorder="1" applyAlignment="1">
      <alignment horizontal="left" vertical="top"/>
    </xf>
    <xf numFmtId="0" fontId="3" fillId="0" borderId="37" xfId="0" applyFont="1" applyBorder="1" applyAlignment="1">
      <alignment horizontal="left" vertical="top"/>
    </xf>
    <xf numFmtId="0" fontId="3" fillId="0" borderId="29" xfId="0" applyFont="1" applyBorder="1" applyAlignment="1">
      <alignment horizontal="center" vertical="top"/>
    </xf>
    <xf numFmtId="0" fontId="3" fillId="0" borderId="3" xfId="0" applyFont="1" applyBorder="1" applyAlignment="1">
      <alignment horizontal="center" vertical="top"/>
    </xf>
    <xf numFmtId="0" fontId="3" fillId="0" borderId="0" xfId="0" applyFont="1" applyAlignment="1">
      <alignment horizontal="center" vertical="top"/>
    </xf>
    <xf numFmtId="0" fontId="3" fillId="0" borderId="51" xfId="0" applyFont="1" applyBorder="1" applyAlignment="1">
      <alignment horizontal="center" vertical="top"/>
    </xf>
    <xf numFmtId="0" fontId="3" fillId="0" borderId="37" xfId="0" applyFont="1" applyBorder="1" applyAlignment="1">
      <alignment horizontal="center" vertical="center"/>
    </xf>
    <xf numFmtId="0" fontId="3" fillId="0" borderId="7" xfId="0" applyFont="1" applyBorder="1" applyAlignment="1">
      <alignment horizontal="center" vertical="center"/>
    </xf>
    <xf numFmtId="4" fontId="3" fillId="0" borderId="29" xfId="0" applyNumberFormat="1" applyFont="1" applyBorder="1" applyAlignment="1">
      <alignment horizontal="center" vertical="top"/>
    </xf>
    <xf numFmtId="4" fontId="3" fillId="0" borderId="3" xfId="0" applyNumberFormat="1" applyFont="1" applyBorder="1" applyAlignment="1">
      <alignment horizontal="center" vertical="top"/>
    </xf>
    <xf numFmtId="4" fontId="3" fillId="0" borderId="30" xfId="0" applyNumberFormat="1" applyFont="1" applyBorder="1" applyAlignment="1">
      <alignment horizontal="center" vertical="top"/>
    </xf>
    <xf numFmtId="4" fontId="3" fillId="0" borderId="4" xfId="0" applyNumberFormat="1" applyFont="1" applyBorder="1" applyAlignment="1">
      <alignment horizontal="center" vertical="top"/>
    </xf>
    <xf numFmtId="0" fontId="3" fillId="0" borderId="0" xfId="0" applyFont="1" applyAlignment="1">
      <alignment horizontal="left" vertical="top"/>
    </xf>
    <xf numFmtId="0" fontId="3" fillId="0" borderId="51" xfId="0" applyFont="1" applyBorder="1" applyAlignment="1">
      <alignment horizontal="left" vertical="top"/>
    </xf>
    <xf numFmtId="0" fontId="4" fillId="5" borderId="12" xfId="0" applyFont="1" applyFill="1" applyBorder="1" applyAlignment="1">
      <alignment horizontal="left" vertical="top"/>
    </xf>
    <xf numFmtId="0" fontId="4" fillId="5" borderId="1" xfId="0" applyFont="1" applyFill="1" applyBorder="1" applyAlignment="1">
      <alignment horizontal="left" vertical="top"/>
    </xf>
    <xf numFmtId="0" fontId="3" fillId="0" borderId="40" xfId="0" applyFont="1" applyBorder="1" applyAlignment="1">
      <alignment horizontal="center" vertical="top"/>
    </xf>
    <xf numFmtId="0" fontId="3" fillId="0" borderId="2" xfId="0" applyFont="1" applyBorder="1" applyAlignment="1">
      <alignment horizontal="center" vertical="top"/>
    </xf>
    <xf numFmtId="3" fontId="3" fillId="0" borderId="29" xfId="0" applyNumberFormat="1" applyFont="1" applyBorder="1" applyAlignment="1">
      <alignment horizontal="center" vertical="center"/>
    </xf>
    <xf numFmtId="0" fontId="3" fillId="0" borderId="3" xfId="0" applyFont="1" applyBorder="1" applyAlignment="1">
      <alignment horizontal="center" vertical="center"/>
    </xf>
    <xf numFmtId="4" fontId="4" fillId="0" borderId="29" xfId="0" applyNumberFormat="1" applyFont="1" applyBorder="1" applyAlignment="1">
      <alignment horizontal="center" vertical="center"/>
    </xf>
    <xf numFmtId="4" fontId="4" fillId="0" borderId="3" xfId="0" applyNumberFormat="1" applyFont="1" applyBorder="1" applyAlignment="1">
      <alignment horizontal="center" vertical="center"/>
    </xf>
    <xf numFmtId="9" fontId="3" fillId="0" borderId="29" xfId="1" applyFont="1" applyBorder="1" applyAlignment="1">
      <alignment horizontal="center" vertical="top"/>
    </xf>
    <xf numFmtId="9" fontId="3" fillId="0" borderId="3" xfId="1" applyFont="1" applyBorder="1" applyAlignment="1">
      <alignment horizontal="center" vertical="top"/>
    </xf>
    <xf numFmtId="4" fontId="4" fillId="0" borderId="29" xfId="0" applyNumberFormat="1" applyFont="1" applyBorder="1" applyAlignment="1">
      <alignment horizontal="center" vertical="top"/>
    </xf>
    <xf numFmtId="4" fontId="4" fillId="0" borderId="3" xfId="0" applyNumberFormat="1" applyFont="1" applyBorder="1" applyAlignment="1">
      <alignment horizontal="center" vertical="top"/>
    </xf>
    <xf numFmtId="0" fontId="3" fillId="0" borderId="34" xfId="0" applyFont="1" applyBorder="1" applyAlignment="1">
      <alignment horizontal="center" vertical="top"/>
    </xf>
    <xf numFmtId="170" fontId="3" fillId="0" borderId="34" xfId="0" applyNumberFormat="1" applyFont="1" applyBorder="1" applyAlignment="1">
      <alignment horizontal="center" vertical="top"/>
    </xf>
    <xf numFmtId="170" fontId="3" fillId="0" borderId="3" xfId="0" applyNumberFormat="1" applyFont="1" applyBorder="1" applyAlignment="1">
      <alignment horizontal="center" vertical="top"/>
    </xf>
    <xf numFmtId="168" fontId="3" fillId="0" borderId="29" xfId="0" applyNumberFormat="1" applyFont="1" applyBorder="1" applyAlignment="1">
      <alignment horizontal="center" vertical="top"/>
    </xf>
    <xf numFmtId="168" fontId="3" fillId="0" borderId="3" xfId="0" applyNumberFormat="1" applyFont="1" applyBorder="1" applyAlignment="1">
      <alignment horizontal="center" vertical="top"/>
    </xf>
    <xf numFmtId="0" fontId="3" fillId="0" borderId="15" xfId="0" applyFont="1" applyBorder="1" applyAlignment="1">
      <alignment horizontal="center" vertical="top"/>
    </xf>
    <xf numFmtId="169" fontId="3" fillId="0" borderId="29" xfId="0" applyNumberFormat="1" applyFont="1" applyBorder="1" applyAlignment="1">
      <alignment horizontal="center" vertical="center"/>
    </xf>
    <xf numFmtId="169" fontId="3" fillId="0" borderId="3" xfId="0" applyNumberFormat="1" applyFont="1" applyBorder="1" applyAlignment="1">
      <alignment horizontal="center" vertical="center"/>
    </xf>
    <xf numFmtId="169" fontId="3" fillId="0" borderId="29" xfId="0" applyNumberFormat="1" applyFont="1" applyBorder="1" applyAlignment="1">
      <alignment horizontal="center" vertical="top"/>
    </xf>
    <xf numFmtId="169" fontId="3" fillId="0" borderId="3" xfId="0" applyNumberFormat="1" applyFont="1" applyBorder="1" applyAlignment="1">
      <alignment horizontal="center" vertical="top"/>
    </xf>
    <xf numFmtId="9" fontId="3" fillId="0" borderId="29" xfId="0" applyNumberFormat="1" applyFont="1" applyBorder="1" applyAlignment="1">
      <alignment horizontal="center" vertical="top"/>
    </xf>
    <xf numFmtId="0" fontId="3" fillId="0" borderId="30" xfId="0" applyFont="1" applyBorder="1" applyAlignment="1">
      <alignment horizontal="center" vertical="top"/>
    </xf>
    <xf numFmtId="0" fontId="3" fillId="0" borderId="4" xfId="0" applyFont="1" applyBorder="1" applyAlignment="1">
      <alignment horizontal="center" vertical="top"/>
    </xf>
    <xf numFmtId="0" fontId="4" fillId="2" borderId="12" xfId="0" applyFont="1" applyFill="1" applyBorder="1" applyAlignment="1">
      <alignment horizontal="left" wrapText="1"/>
    </xf>
    <xf numFmtId="0" fontId="4" fillId="2" borderId="1" xfId="0" applyFont="1" applyFill="1" applyBorder="1" applyAlignment="1">
      <alignment horizontal="left" wrapText="1"/>
    </xf>
    <xf numFmtId="166" fontId="3" fillId="0" borderId="29" xfId="0" applyNumberFormat="1" applyFont="1" applyBorder="1" applyAlignment="1">
      <alignment horizontal="center" vertical="top"/>
    </xf>
    <xf numFmtId="166" fontId="3" fillId="0" borderId="3" xfId="0" applyNumberFormat="1" applyFont="1" applyBorder="1" applyAlignment="1">
      <alignment horizontal="center" vertical="top"/>
    </xf>
    <xf numFmtId="167" fontId="3" fillId="0" borderId="29" xfId="0" applyNumberFormat="1" applyFont="1" applyBorder="1" applyAlignment="1">
      <alignment horizontal="center" vertical="top"/>
    </xf>
    <xf numFmtId="167" fontId="3" fillId="0" borderId="3" xfId="0" applyNumberFormat="1" applyFont="1" applyBorder="1" applyAlignment="1">
      <alignment horizontal="center" vertical="top"/>
    </xf>
    <xf numFmtId="0" fontId="3" fillId="0" borderId="37" xfId="0" applyFont="1" applyBorder="1" applyAlignment="1">
      <alignment horizontal="center" vertical="top"/>
    </xf>
    <xf numFmtId="164" fontId="3" fillId="0" borderId="37" xfId="0" applyNumberFormat="1" applyFont="1" applyBorder="1" applyAlignment="1">
      <alignment horizontal="center" vertical="top"/>
    </xf>
    <xf numFmtId="165" fontId="3" fillId="0" borderId="37" xfId="0" applyNumberFormat="1" applyFont="1" applyBorder="1" applyAlignment="1">
      <alignment horizontal="center" vertical="top"/>
    </xf>
    <xf numFmtId="0" fontId="3" fillId="0" borderId="37" xfId="0" applyFont="1" applyBorder="1" applyAlignment="1">
      <alignment horizontal="center" vertical="top" wrapText="1"/>
    </xf>
    <xf numFmtId="0" fontId="4" fillId="0" borderId="37" xfId="0" applyFont="1" applyBorder="1" applyAlignment="1">
      <alignment horizontal="center" vertical="center"/>
    </xf>
    <xf numFmtId="0" fontId="4" fillId="2" borderId="37" xfId="0" applyFont="1" applyFill="1" applyBorder="1" applyAlignment="1">
      <alignment horizontal="left" wrapText="1"/>
    </xf>
    <xf numFmtId="0" fontId="3" fillId="0" borderId="33" xfId="0" applyFont="1" applyBorder="1" applyAlignment="1">
      <alignment horizontal="left" vertical="top" wrapText="1"/>
    </xf>
    <xf numFmtId="0" fontId="3" fillId="0" borderId="13" xfId="0" applyFont="1" applyBorder="1" applyAlignment="1">
      <alignment horizontal="left" vertical="top"/>
    </xf>
    <xf numFmtId="0" fontId="3" fillId="0" borderId="7" xfId="0" applyFont="1" applyBorder="1" applyAlignment="1">
      <alignment horizontal="center" vertical="top"/>
    </xf>
    <xf numFmtId="0" fontId="3" fillId="0" borderId="2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18" xfId="0" applyFont="1" applyBorder="1" applyAlignment="1">
      <alignment horizontal="left" vertical="top"/>
    </xf>
    <xf numFmtId="0" fontId="3" fillId="0" borderId="4" xfId="0" applyFont="1" applyBorder="1" applyAlignment="1">
      <alignment horizontal="left" vertical="top"/>
    </xf>
    <xf numFmtId="0" fontId="3" fillId="0" borderId="17" xfId="0" applyFont="1" applyBorder="1" applyAlignment="1">
      <alignment horizontal="left" vertical="top"/>
    </xf>
    <xf numFmtId="0" fontId="3" fillId="0" borderId="3" xfId="0" applyFont="1" applyBorder="1" applyAlignment="1">
      <alignment horizontal="left" vertical="top"/>
    </xf>
    <xf numFmtId="0" fontId="3" fillId="0" borderId="17" xfId="0" applyFont="1" applyBorder="1" applyAlignment="1">
      <alignment horizontal="left" vertical="top" wrapText="1"/>
    </xf>
    <xf numFmtId="0" fontId="3" fillId="0" borderId="3" xfId="0" applyFont="1" applyBorder="1" applyAlignment="1">
      <alignment horizontal="left" vertical="top" wrapText="1"/>
    </xf>
    <xf numFmtId="0" fontId="4" fillId="2" borderId="37" xfId="0" applyFont="1" applyFill="1" applyBorder="1" applyAlignment="1">
      <alignment wrapText="1"/>
    </xf>
    <xf numFmtId="0" fontId="4" fillId="2" borderId="27" xfId="0" applyFont="1" applyFill="1" applyBorder="1" applyAlignment="1">
      <alignment wrapText="1"/>
    </xf>
    <xf numFmtId="0" fontId="4" fillId="2" borderId="1" xfId="0" applyFont="1" applyFill="1" applyBorder="1" applyAlignment="1">
      <alignment wrapText="1"/>
    </xf>
    <xf numFmtId="9" fontId="3" fillId="0" borderId="37" xfId="0" applyNumberFormat="1" applyFont="1" applyBorder="1" applyAlignment="1">
      <alignment horizontal="center" vertical="top"/>
    </xf>
    <xf numFmtId="0" fontId="3" fillId="0" borderId="29" xfId="0" applyFont="1" applyBorder="1" applyAlignment="1">
      <alignment horizontal="center" vertical="top" wrapText="1"/>
    </xf>
    <xf numFmtId="0" fontId="3" fillId="0" borderId="15" xfId="0" applyFont="1" applyBorder="1" applyAlignment="1">
      <alignment horizontal="center" vertical="top" wrapText="1"/>
    </xf>
    <xf numFmtId="9" fontId="3" fillId="0" borderId="29" xfId="0" applyNumberFormat="1" applyFont="1" applyBorder="1" applyAlignment="1">
      <alignment horizontal="center" vertical="top" wrapText="1"/>
    </xf>
    <xf numFmtId="0" fontId="5" fillId="0" borderId="43" xfId="0" applyFont="1" applyBorder="1" applyAlignment="1">
      <alignment horizontal="center" vertical="center"/>
    </xf>
    <xf numFmtId="0" fontId="5" fillId="0" borderId="44" xfId="0" applyFont="1" applyBorder="1" applyAlignment="1">
      <alignment horizontal="center" vertical="center"/>
    </xf>
    <xf numFmtId="0" fontId="5" fillId="0" borderId="6" xfId="0" applyFont="1" applyBorder="1" applyAlignment="1">
      <alignment horizontal="center" vertical="center"/>
    </xf>
    <xf numFmtId="0" fontId="3" fillId="0" borderId="49" xfId="0" applyFont="1" applyBorder="1" applyAlignment="1">
      <alignment horizontal="left"/>
    </xf>
    <xf numFmtId="0" fontId="3" fillId="0" borderId="37" xfId="0" applyFont="1" applyBorder="1" applyAlignment="1">
      <alignment horizontal="left"/>
    </xf>
    <xf numFmtId="0" fontId="3" fillId="0" borderId="7" xfId="0" applyFont="1" applyBorder="1" applyAlignment="1">
      <alignment horizontal="left"/>
    </xf>
    <xf numFmtId="0" fontId="3" fillId="0" borderId="49" xfId="0" applyFont="1" applyBorder="1" applyAlignment="1">
      <alignment horizontal="center"/>
    </xf>
    <xf numFmtId="0" fontId="3" fillId="0" borderId="7" xfId="0" applyFont="1" applyBorder="1" applyAlignment="1">
      <alignment horizontal="center"/>
    </xf>
    <xf numFmtId="0" fontId="4" fillId="2" borderId="36" xfId="0" applyFont="1" applyFill="1" applyBorder="1" applyAlignment="1">
      <alignment horizontal="center" vertical="top"/>
    </xf>
    <xf numFmtId="0" fontId="4" fillId="2" borderId="39" xfId="0" applyFont="1" applyFill="1" applyBorder="1" applyAlignment="1">
      <alignment horizontal="center" vertical="top"/>
    </xf>
    <xf numFmtId="0" fontId="3" fillId="0" borderId="16" xfId="0" applyFont="1" applyBorder="1" applyAlignment="1">
      <alignment horizontal="left" vertical="top"/>
    </xf>
    <xf numFmtId="0" fontId="3" fillId="0" borderId="2" xfId="0" applyFont="1" applyBorder="1" applyAlignment="1">
      <alignment horizontal="left" vertical="top"/>
    </xf>
    <xf numFmtId="14" fontId="3" fillId="0" borderId="17" xfId="0" applyNumberFormat="1" applyFont="1" applyBorder="1" applyAlignment="1">
      <alignment horizontal="left" vertical="top"/>
    </xf>
    <xf numFmtId="0" fontId="4" fillId="2" borderId="38" xfId="0" applyFont="1" applyFill="1" applyBorder="1" applyAlignment="1">
      <alignment horizontal="left" wrapText="1"/>
    </xf>
    <xf numFmtId="0" fontId="4" fillId="2" borderId="39" xfId="0" applyFont="1" applyFill="1" applyBorder="1" applyAlignment="1">
      <alignment horizontal="left" wrapText="1"/>
    </xf>
    <xf numFmtId="0" fontId="4" fillId="2" borderId="27" xfId="0" applyFont="1" applyFill="1" applyBorder="1" applyAlignment="1">
      <alignment horizontal="left" wrapText="1"/>
    </xf>
    <xf numFmtId="0" fontId="3" fillId="0" borderId="13" xfId="0" applyFont="1" applyBorder="1" applyAlignment="1">
      <alignment horizontal="left" vertical="top" wrapText="1"/>
    </xf>
    <xf numFmtId="0" fontId="3" fillId="0" borderId="34" xfId="0" applyFont="1" applyBorder="1" applyAlignment="1">
      <alignment horizontal="left" vertical="top" wrapText="1"/>
    </xf>
    <xf numFmtId="0" fontId="3" fillId="0" borderId="17" xfId="0" applyFont="1" applyBorder="1" applyAlignment="1">
      <alignment horizontal="center" vertical="top"/>
    </xf>
    <xf numFmtId="0" fontId="0" fillId="0" borderId="34" xfId="0" applyBorder="1" applyAlignment="1">
      <alignment horizontal="left" vertical="top"/>
    </xf>
    <xf numFmtId="0" fontId="0" fillId="0" borderId="3" xfId="0" applyBorder="1" applyAlignment="1">
      <alignment horizontal="left" vertical="top"/>
    </xf>
    <xf numFmtId="9" fontId="0" fillId="0" borderId="34" xfId="0" applyNumberFormat="1" applyBorder="1" applyAlignment="1">
      <alignment horizontal="left" vertical="top"/>
    </xf>
    <xf numFmtId="0" fontId="0" fillId="0" borderId="35" xfId="0" applyBorder="1" applyAlignment="1">
      <alignment horizontal="left" vertical="top"/>
    </xf>
    <xf numFmtId="0" fontId="0" fillId="0" borderId="4" xfId="0" applyBorder="1" applyAlignment="1">
      <alignment horizontal="left" vertical="top"/>
    </xf>
    <xf numFmtId="0" fontId="0" fillId="0" borderId="17" xfId="0" applyBorder="1" applyAlignment="1">
      <alignment horizontal="left" vertical="top"/>
    </xf>
    <xf numFmtId="0" fontId="0" fillId="0" borderId="20" xfId="0" applyBorder="1" applyAlignment="1">
      <alignment horizontal="left" vertical="top"/>
    </xf>
    <xf numFmtId="0" fontId="0" fillId="3" borderId="22" xfId="0" applyFill="1" applyBorder="1" applyAlignment="1">
      <alignment horizontal="left" vertical="top"/>
    </xf>
    <xf numFmtId="0" fontId="0" fillId="0" borderId="33" xfId="0" applyBorder="1" applyAlignment="1">
      <alignment horizontal="left" vertical="top"/>
    </xf>
    <xf numFmtId="0" fontId="0" fillId="0" borderId="13" xfId="0" applyBorder="1" applyAlignment="1">
      <alignment horizontal="left" vertical="top"/>
    </xf>
    <xf numFmtId="0" fontId="1" fillId="2" borderId="27" xfId="0" applyFont="1" applyFill="1" applyBorder="1" applyAlignment="1">
      <alignment wrapText="1"/>
    </xf>
    <xf numFmtId="0" fontId="1" fillId="2" borderId="1" xfId="0" applyFont="1" applyFill="1" applyBorder="1" applyAlignment="1">
      <alignment wrapText="1"/>
    </xf>
    <xf numFmtId="0" fontId="1" fillId="2" borderId="12" xfId="0" applyFont="1" applyFill="1" applyBorder="1" applyAlignment="1">
      <alignment horizont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jpe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312153</xdr:colOff>
      <xdr:row>1</xdr:row>
      <xdr:rowOff>1557</xdr:rowOff>
    </xdr:to>
    <xdr:pic>
      <xdr:nvPicPr>
        <xdr:cNvPr id="2" name="Picture 1" descr="C:\Documents and Settings\kvr\Desktop\untitled.bmp">
          <a:extLst>
            <a:ext uri="{FF2B5EF4-FFF2-40B4-BE49-F238E27FC236}">
              <a16:creationId xmlns="" xmlns:a16="http://schemas.microsoft.com/office/drawing/2014/main" id="{8C555C7A-E2B3-4060-963B-088702AD049F}"/>
            </a:ext>
          </a:extLst>
        </xdr:cNvPr>
        <xdr:cNvPicPr>
          <a:picLocks noChangeAspect="1"/>
        </xdr:cNvPicPr>
      </xdr:nvPicPr>
      <xdr:blipFill>
        <a:blip xmlns:r="http://schemas.openxmlformats.org/officeDocument/2006/relationships" r:embed="rId1">
          <a:lum contrast="-3000"/>
        </a:blip>
        <a:stretch>
          <a:fillRect/>
        </a:stretch>
      </xdr:blipFill>
      <xdr:spPr>
        <a:xfrm>
          <a:off x="0" y="0"/>
          <a:ext cx="940175" cy="1048260"/>
        </a:xfrm>
        <a:prstGeom prst="rect">
          <a:avLst/>
        </a:prstGeom>
        <a:noFill/>
        <a:ln>
          <a:noFill/>
        </a:ln>
      </xdr:spPr>
    </xdr:pic>
    <xdr:clientData/>
  </xdr:twoCellAnchor>
  <xdr:twoCellAnchor>
    <xdr:from>
      <xdr:col>1</xdr:col>
      <xdr:colOff>2952750</xdr:colOff>
      <xdr:row>163</xdr:row>
      <xdr:rowOff>0</xdr:rowOff>
    </xdr:from>
    <xdr:to>
      <xdr:col>3</xdr:col>
      <xdr:colOff>1552575</xdr:colOff>
      <xdr:row>163</xdr:row>
      <xdr:rowOff>2558207</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372" y="68804591"/>
          <a:ext cx="3171825" cy="2558207"/>
        </a:xfrm>
        <a:prstGeom prst="rect">
          <a:avLst/>
        </a:prstGeom>
      </xdr:spPr>
    </xdr:pic>
    <xdr:clientData/>
  </xdr:twoCellAnchor>
  <xdr:twoCellAnchor>
    <xdr:from>
      <xdr:col>0</xdr:col>
      <xdr:colOff>0</xdr:colOff>
      <xdr:row>163</xdr:row>
      <xdr:rowOff>0</xdr:rowOff>
    </xdr:from>
    <xdr:to>
      <xdr:col>1</xdr:col>
      <xdr:colOff>2943225</xdr:colOff>
      <xdr:row>163</xdr:row>
      <xdr:rowOff>2558207</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26712" y="68798906"/>
          <a:ext cx="3590925" cy="2558207"/>
        </a:xfrm>
        <a:prstGeom prst="rect">
          <a:avLst/>
        </a:prstGeom>
      </xdr:spPr>
    </xdr:pic>
    <xdr:clientData/>
  </xdr:twoCellAnchor>
  <xdr:twoCellAnchor>
    <xdr:from>
      <xdr:col>1</xdr:col>
      <xdr:colOff>2952750</xdr:colOff>
      <xdr:row>165</xdr:row>
      <xdr:rowOff>0</xdr:rowOff>
    </xdr:from>
    <xdr:to>
      <xdr:col>3</xdr:col>
      <xdr:colOff>1552575</xdr:colOff>
      <xdr:row>165</xdr:row>
      <xdr:rowOff>2562989</xdr:rowOff>
    </xdr:to>
    <xdr:pic>
      <xdr:nvPicPr>
        <xdr:cNvPr id="6" name="Picture 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394" y="71588916"/>
          <a:ext cx="3171825" cy="2562989"/>
        </a:xfrm>
        <a:prstGeom prst="rect">
          <a:avLst/>
        </a:prstGeom>
      </xdr:spPr>
    </xdr:pic>
    <xdr:clientData/>
  </xdr:twoCellAnchor>
  <xdr:twoCellAnchor>
    <xdr:from>
      <xdr:col>0</xdr:col>
      <xdr:colOff>0</xdr:colOff>
      <xdr:row>165</xdr:row>
      <xdr:rowOff>0</xdr:rowOff>
    </xdr:from>
    <xdr:to>
      <xdr:col>1</xdr:col>
      <xdr:colOff>2943225</xdr:colOff>
      <xdr:row>165</xdr:row>
      <xdr:rowOff>2562989</xdr:rowOff>
    </xdr:to>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17894" y="71588822"/>
          <a:ext cx="3590925" cy="2562989"/>
        </a:xfrm>
        <a:prstGeom prst="rect">
          <a:avLst/>
        </a:prstGeom>
      </xdr:spPr>
    </xdr:pic>
    <xdr:clientData/>
  </xdr:twoCellAnchor>
  <xdr:twoCellAnchor>
    <xdr:from>
      <xdr:col>0</xdr:col>
      <xdr:colOff>0</xdr:colOff>
      <xdr:row>167</xdr:row>
      <xdr:rowOff>0</xdr:rowOff>
    </xdr:from>
    <xdr:to>
      <xdr:col>1</xdr:col>
      <xdr:colOff>2943225</xdr:colOff>
      <xdr:row>167</xdr:row>
      <xdr:rowOff>2743702</xdr:rowOff>
    </xdr:to>
    <xdr:pic>
      <xdr:nvPicPr>
        <xdr:cNvPr id="9" name="Picture 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1623" y="74381898"/>
          <a:ext cx="3590925" cy="2743702"/>
        </a:xfrm>
        <a:prstGeom prst="rect">
          <a:avLst/>
        </a:prstGeom>
      </xdr:spPr>
    </xdr:pic>
    <xdr:clientData/>
  </xdr:twoCellAnchor>
  <xdr:twoCellAnchor>
    <xdr:from>
      <xdr:col>1</xdr:col>
      <xdr:colOff>2952750</xdr:colOff>
      <xdr:row>167</xdr:row>
      <xdr:rowOff>0</xdr:rowOff>
    </xdr:from>
    <xdr:to>
      <xdr:col>3</xdr:col>
      <xdr:colOff>1552575</xdr:colOff>
      <xdr:row>167</xdr:row>
      <xdr:rowOff>2743702</xdr:rowOff>
    </xdr:to>
    <xdr:pic>
      <xdr:nvPicPr>
        <xdr:cNvPr id="10" name="Picture 9"/>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49295" y="74393985"/>
          <a:ext cx="3171825" cy="2743702"/>
        </a:xfrm>
        <a:prstGeom prst="rect">
          <a:avLst/>
        </a:prstGeom>
      </xdr:spPr>
    </xdr:pic>
    <xdr:clientData/>
  </xdr:twoCellAnchor>
  <xdr:twoCellAnchor>
    <xdr:from>
      <xdr:col>0</xdr:col>
      <xdr:colOff>0</xdr:colOff>
      <xdr:row>169</xdr:row>
      <xdr:rowOff>0</xdr:rowOff>
    </xdr:from>
    <xdr:to>
      <xdr:col>1</xdr:col>
      <xdr:colOff>2943225</xdr:colOff>
      <xdr:row>169</xdr:row>
      <xdr:rowOff>2747766</xdr:rowOff>
    </xdr:to>
    <xdr:pic>
      <xdr:nvPicPr>
        <xdr:cNvPr id="21" name="Picture 20"/>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189" y="77360937"/>
          <a:ext cx="3590925" cy="2747766"/>
        </a:xfrm>
        <a:prstGeom prst="rect">
          <a:avLst/>
        </a:prstGeom>
      </xdr:spPr>
    </xdr:pic>
    <xdr:clientData/>
  </xdr:twoCellAnchor>
  <xdr:twoCellAnchor>
    <xdr:from>
      <xdr:col>0</xdr:col>
      <xdr:colOff>0</xdr:colOff>
      <xdr:row>173</xdr:row>
      <xdr:rowOff>0</xdr:rowOff>
    </xdr:from>
    <xdr:to>
      <xdr:col>1</xdr:col>
      <xdr:colOff>2943225</xdr:colOff>
      <xdr:row>173</xdr:row>
      <xdr:rowOff>3146131</xdr:rowOff>
    </xdr:to>
    <xdr:pic>
      <xdr:nvPicPr>
        <xdr:cNvPr id="24" name="Picture 23"/>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866" y="80146853"/>
          <a:ext cx="3590925" cy="3146131"/>
        </a:xfrm>
        <a:prstGeom prst="rect">
          <a:avLst/>
        </a:prstGeom>
      </xdr:spPr>
    </xdr:pic>
    <xdr:clientData/>
  </xdr:twoCellAnchor>
  <xdr:twoCellAnchor>
    <xdr:from>
      <xdr:col>1</xdr:col>
      <xdr:colOff>2952750</xdr:colOff>
      <xdr:row>173</xdr:row>
      <xdr:rowOff>0</xdr:rowOff>
    </xdr:from>
    <xdr:to>
      <xdr:col>3</xdr:col>
      <xdr:colOff>1552575</xdr:colOff>
      <xdr:row>173</xdr:row>
      <xdr:rowOff>3146131</xdr:rowOff>
    </xdr:to>
    <xdr:pic>
      <xdr:nvPicPr>
        <xdr:cNvPr id="25" name="Picture 24"/>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516678" y="80149232"/>
          <a:ext cx="3171825" cy="3146131"/>
        </a:xfrm>
        <a:prstGeom prst="rect">
          <a:avLst/>
        </a:prstGeom>
      </xdr:spPr>
    </xdr:pic>
    <xdr:clientData/>
  </xdr:twoCellAnchor>
  <xdr:twoCellAnchor>
    <xdr:from>
      <xdr:col>0</xdr:col>
      <xdr:colOff>0</xdr:colOff>
      <xdr:row>175</xdr:row>
      <xdr:rowOff>0</xdr:rowOff>
    </xdr:from>
    <xdr:to>
      <xdr:col>3</xdr:col>
      <xdr:colOff>1552575</xdr:colOff>
      <xdr:row>175</xdr:row>
      <xdr:rowOff>2956097</xdr:rowOff>
    </xdr:to>
    <xdr:pic>
      <xdr:nvPicPr>
        <xdr:cNvPr id="26" name="Picture 25"/>
        <xdr:cNvPicPr>
          <a:picLocks noChangeAspect="1"/>
        </xdr:cNvPicPr>
      </xdr:nvPicPr>
      <xdr:blipFill>
        <a:blip xmlns:r="http://schemas.openxmlformats.org/officeDocument/2006/relationships" r:embed="rId11"/>
        <a:stretch>
          <a:fillRect/>
        </a:stretch>
      </xdr:blipFill>
      <xdr:spPr>
        <a:xfrm>
          <a:off x="41868" y="83329309"/>
          <a:ext cx="6772275" cy="2956097"/>
        </a:xfrm>
        <a:prstGeom prst="rect">
          <a:avLst/>
        </a:prstGeom>
      </xdr:spPr>
    </xdr:pic>
    <xdr:clientData/>
  </xdr:twoCellAnchor>
  <xdr:twoCellAnchor>
    <xdr:from>
      <xdr:col>0</xdr:col>
      <xdr:colOff>0</xdr:colOff>
      <xdr:row>177</xdr:row>
      <xdr:rowOff>0</xdr:rowOff>
    </xdr:from>
    <xdr:to>
      <xdr:col>3</xdr:col>
      <xdr:colOff>1552575</xdr:colOff>
      <xdr:row>177</xdr:row>
      <xdr:rowOff>3345677</xdr:rowOff>
    </xdr:to>
    <xdr:pic>
      <xdr:nvPicPr>
        <xdr:cNvPr id="27" name="Picture 26"/>
        <xdr:cNvPicPr>
          <a:picLocks noChangeAspect="1"/>
        </xdr:cNvPicPr>
      </xdr:nvPicPr>
      <xdr:blipFill>
        <a:blip xmlns:r="http://schemas.openxmlformats.org/officeDocument/2006/relationships" r:embed="rId12"/>
        <a:stretch>
          <a:fillRect/>
        </a:stretch>
      </xdr:blipFill>
      <xdr:spPr>
        <a:xfrm>
          <a:off x="27210" y="86312414"/>
          <a:ext cx="6772275" cy="3345677"/>
        </a:xfrm>
        <a:prstGeom prst="rect">
          <a:avLst/>
        </a:prstGeom>
      </xdr:spPr>
    </xdr:pic>
    <xdr:clientData/>
  </xdr:twoCellAnchor>
  <xdr:twoCellAnchor>
    <xdr:from>
      <xdr:col>0</xdr:col>
      <xdr:colOff>0</xdr:colOff>
      <xdr:row>179</xdr:row>
      <xdr:rowOff>0</xdr:rowOff>
    </xdr:from>
    <xdr:to>
      <xdr:col>3</xdr:col>
      <xdr:colOff>1552575</xdr:colOff>
      <xdr:row>179</xdr:row>
      <xdr:rowOff>2946354</xdr:rowOff>
    </xdr:to>
    <xdr:pic>
      <xdr:nvPicPr>
        <xdr:cNvPr id="28" name="Picture 27"/>
        <xdr:cNvPicPr>
          <a:picLocks noChangeAspect="1"/>
        </xdr:cNvPicPr>
      </xdr:nvPicPr>
      <xdr:blipFill>
        <a:blip xmlns:r="http://schemas.openxmlformats.org/officeDocument/2006/relationships" r:embed="rId13"/>
        <a:stretch>
          <a:fillRect/>
        </a:stretch>
      </xdr:blipFill>
      <xdr:spPr>
        <a:xfrm>
          <a:off x="39187" y="89891412"/>
          <a:ext cx="6772275" cy="2946354"/>
        </a:xfrm>
        <a:prstGeom prst="rect">
          <a:avLst/>
        </a:prstGeom>
      </xdr:spPr>
    </xdr:pic>
    <xdr:clientData/>
  </xdr:twoCellAnchor>
  <xdr:twoCellAnchor>
    <xdr:from>
      <xdr:col>0</xdr:col>
      <xdr:colOff>0</xdr:colOff>
      <xdr:row>181</xdr:row>
      <xdr:rowOff>0</xdr:rowOff>
    </xdr:from>
    <xdr:to>
      <xdr:col>3</xdr:col>
      <xdr:colOff>1552575</xdr:colOff>
      <xdr:row>181</xdr:row>
      <xdr:rowOff>2961368</xdr:rowOff>
    </xdr:to>
    <xdr:pic>
      <xdr:nvPicPr>
        <xdr:cNvPr id="29" name="Picture 28"/>
        <xdr:cNvPicPr>
          <a:picLocks noChangeAspect="1"/>
        </xdr:cNvPicPr>
      </xdr:nvPicPr>
      <xdr:blipFill>
        <a:blip xmlns:r="http://schemas.openxmlformats.org/officeDocument/2006/relationships" r:embed="rId14"/>
        <a:stretch>
          <a:fillRect/>
        </a:stretch>
      </xdr:blipFill>
      <xdr:spPr>
        <a:xfrm>
          <a:off x="38153" y="92869970"/>
          <a:ext cx="6772275" cy="2961368"/>
        </a:xfrm>
        <a:prstGeom prst="rect">
          <a:avLst/>
        </a:prstGeom>
      </xdr:spPr>
    </xdr:pic>
    <xdr:clientData/>
  </xdr:twoCellAnchor>
  <xdr:twoCellAnchor>
    <xdr:from>
      <xdr:col>0</xdr:col>
      <xdr:colOff>0</xdr:colOff>
      <xdr:row>183</xdr:row>
      <xdr:rowOff>0</xdr:rowOff>
    </xdr:from>
    <xdr:to>
      <xdr:col>3</xdr:col>
      <xdr:colOff>1552575</xdr:colOff>
      <xdr:row>183</xdr:row>
      <xdr:rowOff>2945327</xdr:rowOff>
    </xdr:to>
    <xdr:pic>
      <xdr:nvPicPr>
        <xdr:cNvPr id="30" name="Picture 29"/>
        <xdr:cNvPicPr>
          <a:picLocks noChangeAspect="1"/>
        </xdr:cNvPicPr>
      </xdr:nvPicPr>
      <xdr:blipFill>
        <a:blip xmlns:r="http://schemas.openxmlformats.org/officeDocument/2006/relationships" r:embed="rId15"/>
        <a:stretch>
          <a:fillRect/>
        </a:stretch>
      </xdr:blipFill>
      <xdr:spPr>
        <a:xfrm>
          <a:off x="32958" y="95858650"/>
          <a:ext cx="6772275" cy="2945327"/>
        </a:xfrm>
        <a:prstGeom prst="rect">
          <a:avLst/>
        </a:prstGeom>
      </xdr:spPr>
    </xdr:pic>
    <xdr:clientData/>
  </xdr:twoCellAnchor>
  <xdr:twoCellAnchor>
    <xdr:from>
      <xdr:col>0</xdr:col>
      <xdr:colOff>0</xdr:colOff>
      <xdr:row>171</xdr:row>
      <xdr:rowOff>0</xdr:rowOff>
    </xdr:from>
    <xdr:to>
      <xdr:col>3</xdr:col>
      <xdr:colOff>1552575</xdr:colOff>
      <xdr:row>171</xdr:row>
      <xdr:rowOff>2748263</xdr:rowOff>
    </xdr:to>
    <xdr:pic>
      <xdr:nvPicPr>
        <xdr:cNvPr id="31" name="Picture 30"/>
        <xdr:cNvPicPr>
          <a:picLocks noChangeAspect="1"/>
        </xdr:cNvPicPr>
      </xdr:nvPicPr>
      <xdr:blipFill>
        <a:blip xmlns:r="http://schemas.openxmlformats.org/officeDocument/2006/relationships" r:embed="rId16"/>
        <a:stretch>
          <a:fillRect/>
        </a:stretch>
      </xdr:blipFill>
      <xdr:spPr>
        <a:xfrm>
          <a:off x="3521089" y="77559314"/>
          <a:ext cx="6772275" cy="27482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F358"/>
  <sheetViews>
    <sheetView showGridLines="0" tabSelected="1" view="pageBreakPreview" topLeftCell="A103" zoomScale="91" zoomScaleNormal="100" zoomScaleSheetLayoutView="91" workbookViewId="0">
      <selection activeCell="C37" sqref="C37:D37"/>
    </sheetView>
  </sheetViews>
  <sheetFormatPr defaultColWidth="9.140625" defaultRowHeight="15.75" x14ac:dyDescent="0.25"/>
  <cols>
    <col min="1" max="1" width="9.140625" style="61"/>
    <col min="2" max="2" width="43.7109375" style="112" customWidth="1"/>
    <col min="3" max="3" width="23.7109375" style="53" customWidth="1"/>
    <col min="4" max="4" width="22.85546875" style="53" customWidth="1"/>
    <col min="5" max="16384" width="9.140625" style="41"/>
  </cols>
  <sheetData>
    <row r="1" spans="1:4" ht="82.9" customHeight="1" x14ac:dyDescent="0.25">
      <c r="A1" s="220" t="s">
        <v>191</v>
      </c>
      <c r="B1" s="221"/>
      <c r="C1" s="221"/>
      <c r="D1" s="222"/>
    </row>
    <row r="2" spans="1:4" ht="17.25" thickBot="1" x14ac:dyDescent="0.35">
      <c r="A2" s="233" t="s">
        <v>0</v>
      </c>
      <c r="B2" s="234"/>
      <c r="C2" s="228"/>
      <c r="D2" s="229"/>
    </row>
    <row r="3" spans="1:4" ht="31.5" x14ac:dyDescent="0.25">
      <c r="A3" s="42"/>
      <c r="B3" s="43" t="s">
        <v>1</v>
      </c>
      <c r="C3" s="230" t="s">
        <v>192</v>
      </c>
      <c r="D3" s="231"/>
    </row>
    <row r="4" spans="1:4" x14ac:dyDescent="0.25">
      <c r="A4" s="44"/>
      <c r="B4" s="45" t="s">
        <v>2</v>
      </c>
      <c r="C4" s="232">
        <v>46039</v>
      </c>
      <c r="D4" s="210"/>
    </row>
    <row r="5" spans="1:4" x14ac:dyDescent="0.25">
      <c r="A5" s="44"/>
      <c r="B5" s="45" t="s">
        <v>3</v>
      </c>
      <c r="C5" s="232" t="s">
        <v>224</v>
      </c>
      <c r="D5" s="210"/>
    </row>
    <row r="6" spans="1:4" x14ac:dyDescent="0.25">
      <c r="A6" s="44"/>
      <c r="B6" s="45" t="s">
        <v>4</v>
      </c>
      <c r="C6" s="209" t="s">
        <v>227</v>
      </c>
      <c r="D6" s="210"/>
    </row>
    <row r="7" spans="1:4" x14ac:dyDescent="0.25">
      <c r="A7" s="44"/>
      <c r="B7" s="46" t="s">
        <v>5</v>
      </c>
      <c r="C7" s="209" t="s">
        <v>223</v>
      </c>
      <c r="D7" s="210"/>
    </row>
    <row r="8" spans="1:4" ht="32.25" customHeight="1" x14ac:dyDescent="0.25">
      <c r="A8" s="44"/>
      <c r="B8" s="45" t="s">
        <v>135</v>
      </c>
      <c r="C8" s="232">
        <v>46036</v>
      </c>
      <c r="D8" s="210"/>
    </row>
    <row r="9" spans="1:4" ht="31.5" x14ac:dyDescent="0.25">
      <c r="A9" s="44"/>
      <c r="B9" s="45" t="s">
        <v>6</v>
      </c>
      <c r="C9" s="209" t="s">
        <v>228</v>
      </c>
      <c r="D9" s="210"/>
    </row>
    <row r="10" spans="1:4" ht="44.45" customHeight="1" x14ac:dyDescent="0.25">
      <c r="A10" s="44"/>
      <c r="B10" s="45" t="s">
        <v>7</v>
      </c>
      <c r="C10" s="211" t="s">
        <v>229</v>
      </c>
      <c r="D10" s="212"/>
    </row>
    <row r="11" spans="1:4" ht="33.6" customHeight="1" thickBot="1" x14ac:dyDescent="0.3">
      <c r="A11" s="47"/>
      <c r="B11" s="48" t="s">
        <v>8</v>
      </c>
      <c r="C11" s="207" t="s">
        <v>193</v>
      </c>
      <c r="D11" s="208"/>
    </row>
    <row r="12" spans="1:4" ht="16.5" thickBot="1" x14ac:dyDescent="0.3">
      <c r="A12" s="49"/>
      <c r="B12" s="50"/>
      <c r="C12" s="162"/>
      <c r="D12" s="163"/>
    </row>
    <row r="13" spans="1:4" ht="17.25" thickBot="1" x14ac:dyDescent="0.35">
      <c r="A13" s="235" t="s">
        <v>9</v>
      </c>
      <c r="B13" s="190"/>
      <c r="C13" s="189"/>
      <c r="D13" s="190"/>
    </row>
    <row r="14" spans="1:4" ht="18" customHeight="1" x14ac:dyDescent="0.25">
      <c r="A14" s="42">
        <v>2.1</v>
      </c>
      <c r="B14" s="43" t="s">
        <v>10</v>
      </c>
      <c r="C14" s="201" t="s">
        <v>240</v>
      </c>
      <c r="D14" s="236"/>
    </row>
    <row r="15" spans="1:4" ht="18" customHeight="1" x14ac:dyDescent="0.25">
      <c r="A15" s="44">
        <v>2.2000000000000002</v>
      </c>
      <c r="B15" s="45" t="s">
        <v>11</v>
      </c>
      <c r="C15" s="237" t="str">
        <f>C14</f>
        <v>Gudivada Siromani</v>
      </c>
      <c r="D15" s="212"/>
    </row>
    <row r="16" spans="1:4" ht="30" customHeight="1" x14ac:dyDescent="0.25">
      <c r="A16" s="44">
        <v>2.2999999999999998</v>
      </c>
      <c r="B16" s="45" t="s">
        <v>12</v>
      </c>
      <c r="C16" s="211" t="s">
        <v>230</v>
      </c>
      <c r="D16" s="212"/>
    </row>
    <row r="17" spans="1:4" ht="88.15" customHeight="1" x14ac:dyDescent="0.25">
      <c r="A17" s="44">
        <v>2.2999999999999998</v>
      </c>
      <c r="B17" s="46" t="s">
        <v>13</v>
      </c>
      <c r="C17" s="238" t="s">
        <v>223</v>
      </c>
      <c r="D17" s="153"/>
    </row>
    <row r="18" spans="1:4" ht="63" x14ac:dyDescent="0.25">
      <c r="A18" s="44">
        <v>2.4</v>
      </c>
      <c r="B18" s="46" t="s">
        <v>14</v>
      </c>
      <c r="C18" s="152" t="s">
        <v>210</v>
      </c>
      <c r="D18" s="153"/>
    </row>
    <row r="19" spans="1:4" ht="46.9" customHeight="1" x14ac:dyDescent="0.25">
      <c r="A19" s="44">
        <v>2.5</v>
      </c>
      <c r="B19" s="46" t="s">
        <v>15</v>
      </c>
      <c r="C19" s="152" t="s">
        <v>194</v>
      </c>
      <c r="D19" s="153"/>
    </row>
    <row r="20" spans="1:4" ht="60" customHeight="1" x14ac:dyDescent="0.25">
      <c r="A20" s="44">
        <v>2.6</v>
      </c>
      <c r="B20" s="51" t="s">
        <v>16</v>
      </c>
      <c r="C20" s="152" t="s">
        <v>194</v>
      </c>
      <c r="D20" s="153"/>
    </row>
    <row r="21" spans="1:4" ht="47.25" x14ac:dyDescent="0.25">
      <c r="A21" s="44">
        <v>2.7</v>
      </c>
      <c r="B21" s="46" t="s">
        <v>17</v>
      </c>
      <c r="C21" s="152" t="s">
        <v>211</v>
      </c>
      <c r="D21" s="153"/>
    </row>
    <row r="22" spans="1:4" ht="111.75" customHeight="1" x14ac:dyDescent="0.25">
      <c r="A22" s="44">
        <v>2.8</v>
      </c>
      <c r="B22" s="45" t="s">
        <v>18</v>
      </c>
      <c r="C22" s="211" t="s">
        <v>242</v>
      </c>
      <c r="D22" s="212"/>
    </row>
    <row r="23" spans="1:4" ht="109.5" customHeight="1" x14ac:dyDescent="0.25">
      <c r="A23" s="44">
        <v>2.9</v>
      </c>
      <c r="B23" s="45" t="s">
        <v>19</v>
      </c>
      <c r="C23" s="211" t="str">
        <f>C22</f>
        <v>Door. No. 2-29-80 (As per Doc &amp; Tax), Sy. No. 29/1, Asst. No. 520100, 1088021901 (As per Doc), Asst. No. 1086386655(As per Tax), SC. No. 1358, Near Sri Giri Talent School, Mindi Village, Visakhapatnam GVMC, Gajuwaka Mandal, Visakhapatnam District, Andhra Pradesh, Pin-530012.</v>
      </c>
      <c r="D23" s="212"/>
    </row>
    <row r="24" spans="1:4" ht="21" customHeight="1" x14ac:dyDescent="0.25">
      <c r="A24" s="52" t="s">
        <v>136</v>
      </c>
      <c r="B24" s="45" t="s">
        <v>20</v>
      </c>
      <c r="C24" s="209" t="s">
        <v>231</v>
      </c>
      <c r="D24" s="210"/>
    </row>
    <row r="25" spans="1:4" ht="16.5" customHeight="1" x14ac:dyDescent="0.25">
      <c r="A25" s="44">
        <v>2.11</v>
      </c>
      <c r="B25" s="45" t="s">
        <v>21</v>
      </c>
      <c r="C25" s="209" t="s">
        <v>232</v>
      </c>
      <c r="D25" s="210"/>
    </row>
    <row r="26" spans="1:4" ht="19.5" customHeight="1" x14ac:dyDescent="0.25">
      <c r="A26" s="44">
        <v>2.12</v>
      </c>
      <c r="B26" s="45" t="s">
        <v>22</v>
      </c>
      <c r="C26" s="209" t="s">
        <v>195</v>
      </c>
      <c r="D26" s="210"/>
    </row>
    <row r="27" spans="1:4" ht="16.5" thickBot="1" x14ac:dyDescent="0.3">
      <c r="A27" s="47">
        <v>2.13</v>
      </c>
      <c r="B27" s="48" t="s">
        <v>23</v>
      </c>
      <c r="C27" s="207">
        <v>530012</v>
      </c>
      <c r="D27" s="208"/>
    </row>
    <row r="28" spans="1:4" ht="16.5" thickBot="1" x14ac:dyDescent="0.3">
      <c r="A28" s="49"/>
      <c r="B28" s="50"/>
    </row>
    <row r="29" spans="1:4" ht="17.25" thickBot="1" x14ac:dyDescent="0.35">
      <c r="A29" s="214" t="s">
        <v>134</v>
      </c>
      <c r="B29" s="215"/>
      <c r="C29" s="189"/>
      <c r="D29" s="190"/>
    </row>
    <row r="30" spans="1:4" s="119" customFormat="1" ht="32.450000000000003" customHeight="1" x14ac:dyDescent="0.25">
      <c r="A30" s="120"/>
      <c r="B30" s="55" t="s">
        <v>204</v>
      </c>
      <c r="C30" s="56" t="s">
        <v>24</v>
      </c>
      <c r="D30" s="57" t="s">
        <v>25</v>
      </c>
    </row>
    <row r="31" spans="1:4" ht="63" x14ac:dyDescent="0.25">
      <c r="A31" s="58">
        <v>3.1</v>
      </c>
      <c r="B31" s="59" t="s">
        <v>203</v>
      </c>
      <c r="C31" s="123" t="s">
        <v>236</v>
      </c>
      <c r="D31" s="129" t="s">
        <v>245</v>
      </c>
    </row>
    <row r="32" spans="1:4" ht="16.5" x14ac:dyDescent="0.25">
      <c r="A32" s="58">
        <v>3.2</v>
      </c>
      <c r="B32" s="59" t="s">
        <v>26</v>
      </c>
      <c r="C32" s="121" t="s">
        <v>233</v>
      </c>
      <c r="D32" s="128" t="s">
        <v>243</v>
      </c>
    </row>
    <row r="33" spans="1:4" ht="31.5" x14ac:dyDescent="0.25">
      <c r="A33" s="58">
        <v>3.3</v>
      </c>
      <c r="B33" s="59" t="s">
        <v>27</v>
      </c>
      <c r="C33" s="125" t="s">
        <v>235</v>
      </c>
      <c r="D33" s="127" t="s">
        <v>244</v>
      </c>
    </row>
    <row r="34" spans="1:4" ht="31.5" x14ac:dyDescent="0.25">
      <c r="A34" s="60">
        <v>3.4</v>
      </c>
      <c r="B34" s="59" t="s">
        <v>28</v>
      </c>
      <c r="C34" s="125" t="s">
        <v>234</v>
      </c>
      <c r="D34" s="127" t="s">
        <v>233</v>
      </c>
    </row>
    <row r="35" spans="1:4" s="66" customFormat="1" ht="78.75" x14ac:dyDescent="0.25">
      <c r="A35" s="62">
        <v>3.5</v>
      </c>
      <c r="B35" s="63" t="s">
        <v>29</v>
      </c>
      <c r="C35" s="64" t="s">
        <v>164</v>
      </c>
      <c r="D35" s="65" t="s">
        <v>164</v>
      </c>
    </row>
    <row r="36" spans="1:4" x14ac:dyDescent="0.25">
      <c r="A36" s="44">
        <v>3.6</v>
      </c>
      <c r="B36" s="45" t="s">
        <v>30</v>
      </c>
      <c r="C36" s="209" t="s">
        <v>196</v>
      </c>
      <c r="D36" s="210"/>
    </row>
    <row r="37" spans="1:4" ht="16.5" x14ac:dyDescent="0.3">
      <c r="A37" s="44">
        <v>3.7</v>
      </c>
      <c r="B37" s="67" t="s">
        <v>31</v>
      </c>
      <c r="C37" s="209" t="s">
        <v>237</v>
      </c>
      <c r="D37" s="210"/>
    </row>
    <row r="38" spans="1:4" ht="32.25" thickBot="1" x14ac:dyDescent="0.3">
      <c r="A38" s="44">
        <v>3.8</v>
      </c>
      <c r="B38" s="45" t="s">
        <v>32</v>
      </c>
      <c r="C38" s="162" t="s">
        <v>238</v>
      </c>
      <c r="D38" s="163"/>
    </row>
    <row r="39" spans="1:4" ht="17.25" thickBot="1" x14ac:dyDescent="0.3">
      <c r="A39" s="44"/>
      <c r="B39" s="68"/>
      <c r="C39" s="69" t="s">
        <v>33</v>
      </c>
      <c r="D39" s="70" t="s">
        <v>34</v>
      </c>
    </row>
    <row r="40" spans="1:4" ht="33.6" customHeight="1" x14ac:dyDescent="0.25">
      <c r="A40" s="44">
        <v>3.9</v>
      </c>
      <c r="B40" s="45" t="s">
        <v>35</v>
      </c>
      <c r="C40" s="71" t="s">
        <v>217</v>
      </c>
      <c r="D40" s="72" t="s">
        <v>212</v>
      </c>
    </row>
    <row r="41" spans="1:4" ht="31.5" x14ac:dyDescent="0.25">
      <c r="A41" s="52" t="s">
        <v>137</v>
      </c>
      <c r="B41" s="45" t="s">
        <v>36</v>
      </c>
      <c r="C41" s="73" t="s">
        <v>213</v>
      </c>
      <c r="D41" s="74" t="s">
        <v>214</v>
      </c>
    </row>
    <row r="42" spans="1:4" ht="40.15" customHeight="1" x14ac:dyDescent="0.25">
      <c r="A42" s="44">
        <v>3.11</v>
      </c>
      <c r="B42" s="45" t="s">
        <v>37</v>
      </c>
      <c r="C42" s="73" t="s">
        <v>225</v>
      </c>
      <c r="D42" s="74" t="s">
        <v>218</v>
      </c>
    </row>
    <row r="43" spans="1:4" ht="30" customHeight="1" x14ac:dyDescent="0.25">
      <c r="A43" s="44">
        <v>3.12</v>
      </c>
      <c r="B43" s="45" t="s">
        <v>38</v>
      </c>
      <c r="C43" s="73" t="s">
        <v>219</v>
      </c>
      <c r="D43" s="74" t="s">
        <v>214</v>
      </c>
    </row>
    <row r="44" spans="1:4" ht="46.15" customHeight="1" x14ac:dyDescent="0.25">
      <c r="A44" s="44">
        <v>3.13</v>
      </c>
      <c r="B44" s="45" t="s">
        <v>39</v>
      </c>
      <c r="C44" s="73" t="s">
        <v>220</v>
      </c>
      <c r="D44" s="74" t="s">
        <v>215</v>
      </c>
    </row>
    <row r="45" spans="1:4" ht="31.5" x14ac:dyDescent="0.25">
      <c r="A45" s="44">
        <v>3.14</v>
      </c>
      <c r="B45" s="45" t="s">
        <v>40</v>
      </c>
      <c r="C45" s="73" t="s">
        <v>221</v>
      </c>
      <c r="D45" s="74" t="s">
        <v>215</v>
      </c>
    </row>
    <row r="46" spans="1:4" ht="32.25" thickBot="1" x14ac:dyDescent="0.3">
      <c r="A46" s="47">
        <v>3.15</v>
      </c>
      <c r="B46" s="48" t="s">
        <v>41</v>
      </c>
      <c r="C46" s="75" t="s">
        <v>222</v>
      </c>
      <c r="D46" s="76" t="s">
        <v>216</v>
      </c>
    </row>
    <row r="47" spans="1:4" ht="16.5" thickBot="1" x14ac:dyDescent="0.3">
      <c r="A47" s="49"/>
      <c r="B47" s="50"/>
      <c r="C47" s="162"/>
      <c r="D47" s="163"/>
    </row>
    <row r="48" spans="1:4" ht="17.25" thickBot="1" x14ac:dyDescent="0.35">
      <c r="A48" s="214" t="s">
        <v>42</v>
      </c>
      <c r="B48" s="215"/>
      <c r="C48" s="189"/>
      <c r="D48" s="190"/>
    </row>
    <row r="49" spans="1:6" ht="147.75" customHeight="1" x14ac:dyDescent="0.25">
      <c r="A49" s="54">
        <v>4.0999999999999996</v>
      </c>
      <c r="B49" s="77" t="s">
        <v>133</v>
      </c>
      <c r="C49" s="201" t="s">
        <v>241</v>
      </c>
      <c r="D49" s="202"/>
    </row>
    <row r="50" spans="1:6" ht="31.5" x14ac:dyDescent="0.25">
      <c r="A50" s="44">
        <v>4.2</v>
      </c>
      <c r="B50" s="78" t="s">
        <v>43</v>
      </c>
      <c r="C50" s="156" t="s">
        <v>163</v>
      </c>
      <c r="D50" s="157"/>
    </row>
    <row r="51" spans="1:6" ht="31.9" customHeight="1" x14ac:dyDescent="0.25">
      <c r="A51" s="44">
        <v>4.3</v>
      </c>
      <c r="B51" s="78" t="s">
        <v>44</v>
      </c>
      <c r="C51" s="195" t="s">
        <v>163</v>
      </c>
      <c r="D51" s="203"/>
    </row>
    <row r="52" spans="1:6" ht="31.5" x14ac:dyDescent="0.25">
      <c r="A52" s="44">
        <v>4.4000000000000004</v>
      </c>
      <c r="B52" s="78" t="s">
        <v>45</v>
      </c>
      <c r="C52" s="156" t="s">
        <v>163</v>
      </c>
      <c r="D52" s="157"/>
    </row>
    <row r="53" spans="1:6" ht="31.5" x14ac:dyDescent="0.25">
      <c r="A53" s="44">
        <v>4.5</v>
      </c>
      <c r="B53" s="78" t="s">
        <v>46</v>
      </c>
      <c r="C53" s="195" t="s">
        <v>163</v>
      </c>
      <c r="D53" s="203"/>
    </row>
    <row r="54" spans="1:6" ht="16.5" thickBot="1" x14ac:dyDescent="0.3">
      <c r="A54" s="47">
        <v>4.5999999999999996</v>
      </c>
      <c r="B54" s="79" t="s">
        <v>47</v>
      </c>
      <c r="C54" s="156" t="s">
        <v>163</v>
      </c>
      <c r="D54" s="157"/>
    </row>
    <row r="55" spans="1:6" x14ac:dyDescent="0.25">
      <c r="A55" s="49"/>
      <c r="B55" s="50"/>
      <c r="C55" s="162"/>
      <c r="D55" s="163"/>
    </row>
    <row r="56" spans="1:6" ht="16.5" x14ac:dyDescent="0.3">
      <c r="A56" s="213" t="s">
        <v>48</v>
      </c>
      <c r="B56" s="213"/>
      <c r="C56" s="200"/>
      <c r="D56" s="200"/>
    </row>
    <row r="57" spans="1:6" ht="31.5" x14ac:dyDescent="0.25">
      <c r="A57" s="80">
        <v>5.0999999999999996</v>
      </c>
      <c r="B57" s="81" t="s">
        <v>49</v>
      </c>
      <c r="C57" s="156" t="s">
        <v>163</v>
      </c>
      <c r="D57" s="156"/>
    </row>
    <row r="58" spans="1:6" ht="58.15" customHeight="1" x14ac:dyDescent="0.25">
      <c r="A58" s="80">
        <v>5.2</v>
      </c>
      <c r="B58" s="81" t="s">
        <v>138</v>
      </c>
      <c r="C58" s="156" t="s">
        <v>163</v>
      </c>
      <c r="D58" s="156"/>
      <c r="F58" s="41" t="s">
        <v>206</v>
      </c>
    </row>
    <row r="59" spans="1:6" ht="45.6" customHeight="1" x14ac:dyDescent="0.25">
      <c r="A59" s="80">
        <v>5.3</v>
      </c>
      <c r="B59" s="81" t="s">
        <v>50</v>
      </c>
      <c r="C59" s="204" t="s">
        <v>193</v>
      </c>
      <c r="D59" s="205"/>
      <c r="F59" s="41" t="s">
        <v>239</v>
      </c>
    </row>
    <row r="60" spans="1:6" ht="50.45" customHeight="1" x14ac:dyDescent="0.25">
      <c r="A60" s="80">
        <v>5.4</v>
      </c>
      <c r="B60" s="81" t="s">
        <v>51</v>
      </c>
      <c r="C60" s="206" t="s">
        <v>239</v>
      </c>
      <c r="D60" s="206"/>
    </row>
    <row r="61" spans="1:6" ht="30" customHeight="1" x14ac:dyDescent="0.25">
      <c r="A61" s="80">
        <v>5.5</v>
      </c>
      <c r="B61" s="81" t="s">
        <v>52</v>
      </c>
      <c r="C61" s="156" t="s">
        <v>193</v>
      </c>
      <c r="D61" s="156"/>
      <c r="F61" s="41" t="s">
        <v>226</v>
      </c>
    </row>
    <row r="62" spans="1:6" ht="31.5" x14ac:dyDescent="0.25">
      <c r="A62" s="80">
        <v>5.6</v>
      </c>
      <c r="B62" s="81" t="s">
        <v>53</v>
      </c>
      <c r="C62" s="156" t="s">
        <v>163</v>
      </c>
      <c r="D62" s="156"/>
    </row>
    <row r="63" spans="1:6" ht="46.15" customHeight="1" x14ac:dyDescent="0.25">
      <c r="A63" s="80">
        <v>5.7</v>
      </c>
      <c r="B63" s="81" t="s">
        <v>54</v>
      </c>
      <c r="C63" s="156" t="s">
        <v>163</v>
      </c>
      <c r="D63" s="156"/>
    </row>
    <row r="64" spans="1:6" s="66" customFormat="1" ht="46.9" customHeight="1" x14ac:dyDescent="0.25">
      <c r="A64" s="82">
        <v>5.8</v>
      </c>
      <c r="B64" s="83" t="s">
        <v>55</v>
      </c>
      <c r="C64" s="156" t="s">
        <v>163</v>
      </c>
      <c r="D64" s="156"/>
    </row>
    <row r="65" spans="1:4" ht="31.5" x14ac:dyDescent="0.25">
      <c r="A65" s="80">
        <v>5.9</v>
      </c>
      <c r="B65" s="81" t="s">
        <v>56</v>
      </c>
      <c r="C65" s="195" t="s">
        <v>163</v>
      </c>
      <c r="D65" s="195"/>
    </row>
    <row r="66" spans="1:4" ht="31.5" x14ac:dyDescent="0.25">
      <c r="A66" s="80"/>
      <c r="B66" s="81" t="s">
        <v>57</v>
      </c>
      <c r="C66" s="156" t="s">
        <v>163</v>
      </c>
      <c r="D66" s="156"/>
    </row>
    <row r="67" spans="1:4" ht="31.5" x14ac:dyDescent="0.25">
      <c r="A67" s="84" t="s">
        <v>139</v>
      </c>
      <c r="B67" s="81" t="s">
        <v>58</v>
      </c>
      <c r="C67" s="156" t="s">
        <v>163</v>
      </c>
      <c r="D67" s="156"/>
    </row>
    <row r="68" spans="1:4" x14ac:dyDescent="0.25">
      <c r="A68" s="80"/>
      <c r="B68" s="81" t="s">
        <v>59</v>
      </c>
      <c r="C68" s="156" t="s">
        <v>163</v>
      </c>
      <c r="D68" s="156"/>
    </row>
    <row r="69" spans="1:4" ht="47.25" x14ac:dyDescent="0.25">
      <c r="A69" s="80">
        <v>5.1100000000000003</v>
      </c>
      <c r="B69" s="81" t="s">
        <v>60</v>
      </c>
      <c r="C69" s="216" t="s">
        <v>197</v>
      </c>
      <c r="D69" s="195"/>
    </row>
    <row r="70" spans="1:4" ht="47.25" x14ac:dyDescent="0.25">
      <c r="A70" s="80">
        <v>5.12</v>
      </c>
      <c r="B70" s="81" t="s">
        <v>61</v>
      </c>
      <c r="C70" s="217" t="s">
        <v>246</v>
      </c>
      <c r="D70" s="218"/>
    </row>
    <row r="71" spans="1:4" ht="31.5" x14ac:dyDescent="0.25">
      <c r="A71" s="80">
        <v>5.13</v>
      </c>
      <c r="B71" s="81" t="s">
        <v>62</v>
      </c>
      <c r="C71" s="219" t="str">
        <f>C70</f>
        <v>8 Ft CC Road on East Side</v>
      </c>
      <c r="D71" s="218"/>
    </row>
    <row r="72" spans="1:4" ht="47.25" x14ac:dyDescent="0.25">
      <c r="A72" s="80">
        <v>5.14</v>
      </c>
      <c r="B72" s="81" t="s">
        <v>63</v>
      </c>
      <c r="C72" s="156" t="s">
        <v>163</v>
      </c>
      <c r="D72" s="156"/>
    </row>
    <row r="73" spans="1:4" ht="31.5" x14ac:dyDescent="0.25">
      <c r="A73" s="80">
        <v>5.15</v>
      </c>
      <c r="B73" s="81" t="s">
        <v>64</v>
      </c>
      <c r="C73" s="156" t="s">
        <v>163</v>
      </c>
      <c r="D73" s="156"/>
    </row>
    <row r="74" spans="1:4" ht="78.75" x14ac:dyDescent="0.25">
      <c r="A74" s="80">
        <v>5.16</v>
      </c>
      <c r="B74" s="81" t="s">
        <v>65</v>
      </c>
      <c r="C74" s="156" t="s">
        <v>163</v>
      </c>
      <c r="D74" s="156"/>
    </row>
    <row r="75" spans="1:4" ht="47.25" x14ac:dyDescent="0.25">
      <c r="A75" s="80">
        <v>5.17</v>
      </c>
      <c r="B75" s="81" t="s">
        <v>66</v>
      </c>
      <c r="C75" s="195" t="s">
        <v>163</v>
      </c>
      <c r="D75" s="195"/>
    </row>
    <row r="76" spans="1:4" ht="31.5" x14ac:dyDescent="0.25">
      <c r="A76" s="80">
        <v>5.18</v>
      </c>
      <c r="B76" s="81" t="s">
        <v>67</v>
      </c>
      <c r="C76" s="156" t="s">
        <v>163</v>
      </c>
      <c r="D76" s="156"/>
    </row>
    <row r="77" spans="1:4" ht="33.75" customHeight="1" x14ac:dyDescent="0.25">
      <c r="A77" s="80">
        <v>5.19</v>
      </c>
      <c r="B77" s="81" t="s">
        <v>68</v>
      </c>
      <c r="C77" s="198" t="s">
        <v>247</v>
      </c>
      <c r="D77" s="198"/>
    </row>
    <row r="78" spans="1:4" ht="73.150000000000006" customHeight="1" x14ac:dyDescent="0.25">
      <c r="A78" s="84" t="s">
        <v>140</v>
      </c>
      <c r="B78" s="81" t="s">
        <v>69</v>
      </c>
      <c r="C78" s="195" t="s">
        <v>163</v>
      </c>
      <c r="D78" s="195"/>
    </row>
    <row r="79" spans="1:4" ht="60.6" customHeight="1" x14ac:dyDescent="0.25">
      <c r="A79" s="80">
        <v>5.21</v>
      </c>
      <c r="B79" s="81" t="s">
        <v>70</v>
      </c>
      <c r="C79" s="195" t="s">
        <v>163</v>
      </c>
      <c r="D79" s="195"/>
    </row>
    <row r="80" spans="1:4" ht="58.9" customHeight="1" x14ac:dyDescent="0.25">
      <c r="A80" s="80">
        <v>5.22</v>
      </c>
      <c r="B80" s="81" t="s">
        <v>71</v>
      </c>
      <c r="C80" s="195" t="s">
        <v>163</v>
      </c>
      <c r="D80" s="195"/>
    </row>
    <row r="81" spans="1:4" ht="59.45" customHeight="1" x14ac:dyDescent="0.25">
      <c r="A81" s="80">
        <v>5.23</v>
      </c>
      <c r="B81" s="81" t="s">
        <v>72</v>
      </c>
      <c r="C81" s="195" t="s">
        <v>163</v>
      </c>
      <c r="D81" s="195"/>
    </row>
    <row r="82" spans="1:4" ht="59.45" customHeight="1" x14ac:dyDescent="0.25">
      <c r="A82" s="80">
        <v>5.24</v>
      </c>
      <c r="B82" s="81" t="s">
        <v>73</v>
      </c>
      <c r="C82" s="195" t="s">
        <v>163</v>
      </c>
      <c r="D82" s="195"/>
    </row>
    <row r="83" spans="1:4" ht="29.25" customHeight="1" x14ac:dyDescent="0.25">
      <c r="A83" s="80">
        <v>5.25</v>
      </c>
      <c r="B83" s="81" t="s">
        <v>74</v>
      </c>
      <c r="C83" s="195" t="s">
        <v>163</v>
      </c>
      <c r="D83" s="195"/>
    </row>
    <row r="84" spans="1:4" ht="75" customHeight="1" x14ac:dyDescent="0.25">
      <c r="A84" s="80">
        <v>5.26</v>
      </c>
      <c r="B84" s="81" t="s">
        <v>75</v>
      </c>
      <c r="C84" s="195" t="s">
        <v>163</v>
      </c>
      <c r="D84" s="195"/>
    </row>
    <row r="85" spans="1:4" ht="18.75" customHeight="1" x14ac:dyDescent="0.25">
      <c r="A85" s="80"/>
      <c r="B85" s="81" t="s">
        <v>76</v>
      </c>
      <c r="C85" s="195" t="s">
        <v>163</v>
      </c>
      <c r="D85" s="195"/>
    </row>
    <row r="86" spans="1:4" ht="100.5" customHeight="1" x14ac:dyDescent="0.3">
      <c r="A86" s="80">
        <v>5.27</v>
      </c>
      <c r="B86" s="85" t="s">
        <v>77</v>
      </c>
      <c r="C86" s="195" t="s">
        <v>194</v>
      </c>
      <c r="D86" s="195"/>
    </row>
    <row r="87" spans="1:4" ht="77.45" customHeight="1" x14ac:dyDescent="0.25">
      <c r="A87" s="80">
        <v>5.28</v>
      </c>
      <c r="B87" s="81" t="s">
        <v>78</v>
      </c>
      <c r="C87" s="198" t="s">
        <v>163</v>
      </c>
      <c r="D87" s="198"/>
    </row>
    <row r="88" spans="1:4" ht="66" x14ac:dyDescent="0.25">
      <c r="A88" s="80">
        <v>5.29</v>
      </c>
      <c r="B88" s="86" t="s">
        <v>79</v>
      </c>
      <c r="C88" s="195" t="s">
        <v>164</v>
      </c>
      <c r="D88" s="195"/>
    </row>
    <row r="89" spans="1:4" ht="33" x14ac:dyDescent="0.25">
      <c r="A89" s="84" t="s">
        <v>141</v>
      </c>
      <c r="B89" s="87" t="s">
        <v>80</v>
      </c>
      <c r="C89" s="199" t="s">
        <v>163</v>
      </c>
      <c r="D89" s="199"/>
    </row>
    <row r="90" spans="1:4" x14ac:dyDescent="0.25">
      <c r="A90" s="80"/>
      <c r="B90" s="81"/>
      <c r="C90" s="156" t="s">
        <v>163</v>
      </c>
      <c r="D90" s="156"/>
    </row>
    <row r="91" spans="1:4" ht="16.5" x14ac:dyDescent="0.3">
      <c r="A91" s="213" t="s">
        <v>81</v>
      </c>
      <c r="B91" s="213"/>
      <c r="C91" s="200"/>
      <c r="D91" s="200"/>
    </row>
    <row r="92" spans="1:4" ht="31.5" x14ac:dyDescent="0.25">
      <c r="A92" s="80">
        <v>6.1</v>
      </c>
      <c r="B92" s="81" t="s">
        <v>82</v>
      </c>
      <c r="C92" s="156" t="s">
        <v>164</v>
      </c>
      <c r="D92" s="156"/>
    </row>
    <row r="93" spans="1:4" x14ac:dyDescent="0.25">
      <c r="A93" s="80">
        <v>6.2</v>
      </c>
      <c r="B93" s="81" t="s">
        <v>83</v>
      </c>
      <c r="C93" s="195" t="s">
        <v>198</v>
      </c>
      <c r="D93" s="195"/>
    </row>
    <row r="94" spans="1:4" x14ac:dyDescent="0.25">
      <c r="A94" s="80">
        <v>6.3</v>
      </c>
      <c r="B94" s="81" t="s">
        <v>84</v>
      </c>
      <c r="C94" s="195" t="s">
        <v>163</v>
      </c>
      <c r="D94" s="195"/>
    </row>
    <row r="95" spans="1:4" ht="28.9" customHeight="1" x14ac:dyDescent="0.25">
      <c r="A95" s="80">
        <v>6.4</v>
      </c>
      <c r="B95" s="81" t="s">
        <v>143</v>
      </c>
      <c r="C95" s="196">
        <v>506</v>
      </c>
      <c r="D95" s="196"/>
    </row>
    <row r="96" spans="1:4" ht="28.9" customHeight="1" x14ac:dyDescent="0.25">
      <c r="A96" s="80">
        <v>6.5</v>
      </c>
      <c r="B96" s="81" t="s">
        <v>142</v>
      </c>
      <c r="C96" s="197">
        <v>1666</v>
      </c>
      <c r="D96" s="197"/>
    </row>
    <row r="97" spans="1:4" ht="16.5" thickBot="1" x14ac:dyDescent="0.3">
      <c r="A97" s="49"/>
      <c r="B97" s="50"/>
      <c r="C97" s="162"/>
      <c r="D97" s="163"/>
    </row>
    <row r="98" spans="1:4" ht="17.25" thickBot="1" x14ac:dyDescent="0.35">
      <c r="A98" s="214" t="s">
        <v>85</v>
      </c>
      <c r="B98" s="215"/>
      <c r="C98" s="189"/>
      <c r="D98" s="190"/>
    </row>
    <row r="99" spans="1:4" ht="31.5" x14ac:dyDescent="0.25">
      <c r="A99" s="54">
        <v>7.1</v>
      </c>
      <c r="B99" s="77" t="s">
        <v>86</v>
      </c>
      <c r="C99" s="152" t="s">
        <v>163</v>
      </c>
      <c r="D99" s="153"/>
    </row>
    <row r="100" spans="1:4" x14ac:dyDescent="0.25">
      <c r="A100" s="44">
        <v>7.2</v>
      </c>
      <c r="B100" s="78" t="s">
        <v>87</v>
      </c>
      <c r="C100" s="152" t="s">
        <v>248</v>
      </c>
      <c r="D100" s="153"/>
    </row>
    <row r="101" spans="1:4" x14ac:dyDescent="0.25">
      <c r="A101" s="44">
        <v>7.3</v>
      </c>
      <c r="B101" s="78" t="s">
        <v>88</v>
      </c>
      <c r="C101" s="152">
        <v>2</v>
      </c>
      <c r="D101" s="153"/>
    </row>
    <row r="102" spans="1:4" x14ac:dyDescent="0.25">
      <c r="A102" s="44">
        <v>7.4</v>
      </c>
      <c r="B102" s="78" t="s">
        <v>89</v>
      </c>
      <c r="C102" s="152">
        <v>0</v>
      </c>
      <c r="D102" s="153"/>
    </row>
    <row r="103" spans="1:4" x14ac:dyDescent="0.25">
      <c r="A103" s="44">
        <v>7.5</v>
      </c>
      <c r="B103" s="78" t="s">
        <v>90</v>
      </c>
      <c r="C103" s="152" t="s">
        <v>248</v>
      </c>
      <c r="D103" s="153"/>
    </row>
    <row r="104" spans="1:4" x14ac:dyDescent="0.25">
      <c r="A104" s="44">
        <v>7.6</v>
      </c>
      <c r="B104" s="78" t="s">
        <v>91</v>
      </c>
      <c r="C104" s="152" t="s">
        <v>199</v>
      </c>
      <c r="D104" s="153"/>
    </row>
    <row r="105" spans="1:4" x14ac:dyDescent="0.25">
      <c r="A105" s="44">
        <v>7.7</v>
      </c>
      <c r="B105" s="78" t="s">
        <v>92</v>
      </c>
      <c r="C105" s="186">
        <v>1</v>
      </c>
      <c r="D105" s="153"/>
    </row>
    <row r="106" spans="1:4" x14ac:dyDescent="0.25">
      <c r="A106" s="44">
        <v>7.8</v>
      </c>
      <c r="B106" s="78" t="s">
        <v>93</v>
      </c>
      <c r="C106" s="152">
        <v>2005</v>
      </c>
      <c r="D106" s="153"/>
    </row>
    <row r="107" spans="1:4" ht="31.5" x14ac:dyDescent="0.25">
      <c r="A107" s="44">
        <v>7.9</v>
      </c>
      <c r="B107" s="78" t="s">
        <v>144</v>
      </c>
      <c r="C107" s="191" t="s">
        <v>249</v>
      </c>
      <c r="D107" s="192"/>
    </row>
    <row r="108" spans="1:4" x14ac:dyDescent="0.25">
      <c r="A108" s="52" t="s">
        <v>145</v>
      </c>
      <c r="B108" s="78" t="s">
        <v>94</v>
      </c>
      <c r="C108" s="193">
        <v>40</v>
      </c>
      <c r="D108" s="194"/>
    </row>
    <row r="109" spans="1:4" ht="31.5" x14ac:dyDescent="0.25">
      <c r="A109" s="44">
        <v>7.11</v>
      </c>
      <c r="B109" s="78" t="s">
        <v>95</v>
      </c>
      <c r="C109" s="152" t="s">
        <v>200</v>
      </c>
      <c r="D109" s="153"/>
    </row>
    <row r="110" spans="1:4" x14ac:dyDescent="0.25">
      <c r="A110" s="44">
        <v>7.12</v>
      </c>
      <c r="B110" s="78" t="s">
        <v>96</v>
      </c>
      <c r="C110" s="152" t="s">
        <v>200</v>
      </c>
      <c r="D110" s="153"/>
    </row>
    <row r="111" spans="1:4" ht="31.5" x14ac:dyDescent="0.25">
      <c r="A111" s="44">
        <v>7.13</v>
      </c>
      <c r="B111" s="78" t="s">
        <v>97</v>
      </c>
      <c r="C111" s="186">
        <v>1</v>
      </c>
      <c r="D111" s="153"/>
    </row>
    <row r="112" spans="1:4" x14ac:dyDescent="0.25">
      <c r="A112" s="44">
        <v>7.14</v>
      </c>
      <c r="B112" s="78" t="s">
        <v>98</v>
      </c>
      <c r="C112" s="152" t="s">
        <v>163</v>
      </c>
      <c r="D112" s="153"/>
    </row>
    <row r="113" spans="1:5" ht="16.5" thickBot="1" x14ac:dyDescent="0.3">
      <c r="A113" s="47">
        <v>7.15</v>
      </c>
      <c r="B113" s="79" t="s">
        <v>99</v>
      </c>
      <c r="C113" s="187" t="s">
        <v>163</v>
      </c>
      <c r="D113" s="188"/>
    </row>
    <row r="114" spans="1:5" ht="16.5" thickBot="1" x14ac:dyDescent="0.3">
      <c r="A114" s="49"/>
      <c r="B114" s="50"/>
      <c r="C114" s="162"/>
      <c r="D114" s="163"/>
    </row>
    <row r="115" spans="1:5" ht="17.25" thickBot="1" x14ac:dyDescent="0.35">
      <c r="A115" s="214" t="s">
        <v>100</v>
      </c>
      <c r="B115" s="215"/>
      <c r="C115" s="189"/>
      <c r="D115" s="190"/>
    </row>
    <row r="116" spans="1:5" ht="33" x14ac:dyDescent="0.3">
      <c r="A116" s="54">
        <v>8.1</v>
      </c>
      <c r="B116" s="88" t="s">
        <v>101</v>
      </c>
      <c r="C116" s="179" t="s">
        <v>250</v>
      </c>
      <c r="D116" s="180"/>
    </row>
    <row r="117" spans="1:5" ht="33" customHeight="1" x14ac:dyDescent="0.3">
      <c r="A117" s="44">
        <v>8.1999999999999993</v>
      </c>
      <c r="B117" s="89" t="s">
        <v>102</v>
      </c>
      <c r="C117" s="152" t="s">
        <v>163</v>
      </c>
      <c r="D117" s="153"/>
    </row>
    <row r="118" spans="1:5" ht="31.15" customHeight="1" x14ac:dyDescent="0.3">
      <c r="A118" s="44">
        <v>8.3000000000000007</v>
      </c>
      <c r="B118" s="89" t="s">
        <v>103</v>
      </c>
      <c r="C118" s="179">
        <v>56.25</v>
      </c>
      <c r="D118" s="180"/>
    </row>
    <row r="119" spans="1:5" ht="33" x14ac:dyDescent="0.3">
      <c r="A119" s="90" t="s">
        <v>146</v>
      </c>
      <c r="B119" s="89" t="s">
        <v>149</v>
      </c>
      <c r="C119" s="179">
        <v>56.25</v>
      </c>
      <c r="D119" s="180"/>
    </row>
    <row r="120" spans="1:5" ht="66" x14ac:dyDescent="0.3">
      <c r="A120" s="44"/>
      <c r="B120" s="89" t="s">
        <v>105</v>
      </c>
      <c r="C120" s="176">
        <v>23000</v>
      </c>
      <c r="D120" s="181"/>
    </row>
    <row r="121" spans="1:5" ht="33" customHeight="1" x14ac:dyDescent="0.3">
      <c r="A121" s="44"/>
      <c r="B121" s="89" t="s">
        <v>106</v>
      </c>
      <c r="C121" s="182">
        <v>0</v>
      </c>
      <c r="D121" s="183"/>
    </row>
    <row r="122" spans="1:5" ht="31.5" x14ac:dyDescent="0.25">
      <c r="A122" s="44"/>
      <c r="B122" s="78" t="s">
        <v>107</v>
      </c>
      <c r="C122" s="184">
        <v>0</v>
      </c>
      <c r="D122" s="185"/>
    </row>
    <row r="123" spans="1:5" ht="32.25" x14ac:dyDescent="0.3">
      <c r="A123" s="90" t="s">
        <v>147</v>
      </c>
      <c r="B123" s="78" t="s">
        <v>190</v>
      </c>
      <c r="C123" s="177">
        <v>23000</v>
      </c>
      <c r="D123" s="178"/>
    </row>
    <row r="124" spans="1:5" ht="16.5" x14ac:dyDescent="0.3">
      <c r="A124" s="90" t="s">
        <v>148</v>
      </c>
      <c r="B124" s="89" t="s">
        <v>150</v>
      </c>
      <c r="C124" s="158">
        <f>C119*C123</f>
        <v>1293750</v>
      </c>
      <c r="D124" s="159"/>
    </row>
    <row r="125" spans="1:5" ht="31.5" x14ac:dyDescent="0.25">
      <c r="A125" s="44">
        <v>8.5</v>
      </c>
      <c r="B125" s="91" t="s">
        <v>108</v>
      </c>
      <c r="C125" s="156" t="s">
        <v>163</v>
      </c>
      <c r="D125" s="157"/>
      <c r="E125" s="41" t="s">
        <v>207</v>
      </c>
    </row>
    <row r="126" spans="1:5" ht="32.25" thickBot="1" x14ac:dyDescent="0.3">
      <c r="A126" s="44">
        <v>8.6</v>
      </c>
      <c r="B126" s="92" t="s">
        <v>109</v>
      </c>
      <c r="C126" s="156" t="s">
        <v>164</v>
      </c>
      <c r="D126" s="157"/>
    </row>
    <row r="127" spans="1:5" ht="33" x14ac:dyDescent="0.3">
      <c r="A127" s="44">
        <v>8.6999999999999993</v>
      </c>
      <c r="B127" s="93" t="s">
        <v>110</v>
      </c>
      <c r="C127" s="156"/>
      <c r="D127" s="157"/>
    </row>
    <row r="128" spans="1:5" ht="16.5" x14ac:dyDescent="0.3">
      <c r="A128" s="44"/>
      <c r="B128" s="94" t="s">
        <v>111</v>
      </c>
      <c r="C128" s="95" t="s">
        <v>205</v>
      </c>
      <c r="D128" s="96" t="s">
        <v>113</v>
      </c>
    </row>
    <row r="129" spans="1:4" ht="16.5" x14ac:dyDescent="0.3">
      <c r="A129" s="44"/>
      <c r="B129" s="97" t="s">
        <v>114</v>
      </c>
      <c r="C129" s="122" t="s">
        <v>163</v>
      </c>
      <c r="D129" s="99">
        <v>312</v>
      </c>
    </row>
    <row r="130" spans="1:4" ht="16.5" x14ac:dyDescent="0.3">
      <c r="A130" s="44"/>
      <c r="B130" s="97" t="s">
        <v>115</v>
      </c>
      <c r="C130" s="98" t="s">
        <v>163</v>
      </c>
      <c r="D130" s="99">
        <v>312</v>
      </c>
    </row>
    <row r="131" spans="1:4" ht="16.5" x14ac:dyDescent="0.3">
      <c r="A131" s="44"/>
      <c r="B131" s="97" t="s">
        <v>116</v>
      </c>
      <c r="C131" s="98" t="s">
        <v>163</v>
      </c>
      <c r="D131" s="99"/>
    </row>
    <row r="132" spans="1:4" ht="17.25" thickBot="1" x14ac:dyDescent="0.35">
      <c r="A132" s="44"/>
      <c r="B132" s="97" t="s">
        <v>117</v>
      </c>
      <c r="C132" s="98" t="s">
        <v>163</v>
      </c>
      <c r="D132" s="100"/>
    </row>
    <row r="133" spans="1:4" ht="17.25" thickBot="1" x14ac:dyDescent="0.35">
      <c r="A133" s="44"/>
      <c r="B133" s="101" t="s">
        <v>118</v>
      </c>
      <c r="C133" s="102"/>
      <c r="D133" s="103">
        <f>D129+D130</f>
        <v>624</v>
      </c>
    </row>
    <row r="134" spans="1:4" ht="47.25" x14ac:dyDescent="0.25">
      <c r="A134" s="44">
        <v>8.8000000000000007</v>
      </c>
      <c r="B134" s="104" t="s">
        <v>183</v>
      </c>
      <c r="C134" s="144">
        <f>D133</f>
        <v>624</v>
      </c>
      <c r="D134" s="145"/>
    </row>
    <row r="135" spans="1:4" x14ac:dyDescent="0.25">
      <c r="A135" s="52" t="s">
        <v>151</v>
      </c>
      <c r="B135" s="78" t="s">
        <v>175</v>
      </c>
      <c r="C135" s="176">
        <f>C134*80%</f>
        <v>499.20000000000005</v>
      </c>
      <c r="D135" s="153"/>
    </row>
    <row r="136" spans="1:4" ht="31.5" x14ac:dyDescent="0.25">
      <c r="A136" s="52">
        <v>8.11</v>
      </c>
      <c r="B136" s="78" t="s">
        <v>104</v>
      </c>
      <c r="C136" s="176" t="s">
        <v>163</v>
      </c>
      <c r="D136" s="153"/>
    </row>
    <row r="137" spans="1:4" ht="31.5" x14ac:dyDescent="0.25">
      <c r="A137" s="44">
        <v>8.1199999999999992</v>
      </c>
      <c r="B137" s="78" t="s">
        <v>119</v>
      </c>
      <c r="C137" s="176" t="s">
        <v>163</v>
      </c>
      <c r="D137" s="153"/>
    </row>
    <row r="138" spans="1:4" ht="31.5" x14ac:dyDescent="0.25">
      <c r="A138" s="44">
        <v>8.1300000000000008</v>
      </c>
      <c r="B138" s="78" t="s">
        <v>120</v>
      </c>
      <c r="C138" s="176" t="s">
        <v>163</v>
      </c>
      <c r="D138" s="153"/>
    </row>
    <row r="139" spans="1:4" ht="33" x14ac:dyDescent="0.3">
      <c r="A139" s="90" t="s">
        <v>152</v>
      </c>
      <c r="B139" s="89" t="s">
        <v>159</v>
      </c>
      <c r="C139" s="176">
        <f>C134</f>
        <v>624</v>
      </c>
      <c r="D139" s="153"/>
    </row>
    <row r="140" spans="1:4" ht="33" x14ac:dyDescent="0.3">
      <c r="A140" s="90" t="s">
        <v>153</v>
      </c>
      <c r="B140" s="89" t="s">
        <v>176</v>
      </c>
      <c r="C140" s="176">
        <v>1400</v>
      </c>
      <c r="D140" s="153"/>
    </row>
    <row r="141" spans="1:4" ht="49.5" x14ac:dyDescent="0.25">
      <c r="A141" s="105" t="s">
        <v>154</v>
      </c>
      <c r="B141" s="106" t="s">
        <v>160</v>
      </c>
      <c r="C141" s="168">
        <f>+C139*C140</f>
        <v>873600</v>
      </c>
      <c r="D141" s="169"/>
    </row>
    <row r="142" spans="1:4" s="66" customFormat="1" ht="49.5" x14ac:dyDescent="0.25">
      <c r="A142" s="105" t="s">
        <v>155</v>
      </c>
      <c r="B142" s="106" t="s">
        <v>177</v>
      </c>
      <c r="C142" s="170">
        <f>+C141+C124</f>
        <v>2167350</v>
      </c>
      <c r="D142" s="171"/>
    </row>
    <row r="143" spans="1:4" s="66" customFormat="1" ht="16.5" x14ac:dyDescent="0.3">
      <c r="A143" s="90" t="s">
        <v>156</v>
      </c>
      <c r="B143" s="78" t="s">
        <v>161</v>
      </c>
      <c r="C143" s="172">
        <v>1</v>
      </c>
      <c r="D143" s="173"/>
    </row>
    <row r="144" spans="1:4" ht="32.25" x14ac:dyDescent="0.3">
      <c r="A144" s="90" t="s">
        <v>157</v>
      </c>
      <c r="B144" s="78" t="s">
        <v>189</v>
      </c>
      <c r="C144" s="158">
        <f>C141*C143</f>
        <v>873600</v>
      </c>
      <c r="D144" s="159"/>
    </row>
    <row r="145" spans="1:4" ht="49.5" x14ac:dyDescent="0.3">
      <c r="A145" s="90" t="s">
        <v>158</v>
      </c>
      <c r="B145" s="89" t="s">
        <v>178</v>
      </c>
      <c r="C145" s="174">
        <f>C124+C144</f>
        <v>2167350</v>
      </c>
      <c r="D145" s="175"/>
    </row>
    <row r="146" spans="1:4" ht="16.5" x14ac:dyDescent="0.3">
      <c r="A146" s="44">
        <v>8.14</v>
      </c>
      <c r="B146" s="107" t="s">
        <v>188</v>
      </c>
      <c r="C146" s="158">
        <f>C142</f>
        <v>2167350</v>
      </c>
      <c r="D146" s="159"/>
    </row>
    <row r="147" spans="1:4" ht="16.5" x14ac:dyDescent="0.3">
      <c r="A147" s="44">
        <v>8.15</v>
      </c>
      <c r="B147" s="89" t="s">
        <v>187</v>
      </c>
      <c r="C147" s="158">
        <f>+C146*0.8</f>
        <v>1733880</v>
      </c>
      <c r="D147" s="159"/>
    </row>
    <row r="148" spans="1:4" ht="17.25" thickBot="1" x14ac:dyDescent="0.35">
      <c r="A148" s="47">
        <v>8.16</v>
      </c>
      <c r="B148" s="108" t="s">
        <v>186</v>
      </c>
      <c r="C148" s="160">
        <f>+C147</f>
        <v>1733880</v>
      </c>
      <c r="D148" s="161"/>
    </row>
    <row r="149" spans="1:4" ht="16.5" thickBot="1" x14ac:dyDescent="0.3">
      <c r="A149" s="49"/>
      <c r="B149" s="50"/>
      <c r="C149" s="162"/>
      <c r="D149" s="163"/>
    </row>
    <row r="150" spans="1:4" ht="17.25" thickBot="1" x14ac:dyDescent="0.35">
      <c r="A150" s="214" t="s">
        <v>121</v>
      </c>
      <c r="B150" s="215"/>
      <c r="C150" s="164" t="s">
        <v>122</v>
      </c>
      <c r="D150" s="165"/>
    </row>
    <row r="151" spans="1:4" ht="31.5" x14ac:dyDescent="0.25">
      <c r="A151" s="54">
        <v>9.1</v>
      </c>
      <c r="B151" s="77" t="s">
        <v>123</v>
      </c>
      <c r="C151" s="166" t="s">
        <v>201</v>
      </c>
      <c r="D151" s="167"/>
    </row>
    <row r="152" spans="1:4" ht="46.15" customHeight="1" x14ac:dyDescent="0.25">
      <c r="A152" s="44">
        <v>9.1999999999999993</v>
      </c>
      <c r="B152" s="78" t="s">
        <v>124</v>
      </c>
      <c r="C152" s="152" t="s">
        <v>202</v>
      </c>
      <c r="D152" s="153"/>
    </row>
    <row r="153" spans="1:4" ht="31.5" x14ac:dyDescent="0.25">
      <c r="A153" s="44">
        <v>9.3000000000000007</v>
      </c>
      <c r="B153" s="78" t="s">
        <v>125</v>
      </c>
      <c r="C153" s="154" t="str">
        <f>C38</f>
        <v>4 Kms</v>
      </c>
      <c r="D153" s="155"/>
    </row>
    <row r="154" spans="1:4" x14ac:dyDescent="0.25">
      <c r="A154" s="44">
        <v>9.4</v>
      </c>
      <c r="B154" s="78" t="s">
        <v>126</v>
      </c>
      <c r="C154" s="156" t="s">
        <v>164</v>
      </c>
      <c r="D154" s="157"/>
    </row>
    <row r="155" spans="1:4" x14ac:dyDescent="0.25">
      <c r="A155" s="44">
        <v>9.5</v>
      </c>
      <c r="B155" s="78" t="s">
        <v>127</v>
      </c>
      <c r="C155" s="156" t="s">
        <v>164</v>
      </c>
      <c r="D155" s="157"/>
    </row>
    <row r="156" spans="1:4" x14ac:dyDescent="0.25">
      <c r="A156" s="44">
        <v>9.6</v>
      </c>
      <c r="B156" s="78" t="s">
        <v>128</v>
      </c>
      <c r="C156" s="156" t="s">
        <v>163</v>
      </c>
      <c r="D156" s="157"/>
    </row>
    <row r="157" spans="1:4" ht="31.5" x14ac:dyDescent="0.25">
      <c r="A157" s="44">
        <v>9.6999999999999993</v>
      </c>
      <c r="B157" s="78" t="s">
        <v>129</v>
      </c>
      <c r="C157" s="156" t="s">
        <v>163</v>
      </c>
      <c r="D157" s="157"/>
    </row>
    <row r="158" spans="1:4" ht="32.25" thickBot="1" x14ac:dyDescent="0.3">
      <c r="A158" s="47">
        <v>9.8000000000000007</v>
      </c>
      <c r="B158" s="79" t="s">
        <v>130</v>
      </c>
      <c r="C158" s="147" t="s">
        <v>163</v>
      </c>
      <c r="D158" s="148"/>
    </row>
    <row r="159" spans="1:4" ht="16.5" thickBot="1" x14ac:dyDescent="0.3">
      <c r="A159" s="49"/>
      <c r="B159" s="50"/>
      <c r="C159" s="109"/>
      <c r="D159" s="110"/>
    </row>
    <row r="160" spans="1:4" ht="17.25" thickBot="1" x14ac:dyDescent="0.35">
      <c r="A160" s="214" t="s">
        <v>131</v>
      </c>
      <c r="B160" s="215"/>
      <c r="C160" s="149"/>
      <c r="D160" s="150"/>
    </row>
    <row r="161" spans="1:4" ht="187.5" customHeight="1" x14ac:dyDescent="0.25">
      <c r="A161" s="141" t="s">
        <v>251</v>
      </c>
      <c r="B161" s="142"/>
      <c r="C161" s="142"/>
      <c r="D161" s="143"/>
    </row>
    <row r="162" spans="1:4" ht="16.5" x14ac:dyDescent="0.3">
      <c r="A162" s="213" t="s">
        <v>132</v>
      </c>
      <c r="B162" s="213"/>
      <c r="C162" s="151"/>
      <c r="D162" s="151"/>
    </row>
    <row r="163" spans="1:4" x14ac:dyDescent="0.25" ht="18" customHeight="1">
      <c r="A163" t="inlineStr">
        <is>
          <t>Applicant / surveyor at property</t>
        </is>
      </c>
      <c r="C163" t="inlineStr">
        <is>
          <t>Property exterior</t>
        </is>
      </c>
    </row>
    <row r="164" spans="1:4" x14ac:dyDescent="0.25" ht="204.43362204724409" customHeight="1"/>
    <row r="165" spans="1:4" x14ac:dyDescent="0.25" ht="18" customHeight="1">
      <c r="A165" t="inlineStr">
        <is>
          <t>Kitchen / interior</t>
        </is>
      </c>
      <c r="C165" t="inlineStr">
        <is>
          <t>Interior room 1</t>
        </is>
      </c>
    </row>
    <row r="166" spans="1:4" x14ac:dyDescent="0.25" ht="204.81015748031496" customHeight="1"/>
    <row r="167" spans="1:4" x14ac:dyDescent="0.25" ht="18" customHeight="1">
      <c r="A167" t="inlineStr">
        <is>
          <t>Bedroom / interior</t>
        </is>
      </c>
      <c r="C167" t="inlineStr">
        <is>
          <t>Side lane / neighbourhood</t>
        </is>
      </c>
    </row>
    <row r="168" spans="1:4" x14ac:dyDescent="0.25" ht="219.03952755905513" customHeight="1"/>
    <row r="169" spans="1:4" x14ac:dyDescent="0.25" ht="18" customHeight="1">
      <c r="A169" t="inlineStr">
        <is>
          <t>Property passage</t>
        </is>
      </c>
    </row>
    <row r="170" spans="1:4" x14ac:dyDescent="0.25" ht="219.35952755905512" customHeight="1"/>
    <row r="171" spans="1:4" x14ac:dyDescent="0.25" ht="18" customHeight="1">
      <c r="A171" t="inlineStr">
        <is>
          <t>Property Tax Screenshot</t>
        </is>
      </c>
    </row>
    <row r="172" spans="1:4" x14ac:dyDescent="0.25" ht="219.39866141732284" customHeight="1"/>
    <row r="173" spans="1:4" x14ac:dyDescent="0.25" ht="18" customHeight="1">
      <c r="A173" t="inlineStr">
        <is>
          <t>Electricity meter</t>
        </is>
      </c>
      <c r="C173" t="inlineStr">
        <is>
          <t>Power Bill</t>
        </is>
      </c>
    </row>
    <row r="174" spans="1:4" x14ac:dyDescent="0.25" ht="250.7268503937008" customHeight="1"/>
    <row r="175" spans="1:4" x14ac:dyDescent="0.25" ht="18" customHeight="1">
      <c r="A175" t="inlineStr">
        <is>
          <t>Map Screenshot</t>
        </is>
      </c>
    </row>
    <row r="176" spans="1:4" x14ac:dyDescent="0.25" ht="235.76354330708662" customHeight="1"/>
    <row r="177" spans="1:4" x14ac:dyDescent="0.25" ht="18" customHeight="1">
      <c r="A177" t="inlineStr">
        <is>
          <t>Satellite View</t>
        </is>
      </c>
    </row>
    <row r="178" spans="1:4" x14ac:dyDescent="0.25" ht="266.4391338582677" customHeight="1"/>
    <row r="179" spans="1:4" x14ac:dyDescent="0.25" ht="18" customHeight="1">
      <c r="A179" t="inlineStr">
        <is>
          <t>Government Rate Screenshot</t>
        </is>
      </c>
    </row>
    <row r="180" spans="1:4" x14ac:dyDescent="0.25" ht="234.9963779527559" customHeight="1"/>
    <row r="181" spans="1:4" x14ac:dyDescent="0.25" ht="18" customHeight="1">
      <c r="A181" t="inlineStr">
        <is>
          <t>Prohibited Property Screenshot</t>
        </is>
      </c>
    </row>
    <row r="182" spans="1:4" x14ac:dyDescent="0.25" ht="236.17858267716537" customHeight="1"/>
    <row r="183" spans="1:4" x14ac:dyDescent="0.25" ht="18" customHeight="1">
      <c r="A183" t="inlineStr">
        <is>
          <t>Electricity Bill Screenshot</t>
        </is>
      </c>
    </row>
    <row r="184" spans="1:4" x14ac:dyDescent="0.25" ht="234.91551181102363" customHeight="1"/>
    <row r="185" spans="1:4" x14ac:dyDescent="0.25" ht="1" customHeight="1"/>
    <row r="186" spans="1:4" x14ac:dyDescent="0.25" ht="1" customHeight="1"/>
    <row r="187" spans="1:4" x14ac:dyDescent="0.25" ht="1" customHeight="1"/>
    <row r="188" spans="1:4" x14ac:dyDescent="0.25" ht="1" customHeight="1"/>
    <row r="189" spans="1:4" x14ac:dyDescent="0.25" ht="1" customHeight="1"/>
    <row r="190" spans="1:4" x14ac:dyDescent="0.25" ht="1" customHeight="1"/>
    <row r="191" spans="1:4" x14ac:dyDescent="0.25" ht="1" customHeight="1"/>
    <row r="192" spans="1:4" x14ac:dyDescent="0.25" ht="1" customHeight="1"/>
    <row r="193" spans="1:4" x14ac:dyDescent="0.25" ht="1" customHeight="1"/>
    <row r="194" spans="1:4" x14ac:dyDescent="0.25" ht="1" customHeight="1"/>
    <row r="195" spans="1:4" x14ac:dyDescent="0.25" ht="1" customHeight="1"/>
    <row r="196" spans="1:4" x14ac:dyDescent="0.25" ht="1" customHeight="1"/>
    <row r="197" spans="1:4" x14ac:dyDescent="0.25" ht="1" customHeight="1"/>
    <row r="198" spans="1:4" x14ac:dyDescent="0.25" ht="1" customHeight="1"/>
    <row r="199" spans="1:4" x14ac:dyDescent="0.25" ht="1" customHeight="1"/>
    <row r="200" spans="1:4" x14ac:dyDescent="0.25" ht="1" customHeight="1"/>
    <row r="201" spans="1:4" x14ac:dyDescent="0.25" ht="1" customHeight="1"/>
    <row r="202" spans="1:4" x14ac:dyDescent="0.25" ht="1" customHeight="1"/>
    <row r="203" spans="1:4" x14ac:dyDescent="0.25" ht="1" customHeight="1"/>
    <row r="204" spans="1:4" x14ac:dyDescent="0.25" ht="1" customHeight="1"/>
    <row r="205" spans="1:4" x14ac:dyDescent="0.25" ht="1" customHeight="1"/>
    <row r="206" spans="1:4" x14ac:dyDescent="0.25" ht="1" customHeight="1"/>
    <row r="207" spans="1:4" x14ac:dyDescent="0.25" ht="1" customHeight="1"/>
    <row r="208" spans="1:4" x14ac:dyDescent="0.25" ht="1" customHeight="1"/>
    <row r="209" spans="1:4" x14ac:dyDescent="0.25" ht="1" customHeight="1"/>
    <row r="210" spans="1:4" x14ac:dyDescent="0.25" ht="1" customHeight="1"/>
    <row r="211" spans="1:4" x14ac:dyDescent="0.25" ht="1" customHeight="1"/>
    <row r="212" spans="1:4" x14ac:dyDescent="0.25" ht="1" customHeight="1"/>
    <row r="213" spans="1:4" x14ac:dyDescent="0.25" ht="1" customHeight="1"/>
    <row r="214" spans="1:4" x14ac:dyDescent="0.25" ht="1" customHeight="1"/>
    <row r="215" spans="1:4" x14ac:dyDescent="0.25" ht="1" customHeight="1"/>
    <row r="216" spans="1:4" x14ac:dyDescent="0.25" ht="1" customHeight="1"/>
    <row r="217" spans="1:4" x14ac:dyDescent="0.25" ht="1" customHeight="1"/>
    <row r="218" spans="1:4" x14ac:dyDescent="0.25" ht="1" customHeight="1"/>
    <row r="219" spans="1:4" x14ac:dyDescent="0.25" ht="1" customHeight="1"/>
    <row r="220" spans="1:4" x14ac:dyDescent="0.25" ht="1" customHeight="1"/>
    <row r="221" spans="1:4" x14ac:dyDescent="0.25" ht="1" customHeight="1"/>
    <row r="222" spans="1:4" x14ac:dyDescent="0.25" ht="1" customHeight="1"/>
    <row r="223" spans="1:4" x14ac:dyDescent="0.25" ht="1" customHeight="1"/>
    <row r="224" spans="1:4" x14ac:dyDescent="0.25" ht="1" customHeight="1"/>
    <row r="225" spans="1:4" x14ac:dyDescent="0.25" ht="1" customHeight="1"/>
    <row r="226" spans="1:4" x14ac:dyDescent="0.25" ht="1" customHeight="1"/>
    <row r="227" spans="1:4" x14ac:dyDescent="0.25" ht="1" customHeight="1"/>
    <row r="228" spans="1:4" x14ac:dyDescent="0.25" ht="1" customHeight="1"/>
    <row r="229" spans="1:4" x14ac:dyDescent="0.25" ht="1" customHeight="1"/>
    <row r="230" spans="1:4" x14ac:dyDescent="0.25" ht="1" customHeight="1"/>
    <row r="231" spans="1:4" x14ac:dyDescent="0.25" ht="1" customHeight="1"/>
    <row r="232" spans="1:4" x14ac:dyDescent="0.25" ht="1" customHeight="1"/>
    <row r="233" spans="1:4" x14ac:dyDescent="0.25" ht="1" customHeight="1"/>
    <row r="234" spans="1:4" x14ac:dyDescent="0.25" ht="1" customHeight="1"/>
    <row r="235" spans="1:4" x14ac:dyDescent="0.25" ht="1" customHeight="1"/>
    <row r="236" spans="1:4" x14ac:dyDescent="0.25" ht="1" customHeight="1"/>
    <row r="237" spans="1:4" x14ac:dyDescent="0.25" ht="1" customHeight="1"/>
    <row r="238" spans="1:4" x14ac:dyDescent="0.25" ht="1" customHeight="1"/>
    <row r="239" spans="1:4" x14ac:dyDescent="0.25" ht="1" customHeight="1"/>
    <row r="240" spans="1:4" x14ac:dyDescent="0.25" ht="1" customHeight="1"/>
    <row r="241" spans="1:4" x14ac:dyDescent="0.25" ht="1" customHeight="1"/>
    <row r="242" spans="1:4" x14ac:dyDescent="0.25" ht="1" customHeight="1"/>
    <row r="243" spans="1:4" x14ac:dyDescent="0.25" ht="1" customHeight="1"/>
    <row r="244" spans="1:4" x14ac:dyDescent="0.25" ht="1" customHeight="1"/>
    <row r="245" spans="1:4" x14ac:dyDescent="0.25" ht="1" customHeight="1"/>
    <row r="246" spans="1:4" x14ac:dyDescent="0.25" ht="1" customHeight="1"/>
    <row r="247" spans="1:4" x14ac:dyDescent="0.25" ht="1" customHeight="1"/>
    <row r="248" spans="1:4" x14ac:dyDescent="0.25" ht="1" customHeight="1"/>
    <row r="249" spans="1:4" x14ac:dyDescent="0.25" ht="1" customHeight="1"/>
    <row r="250" spans="1:4" x14ac:dyDescent="0.25" ht="1" customHeight="1"/>
    <row r="251" spans="1:4" x14ac:dyDescent="0.25" ht="1" customHeight="1"/>
    <row r="252" spans="1:4" x14ac:dyDescent="0.25" ht="1" customHeight="1"/>
    <row r="253" spans="1:4" x14ac:dyDescent="0.25" ht="1" customHeight="1"/>
    <row r="254" spans="1:4" x14ac:dyDescent="0.25" ht="1" customHeight="1"/>
    <row r="255" spans="1:4" x14ac:dyDescent="0.25" ht="1" customHeight="1"/>
    <row r="256" spans="1:4" x14ac:dyDescent="0.25" ht="1" customHeight="1"/>
    <row r="257" spans="1:4" x14ac:dyDescent="0.25" ht="1" customHeight="1"/>
    <row r="258" spans="1:4" x14ac:dyDescent="0.25" ht="1" customHeight="1"/>
    <row r="259" spans="1:4" x14ac:dyDescent="0.25" ht="1" customHeight="1"/>
    <row r="260" spans="1:4" x14ac:dyDescent="0.25" ht="1" customHeight="1"/>
    <row r="261" spans="1:4" x14ac:dyDescent="0.25" ht="1" customHeight="1"/>
    <row r="262" spans="1:4" x14ac:dyDescent="0.25" ht="1" customHeight="1"/>
    <row r="263" spans="1:4" x14ac:dyDescent="0.25" ht="1" customHeight="1"/>
    <row r="264" spans="1:4" x14ac:dyDescent="0.25" ht="1" customHeight="1"/>
    <row r="265" spans="1:4" x14ac:dyDescent="0.25" ht="1" customHeight="1"/>
    <row r="266" spans="1:4" x14ac:dyDescent="0.25" ht="1" customHeight="1"/>
    <row r="267" spans="1:4" x14ac:dyDescent="0.25" ht="1" customHeight="1"/>
    <row r="268" spans="1:4" x14ac:dyDescent="0.25" ht="1" customHeight="1"/>
    <row r="269" spans="1:4" x14ac:dyDescent="0.25" ht="1" customHeight="1"/>
    <row r="270" spans="1:4" x14ac:dyDescent="0.25" ht="1" customHeight="1"/>
    <row r="271" spans="1:4" x14ac:dyDescent="0.25" ht="1" customHeight="1"/>
    <row r="272" spans="1:4" x14ac:dyDescent="0.25" ht="1" customHeight="1"/>
    <row r="273" spans="1:4" x14ac:dyDescent="0.25" ht="1" customHeight="1"/>
    <row r="274" spans="1:4" x14ac:dyDescent="0.25" ht="1" customHeight="1"/>
    <row r="275" spans="1:4" x14ac:dyDescent="0.25" ht="1" customHeight="1"/>
    <row r="276" spans="1:4" x14ac:dyDescent="0.25" ht="1" customHeight="1"/>
    <row r="277" spans="1:4" x14ac:dyDescent="0.25" ht="1" customHeight="1"/>
    <row r="278" spans="1:4" x14ac:dyDescent="0.25" ht="1" customHeight="1"/>
    <row r="279" spans="1:4" x14ac:dyDescent="0.25" ht="1" customHeight="1"/>
    <row r="280" spans="1:4" x14ac:dyDescent="0.25" ht="1" customHeight="1"/>
    <row r="281" spans="1:4" x14ac:dyDescent="0.25" ht="1" customHeight="1"/>
    <row r="282" spans="1:4" x14ac:dyDescent="0.25" ht="1" customHeight="1"/>
    <row r="283" spans="1:4" x14ac:dyDescent="0.25" ht="1" customHeight="1"/>
    <row r="284" spans="1:4" x14ac:dyDescent="0.25" ht="1" customHeight="1"/>
    <row r="285" spans="1:4" x14ac:dyDescent="0.25" ht="1" customHeight="1"/>
    <row r="286" spans="1:4" x14ac:dyDescent="0.25" ht="1" customHeight="1"/>
    <row r="287" spans="1:4" x14ac:dyDescent="0.25" ht="1" customHeight="1"/>
    <row r="288" spans="1:4" x14ac:dyDescent="0.25" ht="1" customHeight="1"/>
    <row r="289" spans="1:4" x14ac:dyDescent="0.25" ht="1" customHeight="1"/>
    <row r="290" spans="1:4" x14ac:dyDescent="0.25" ht="1" customHeight="1"/>
    <row r="291" spans="1:4" x14ac:dyDescent="0.25" ht="1" customHeight="1"/>
    <row r="292" spans="1:4" x14ac:dyDescent="0.25" ht="1" customHeight="1"/>
    <row r="293" spans="1:4" x14ac:dyDescent="0.25" ht="1" customHeight="1"/>
    <row r="294" spans="1:4" x14ac:dyDescent="0.25" ht="1" customHeight="1"/>
    <row r="295" spans="1:4" x14ac:dyDescent="0.25" ht="1" customHeight="1"/>
    <row r="296" spans="1:4" x14ac:dyDescent="0.25" ht="1" customHeight="1"/>
    <row r="297" spans="1:4" x14ac:dyDescent="0.25" ht="1" customHeight="1"/>
    <row r="298" spans="1:4" x14ac:dyDescent="0.25" ht="1" customHeight="1"/>
    <row r="299" spans="1:4" x14ac:dyDescent="0.25" ht="1" customHeight="1"/>
    <row r="300" spans="1:4" x14ac:dyDescent="0.25" ht="1" customHeight="1"/>
    <row r="301" spans="1:4" x14ac:dyDescent="0.25" ht="1" customHeight="1"/>
    <row r="302" spans="1:4" x14ac:dyDescent="0.25" ht="1" customHeight="1"/>
    <row r="303" spans="1:4" x14ac:dyDescent="0.25" ht="1" customHeight="1"/>
    <row r="304" spans="1:4" x14ac:dyDescent="0.25" ht="1" customHeight="1"/>
    <row r="305" spans="1:4" x14ac:dyDescent="0.25" ht="1" customHeight="1"/>
    <row r="306" spans="1:4" x14ac:dyDescent="0.25" ht="1" customHeight="1"/>
    <row r="307" spans="1:4" x14ac:dyDescent="0.25" ht="1" customHeight="1"/>
    <row r="308" spans="1:4" x14ac:dyDescent="0.25" ht="1" customHeight="1"/>
    <row r="309" spans="1:4" x14ac:dyDescent="0.25" ht="1" customHeight="1"/>
    <row r="310" spans="1:4" x14ac:dyDescent="0.25" ht="1" customHeight="1"/>
    <row r="311" spans="1:4" x14ac:dyDescent="0.25" ht="1" customHeight="1"/>
    <row r="312" spans="1:4" x14ac:dyDescent="0.25" ht="1" customHeight="1"/>
    <row r="313" spans="1:4" x14ac:dyDescent="0.25" ht="1" customHeight="1"/>
    <row r="315" spans="1:4" x14ac:dyDescent="0.25">
      <c r="A315" s="126"/>
    </row>
    <row r="316" spans="1:4" x14ac:dyDescent="0.25">
      <c r="A316" s="126"/>
    </row>
    <row r="317" spans="1:4" x14ac:dyDescent="0.25">
      <c r="A317" s="126"/>
    </row>
    <row r="318" spans="1:4" x14ac:dyDescent="0.25">
      <c r="A318" s="126"/>
    </row>
    <row r="319" spans="1:4" x14ac:dyDescent="0.25">
      <c r="A319" s="126"/>
    </row>
    <row r="320" spans="1:4" x14ac:dyDescent="0.25">
      <c r="A320" s="126"/>
    </row>
    <row r="321" spans="1:1" x14ac:dyDescent="0.25">
      <c r="A321" s="126"/>
    </row>
    <row r="322" spans="1:1" x14ac:dyDescent="0.25">
      <c r="A322" s="126"/>
    </row>
    <row r="323" spans="1:1" x14ac:dyDescent="0.25">
      <c r="A323" s="126"/>
    </row>
    <row r="324" spans="1:1" x14ac:dyDescent="0.25">
      <c r="A324" s="126"/>
    </row>
    <row r="325" spans="1:1" x14ac:dyDescent="0.25">
      <c r="A325" s="126"/>
    </row>
    <row r="326" spans="1:1" x14ac:dyDescent="0.25">
      <c r="A326" s="126"/>
    </row>
    <row r="327" spans="1:1" x14ac:dyDescent="0.25">
      <c r="A327" s="126"/>
    </row>
    <row r="328" spans="1:1" x14ac:dyDescent="0.25">
      <c r="A328" s="126"/>
    </row>
    <row r="329" spans="1:1" x14ac:dyDescent="0.25">
      <c r="A329" s="126"/>
    </row>
    <row r="330" spans="1:1" x14ac:dyDescent="0.25">
      <c r="A330" s="126"/>
    </row>
    <row r="331" spans="1:1" x14ac:dyDescent="0.25">
      <c r="A331" s="126"/>
    </row>
    <row r="332" spans="1:1" x14ac:dyDescent="0.25">
      <c r="A332" s="126"/>
    </row>
    <row r="333" spans="1:1" x14ac:dyDescent="0.25">
      <c r="A333" s="126"/>
    </row>
    <row r="334" spans="1:1" x14ac:dyDescent="0.25">
      <c r="A334" s="126"/>
    </row>
    <row r="335" spans="1:1" x14ac:dyDescent="0.25">
      <c r="A335" s="126"/>
    </row>
    <row r="336" spans="1:1" x14ac:dyDescent="0.25">
      <c r="A336" s="126"/>
    </row>
    <row r="337" spans="1:1" x14ac:dyDescent="0.25">
      <c r="A337" s="126"/>
    </row>
    <row r="338" spans="1:1" x14ac:dyDescent="0.25">
      <c r="A338" s="126"/>
    </row>
    <row r="339" spans="1:1" x14ac:dyDescent="0.25">
      <c r="A339" s="126"/>
    </row>
    <row r="340" spans="1:1" x14ac:dyDescent="0.25">
      <c r="A340" s="126"/>
    </row>
    <row r="341" spans="1:1" x14ac:dyDescent="0.25">
      <c r="A341" s="126"/>
    </row>
    <row r="342" spans="1:1" x14ac:dyDescent="0.25">
      <c r="A342" s="126"/>
    </row>
    <row r="343" spans="1:1" x14ac:dyDescent="0.25">
      <c r="A343" s="126"/>
    </row>
    <row r="344" spans="1:1" x14ac:dyDescent="0.25">
      <c r="A344" s="126"/>
    </row>
    <row r="345" spans="1:1" x14ac:dyDescent="0.25">
      <c r="A345" s="126"/>
    </row>
    <row r="346" spans="1:1" x14ac:dyDescent="0.25">
      <c r="A346" s="126"/>
    </row>
    <row r="347" spans="1:1" x14ac:dyDescent="0.25">
      <c r="A347" s="126"/>
    </row>
    <row r="348" spans="1:1" x14ac:dyDescent="0.25">
      <c r="A348" s="126"/>
    </row>
    <row r="349" spans="1:1" x14ac:dyDescent="0.25">
      <c r="A349" s="126"/>
    </row>
    <row r="350" spans="1:1" x14ac:dyDescent="0.25">
      <c r="A350" s="126"/>
    </row>
    <row r="351" spans="1:1" x14ac:dyDescent="0.25">
      <c r="A351" s="126"/>
    </row>
    <row r="352" spans="1:1" x14ac:dyDescent="0.25">
      <c r="A352" s="126"/>
    </row>
    <row r="353" spans="1:1" x14ac:dyDescent="0.25">
      <c r="A353" s="126"/>
    </row>
    <row r="354" spans="1:1" x14ac:dyDescent="0.25">
      <c r="A354" s="126"/>
    </row>
    <row r="355" spans="1:1" x14ac:dyDescent="0.25">
      <c r="A355" s="126"/>
    </row>
    <row r="356" spans="1:1" x14ac:dyDescent="0.25">
      <c r="A356" s="126"/>
    </row>
    <row r="357" spans="1:1" x14ac:dyDescent="0.25">
      <c r="A357" s="126"/>
    </row>
    <row r="358" spans="1:1" x14ac:dyDescent="0.25">
      <c r="A358" s="126"/>
    </row>
  </sheetData>
  <mergeCells count="166">
    <mergeCell ref="A1:D1"/>
    <mergeCell ref="C2:D2"/>
    <mergeCell ref="C3:D3"/>
    <mergeCell ref="C4:D4"/>
    <mergeCell ref="C5:D5"/>
    <mergeCell ref="C6:D6"/>
    <mergeCell ref="C7:D7"/>
    <mergeCell ref="A2:B2"/>
    <mergeCell ref="A13:B13"/>
    <mergeCell ref="A29:B29"/>
    <mergeCell ref="C14:D14"/>
    <mergeCell ref="C15:D15"/>
    <mergeCell ref="C16:D16"/>
    <mergeCell ref="C17:D17"/>
    <mergeCell ref="C18:D18"/>
    <mergeCell ref="C19:D19"/>
    <mergeCell ref="C8:D8"/>
    <mergeCell ref="C9:D9"/>
    <mergeCell ref="C10:D10"/>
    <mergeCell ref="A48:B48"/>
    <mergeCell ref="A56:B56"/>
    <mergeCell ref="A91:B91"/>
    <mergeCell ref="A98:B98"/>
    <mergeCell ref="A115:B115"/>
    <mergeCell ref="A150:B150"/>
    <mergeCell ref="A160:B160"/>
    <mergeCell ref="A162:B162"/>
    <mergeCell ref="C52:D52"/>
    <mergeCell ref="C53:D53"/>
    <mergeCell ref="C54:D54"/>
    <mergeCell ref="C55:D55"/>
    <mergeCell ref="C56:D56"/>
    <mergeCell ref="C57:D57"/>
    <mergeCell ref="C67:D67"/>
    <mergeCell ref="C68:D68"/>
    <mergeCell ref="C69:D69"/>
    <mergeCell ref="C76:D76"/>
    <mergeCell ref="C77:D77"/>
    <mergeCell ref="C70:D70"/>
    <mergeCell ref="C71:D71"/>
    <mergeCell ref="C72:D72"/>
    <mergeCell ref="C73:D73"/>
    <mergeCell ref="C75:D75"/>
    <mergeCell ref="C74:D74"/>
    <mergeCell ref="C11:D11"/>
    <mergeCell ref="C12:D12"/>
    <mergeCell ref="C13:D13"/>
    <mergeCell ref="C26:D26"/>
    <mergeCell ref="C27:D27"/>
    <mergeCell ref="C29:D29"/>
    <mergeCell ref="C36:D36"/>
    <mergeCell ref="C37:D37"/>
    <mergeCell ref="C20:D20"/>
    <mergeCell ref="C21:D21"/>
    <mergeCell ref="C22:D22"/>
    <mergeCell ref="C23:D23"/>
    <mergeCell ref="C24:D24"/>
    <mergeCell ref="C25:D25"/>
    <mergeCell ref="C78:D78"/>
    <mergeCell ref="C79:D79"/>
    <mergeCell ref="C80:D80"/>
    <mergeCell ref="C81:D81"/>
    <mergeCell ref="C38:D38"/>
    <mergeCell ref="C47:D47"/>
    <mergeCell ref="C48:D48"/>
    <mergeCell ref="C49:D49"/>
    <mergeCell ref="C50:D50"/>
    <mergeCell ref="C51:D51"/>
    <mergeCell ref="C64:D64"/>
    <mergeCell ref="C65:D65"/>
    <mergeCell ref="C66:D66"/>
    <mergeCell ref="C58:D58"/>
    <mergeCell ref="C59:D59"/>
    <mergeCell ref="C60:D60"/>
    <mergeCell ref="C61:D61"/>
    <mergeCell ref="C62:D62"/>
    <mergeCell ref="C63:D63"/>
    <mergeCell ref="C87:D87"/>
    <mergeCell ref="C88:D88"/>
    <mergeCell ref="C89:D89"/>
    <mergeCell ref="C90:D90"/>
    <mergeCell ref="C91:D91"/>
    <mergeCell ref="C92:D92"/>
    <mergeCell ref="C82:D82"/>
    <mergeCell ref="C83:D83"/>
    <mergeCell ref="C84:D84"/>
    <mergeCell ref="C85:D85"/>
    <mergeCell ref="C86:D86"/>
    <mergeCell ref="C99:D99"/>
    <mergeCell ref="C100:D100"/>
    <mergeCell ref="C101:D101"/>
    <mergeCell ref="C102:D102"/>
    <mergeCell ref="C103:D103"/>
    <mergeCell ref="C104:D104"/>
    <mergeCell ref="C93:D93"/>
    <mergeCell ref="C94:D94"/>
    <mergeCell ref="C95:D95"/>
    <mergeCell ref="C96:D96"/>
    <mergeCell ref="C97:D97"/>
    <mergeCell ref="C98:D98"/>
    <mergeCell ref="C111:D111"/>
    <mergeCell ref="C112:D112"/>
    <mergeCell ref="C113:D113"/>
    <mergeCell ref="C114:D114"/>
    <mergeCell ref="C115:D115"/>
    <mergeCell ref="C116:D116"/>
    <mergeCell ref="C105:D105"/>
    <mergeCell ref="C106:D106"/>
    <mergeCell ref="C107:D107"/>
    <mergeCell ref="C108:D108"/>
    <mergeCell ref="C109:D109"/>
    <mergeCell ref="C110:D110"/>
    <mergeCell ref="C123:D123"/>
    <mergeCell ref="C124:D124"/>
    <mergeCell ref="C125:D125"/>
    <mergeCell ref="C126:D126"/>
    <mergeCell ref="C127:D127"/>
    <mergeCell ref="C117:D117"/>
    <mergeCell ref="C118:D118"/>
    <mergeCell ref="C119:D119"/>
    <mergeCell ref="C120:D120"/>
    <mergeCell ref="C121:D121"/>
    <mergeCell ref="C122:D122"/>
    <mergeCell ref="C143:D143"/>
    <mergeCell ref="C144:D144"/>
    <mergeCell ref="C145:D145"/>
    <mergeCell ref="C146:D146"/>
    <mergeCell ref="C135:D135"/>
    <mergeCell ref="C136:D136"/>
    <mergeCell ref="C137:D137"/>
    <mergeCell ref="C138:D138"/>
    <mergeCell ref="C139:D139"/>
    <mergeCell ref="C140:D140"/>
    <mergeCell ref="A161:D161"/>
    <mergeCell ref="C134:D134"/>
    <mergeCell ref="C158:D158"/>
    <mergeCell ref="C160:D160"/>
    <mergeCell ref="C162:D162"/>
    <mergeCell ref="C152:D152"/>
    <mergeCell ref="C153:D153"/>
    <mergeCell ref="C154:D154"/>
    <mergeCell ref="C155:D155"/>
    <mergeCell ref="C156:D156"/>
    <mergeCell ref="C157:D157"/>
    <mergeCell ref="C147:D147"/>
    <mergeCell ref="C148:D148"/>
    <mergeCell ref="C149:D149"/>
    <mergeCell ref="C150:D150"/>
    <mergeCell ref="C151:D151"/>
    <mergeCell ref="C141:D141"/>
    <mergeCell ref="C142:D142"/>
    <mergeCell ref="A163:B163"/>
    <mergeCell ref="C163:D163"/>
    <mergeCell ref="A165:B165"/>
    <mergeCell ref="C165:D165"/>
    <mergeCell ref="A167:B167"/>
    <mergeCell ref="C167:D167"/>
    <mergeCell ref="A169:B169"/>
    <mergeCell ref="A171:D171"/>
    <mergeCell ref="A173:B173"/>
    <mergeCell ref="C173:D173"/>
    <mergeCell ref="A175:D175"/>
    <mergeCell ref="A177:D177"/>
    <mergeCell ref="A179:D179"/>
    <mergeCell ref="A181:D181"/>
    <mergeCell ref="A183:D183"/>
  </mergeCells>
  <dataValidations count="9">
    <dataValidation type="list" allowBlank="1" showInputMessage="1" showErrorMessage="1" sqref="C151:D151">
      <formula1>"Good, Bad"</formula1>
    </dataValidation>
    <dataValidation type="list" allowBlank="1" showInputMessage="1" showErrorMessage="1" sqref="C152:D152">
      <formula1>"Underdeveloped,Developing,Developed"</formula1>
    </dataValidation>
    <dataValidation type="list" allowBlank="1" showInputMessage="1" showErrorMessage="1" sqref="C109:D110">
      <formula1>"Load Bearing,RCC,ACC,Composite"</formula1>
    </dataValidation>
    <dataValidation type="list" allowBlank="1" showInputMessage="1" showErrorMessage="1" sqref="C69:D69">
      <formula1>"10%,20%,30%,40%,50%,60%70%,80%,90%,100%"</formula1>
    </dataValidation>
    <dataValidation type="list" allowBlank="1" showInputMessage="1" showErrorMessage="1" sqref="C86:D86">
      <formula1>"Residential,Commercial,Industrial,Agricultura,Mixed use,Institutional,Recreational,Conservation"</formula1>
    </dataValidation>
    <dataValidation type="list" allowBlank="1" showInputMessage="1" showErrorMessage="1" sqref="C50:D50 C52:D52 C54:D54 C57:D63 C66:D68 C72:D74 C76:D76 C89:D90 C92:D92 C125:D127 C154:D158">
      <formula1>"Yes, No, NA"</formula1>
    </dataValidation>
    <dataValidation type="list" allowBlank="1" showInputMessage="1" showErrorMessage="1" sqref="C18:D18">
      <formula1>"Independent House,Flat in Apartment,Under construction property,Open Plot,Row House"</formula1>
    </dataValidation>
    <dataValidation type="list" allowBlank="1" showInputMessage="1" showErrorMessage="1" sqref="C19:D20">
      <formula1>"Residential, Industrial,Commercial,Mixed Usage"</formula1>
    </dataValidation>
    <dataValidation type="list" allowBlank="1" showInputMessage="1" showErrorMessage="1" sqref="C21:D21">
      <formula1>"NA,Self occupied,Let out,Vacant,Partially occupied,Under Construction"</formula1>
    </dataValidation>
  </dataValidations>
  <pageMargins left="3.937007874015748E-2" right="3.937007874015748E-2" top="3.937007874015748E-2" bottom="3.937007874015748E-2" header="3.937007874015748E-2" footer="3.937007874015748E-2"/>
  <pageSetup orientation="portrait" horizontalDpi="90" verticalDpi="90" r:id="rId1" fitToWidth="1" fitToHeight="0"/>
  <rowBreaks count="12" manualBreakCount="12">
    <brk id="21" max="3" man="1"/>
    <brk id="41" max="3" man="1"/>
    <brk id="61" max="3" man="1"/>
    <brk id="79" max="3" man="1"/>
    <brk id="100" max="3" man="1"/>
    <brk id="130" max="3" man="1"/>
    <brk id="159" max="3" man="1"/>
    <brk id="162" min="0" max="16383" man="1"/>
    <brk id="168" min="0" max="16383" man="1"/>
    <brk id="172" min="0" max="16383" man="1"/>
    <brk id="176" min="0" max="16383" man="1"/>
    <brk id="180" min="0"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showGridLines="0" topLeftCell="A7" workbookViewId="0">
      <selection activeCell="B29" sqref="B29"/>
    </sheetView>
  </sheetViews>
  <sheetFormatPr defaultRowHeight="15" x14ac:dyDescent="0.25"/>
  <cols>
    <col min="2" max="2" width="79.85546875" customWidth="1"/>
    <col min="3" max="4" width="14.85546875" customWidth="1"/>
    <col min="5" max="5" width="21.140625" customWidth="1"/>
    <col min="6" max="6" width="31.5703125" customWidth="1"/>
  </cols>
  <sheetData>
    <row r="1" spans="1:6" ht="15.75" thickBot="1" x14ac:dyDescent="0.3">
      <c r="A1" s="249" t="s">
        <v>100</v>
      </c>
      <c r="B1" s="250"/>
      <c r="C1" s="251" t="s">
        <v>162</v>
      </c>
      <c r="D1" s="251"/>
      <c r="E1" s="33" t="s">
        <v>170</v>
      </c>
      <c r="F1" s="34" t="s">
        <v>174</v>
      </c>
    </row>
    <row r="2" spans="1:6" x14ac:dyDescent="0.25">
      <c r="A2" s="5">
        <v>8.1</v>
      </c>
      <c r="B2" s="29" t="s">
        <v>101</v>
      </c>
      <c r="C2" s="244" t="s">
        <v>179</v>
      </c>
      <c r="D2" s="244"/>
      <c r="E2" s="31" t="s">
        <v>167</v>
      </c>
      <c r="F2" s="32" t="s">
        <v>171</v>
      </c>
    </row>
    <row r="3" spans="1:6" x14ac:dyDescent="0.25">
      <c r="A3" s="6">
        <v>8.1999999999999993</v>
      </c>
      <c r="B3" s="10" t="s">
        <v>102</v>
      </c>
      <c r="C3" s="244" t="s">
        <v>179</v>
      </c>
      <c r="D3" s="244"/>
      <c r="E3" s="28" t="s">
        <v>167</v>
      </c>
      <c r="F3" s="32" t="s">
        <v>171</v>
      </c>
    </row>
    <row r="4" spans="1:6" x14ac:dyDescent="0.25">
      <c r="A4" s="6">
        <v>8.3000000000000007</v>
      </c>
      <c r="B4" s="10" t="s">
        <v>103</v>
      </c>
      <c r="C4" s="244" t="s">
        <v>179</v>
      </c>
      <c r="D4" s="244"/>
      <c r="E4" s="28" t="s">
        <v>167</v>
      </c>
      <c r="F4" s="32" t="s">
        <v>171</v>
      </c>
    </row>
    <row r="5" spans="1:6" x14ac:dyDescent="0.25">
      <c r="A5" s="17" t="s">
        <v>146</v>
      </c>
      <c r="B5" s="10" t="s">
        <v>149</v>
      </c>
      <c r="C5" s="244" t="s">
        <v>179</v>
      </c>
      <c r="D5" s="244"/>
      <c r="E5" s="28" t="s">
        <v>167</v>
      </c>
      <c r="F5" s="32" t="s">
        <v>163</v>
      </c>
    </row>
    <row r="6" spans="1:6" ht="30" x14ac:dyDescent="0.25">
      <c r="A6" s="6"/>
      <c r="B6" s="10" t="s">
        <v>105</v>
      </c>
      <c r="C6" s="244"/>
      <c r="D6" s="244"/>
      <c r="E6" s="28"/>
      <c r="F6" s="27" t="s">
        <v>163</v>
      </c>
    </row>
    <row r="7" spans="1:6" x14ac:dyDescent="0.25">
      <c r="A7" s="6"/>
      <c r="B7" s="10" t="s">
        <v>106</v>
      </c>
      <c r="C7" s="244"/>
      <c r="D7" s="244"/>
      <c r="E7" s="28"/>
      <c r="F7" s="27" t="s">
        <v>163</v>
      </c>
    </row>
    <row r="8" spans="1:6" x14ac:dyDescent="0.25">
      <c r="A8" s="6"/>
      <c r="B8" s="9" t="s">
        <v>107</v>
      </c>
      <c r="C8" s="244"/>
      <c r="D8" s="244"/>
      <c r="E8" s="28"/>
      <c r="F8" s="27" t="s">
        <v>184</v>
      </c>
    </row>
    <row r="9" spans="1:6" x14ac:dyDescent="0.25">
      <c r="A9" s="17" t="s">
        <v>147</v>
      </c>
      <c r="B9" s="9" t="s">
        <v>190</v>
      </c>
      <c r="C9" s="244" t="s">
        <v>180</v>
      </c>
      <c r="D9" s="244"/>
      <c r="E9" s="28" t="s">
        <v>180</v>
      </c>
      <c r="F9" s="27" t="s">
        <v>163</v>
      </c>
    </row>
    <row r="10" spans="1:6" x14ac:dyDescent="0.25">
      <c r="A10" s="17" t="s">
        <v>148</v>
      </c>
      <c r="B10" s="10" t="s">
        <v>150</v>
      </c>
      <c r="C10" s="244">
        <f>100*3333</f>
        <v>333300</v>
      </c>
      <c r="D10" s="244"/>
      <c r="E10" s="30">
        <f>996*3333</f>
        <v>3319668</v>
      </c>
      <c r="F10" s="27" t="s">
        <v>172</v>
      </c>
    </row>
    <row r="11" spans="1:6" x14ac:dyDescent="0.25">
      <c r="A11" s="6">
        <v>8.5</v>
      </c>
      <c r="B11" s="11" t="s">
        <v>108</v>
      </c>
      <c r="C11" s="244" t="s">
        <v>164</v>
      </c>
      <c r="D11" s="244"/>
      <c r="E11" s="28" t="s">
        <v>163</v>
      </c>
      <c r="F11" s="27" t="s">
        <v>163</v>
      </c>
    </row>
    <row r="12" spans="1:6" ht="15.75" thickBot="1" x14ac:dyDescent="0.3">
      <c r="A12" s="6">
        <v>8.6</v>
      </c>
      <c r="B12" s="19" t="s">
        <v>109</v>
      </c>
      <c r="C12" s="245" t="s">
        <v>164</v>
      </c>
      <c r="D12" s="245"/>
      <c r="E12" s="28" t="s">
        <v>163</v>
      </c>
      <c r="F12" s="27" t="s">
        <v>163</v>
      </c>
    </row>
    <row r="13" spans="1:6" x14ac:dyDescent="0.25">
      <c r="A13" s="6">
        <v>8.6999999999999993</v>
      </c>
      <c r="B13" s="21" t="s">
        <v>110</v>
      </c>
      <c r="C13" s="246"/>
      <c r="D13" s="246"/>
      <c r="E13" s="28" t="s">
        <v>163</v>
      </c>
      <c r="F13" s="27" t="s">
        <v>163</v>
      </c>
    </row>
    <row r="14" spans="1:6" x14ac:dyDescent="0.25">
      <c r="A14" s="6"/>
      <c r="B14" s="12" t="s">
        <v>111</v>
      </c>
      <c r="C14" s="1" t="s">
        <v>112</v>
      </c>
      <c r="D14" s="23" t="s">
        <v>113</v>
      </c>
      <c r="E14" s="28" t="s">
        <v>163</v>
      </c>
      <c r="F14" s="27" t="s">
        <v>163</v>
      </c>
    </row>
    <row r="15" spans="1:6" x14ac:dyDescent="0.25">
      <c r="A15" s="6"/>
      <c r="B15" s="13" t="s">
        <v>114</v>
      </c>
      <c r="C15" s="2" t="s">
        <v>166</v>
      </c>
      <c r="D15" s="24" t="s">
        <v>166</v>
      </c>
      <c r="E15" s="28" t="s">
        <v>163</v>
      </c>
      <c r="F15" s="27" t="s">
        <v>163</v>
      </c>
    </row>
    <row r="16" spans="1:6" x14ac:dyDescent="0.25">
      <c r="A16" s="6"/>
      <c r="B16" s="13" t="s">
        <v>115</v>
      </c>
      <c r="C16" s="2"/>
      <c r="D16" s="24"/>
      <c r="E16" s="28" t="s">
        <v>163</v>
      </c>
      <c r="F16" s="27" t="s">
        <v>163</v>
      </c>
    </row>
    <row r="17" spans="1:6" x14ac:dyDescent="0.25">
      <c r="A17" s="6"/>
      <c r="B17" s="13" t="s">
        <v>116</v>
      </c>
      <c r="C17" s="2"/>
      <c r="D17" s="24"/>
      <c r="E17" s="28" t="s">
        <v>163</v>
      </c>
      <c r="F17" s="27" t="s">
        <v>163</v>
      </c>
    </row>
    <row r="18" spans="1:6" ht="15.75" thickBot="1" x14ac:dyDescent="0.3">
      <c r="A18" s="6"/>
      <c r="B18" s="13" t="s">
        <v>117</v>
      </c>
      <c r="C18" s="3"/>
      <c r="D18" s="25"/>
      <c r="E18" s="28" t="s">
        <v>163</v>
      </c>
      <c r="F18" s="27" t="s">
        <v>163</v>
      </c>
    </row>
    <row r="19" spans="1:6" ht="15.75" thickBot="1" x14ac:dyDescent="0.3">
      <c r="A19" s="6"/>
      <c r="B19" s="22" t="s">
        <v>118</v>
      </c>
      <c r="C19" s="4"/>
      <c r="D19" s="26"/>
      <c r="E19" s="28" t="s">
        <v>163</v>
      </c>
      <c r="F19" s="27" t="s">
        <v>163</v>
      </c>
    </row>
    <row r="20" spans="1:6" x14ac:dyDescent="0.25">
      <c r="A20" s="6">
        <v>8.8000000000000007</v>
      </c>
      <c r="B20" s="20" t="s">
        <v>183</v>
      </c>
      <c r="C20" s="247" t="s">
        <v>163</v>
      </c>
      <c r="D20" s="248"/>
      <c r="E20" s="28" t="s">
        <v>168</v>
      </c>
      <c r="F20" s="27" t="s">
        <v>165</v>
      </c>
    </row>
    <row r="21" spans="1:6" x14ac:dyDescent="0.25">
      <c r="A21" s="8" t="s">
        <v>151</v>
      </c>
      <c r="B21" s="9" t="s">
        <v>175</v>
      </c>
      <c r="C21" s="239" t="s">
        <v>181</v>
      </c>
      <c r="D21" s="240"/>
      <c r="E21" s="28" t="s">
        <v>169</v>
      </c>
      <c r="F21" s="27" t="s">
        <v>166</v>
      </c>
    </row>
    <row r="22" spans="1:6" x14ac:dyDescent="0.25">
      <c r="A22" s="8">
        <v>8.11</v>
      </c>
      <c r="B22" s="9" t="s">
        <v>104</v>
      </c>
      <c r="C22" s="239" t="s">
        <v>163</v>
      </c>
      <c r="D22" s="240"/>
      <c r="E22" s="28" t="s">
        <v>163</v>
      </c>
      <c r="F22" s="27" t="s">
        <v>173</v>
      </c>
    </row>
    <row r="23" spans="1:6" x14ac:dyDescent="0.25">
      <c r="A23" s="6">
        <v>8.1199999999999992</v>
      </c>
      <c r="B23" s="9" t="s">
        <v>119</v>
      </c>
      <c r="C23" s="239" t="s">
        <v>163</v>
      </c>
      <c r="D23" s="240"/>
      <c r="E23" s="28" t="s">
        <v>164</v>
      </c>
      <c r="F23" s="27" t="s">
        <v>164</v>
      </c>
    </row>
    <row r="24" spans="1:6" x14ac:dyDescent="0.25">
      <c r="A24" s="6">
        <v>8.1300000000000008</v>
      </c>
      <c r="B24" s="9" t="s">
        <v>120</v>
      </c>
      <c r="C24" s="239" t="s">
        <v>163</v>
      </c>
      <c r="D24" s="240"/>
      <c r="E24" s="28" t="s">
        <v>168</v>
      </c>
      <c r="F24" s="27" t="s">
        <v>165</v>
      </c>
    </row>
    <row r="25" spans="1:6" x14ac:dyDescent="0.25">
      <c r="A25" s="17" t="s">
        <v>152</v>
      </c>
      <c r="B25" s="10" t="s">
        <v>159</v>
      </c>
      <c r="C25" s="239" t="s">
        <v>166</v>
      </c>
      <c r="D25" s="240"/>
      <c r="E25" s="28" t="s">
        <v>168</v>
      </c>
      <c r="F25" s="27" t="s">
        <v>165</v>
      </c>
    </row>
    <row r="26" spans="1:6" x14ac:dyDescent="0.25">
      <c r="A26" s="17" t="s">
        <v>153</v>
      </c>
      <c r="B26" s="10" t="s">
        <v>176</v>
      </c>
      <c r="C26" s="239" t="s">
        <v>182</v>
      </c>
      <c r="D26" s="240"/>
      <c r="E26" s="28" t="s">
        <v>182</v>
      </c>
      <c r="F26" s="38" t="s">
        <v>185</v>
      </c>
    </row>
    <row r="27" spans="1:6" x14ac:dyDescent="0.25">
      <c r="A27" s="18" t="s">
        <v>154</v>
      </c>
      <c r="B27" s="14" t="s">
        <v>160</v>
      </c>
      <c r="C27" s="239">
        <v>1280000</v>
      </c>
      <c r="D27" s="240"/>
      <c r="E27" s="30">
        <f>1600*900</f>
        <v>1440000</v>
      </c>
      <c r="F27" s="38">
        <f>1000*4800</f>
        <v>4800000</v>
      </c>
    </row>
    <row r="28" spans="1:6" x14ac:dyDescent="0.25">
      <c r="A28" s="18" t="s">
        <v>155</v>
      </c>
      <c r="B28" s="14" t="s">
        <v>177</v>
      </c>
      <c r="C28" s="239">
        <f>C27+C10</f>
        <v>1613300</v>
      </c>
      <c r="D28" s="240"/>
      <c r="E28" s="30">
        <f>E27+E10</f>
        <v>4759668</v>
      </c>
      <c r="F28" s="38">
        <f>F27</f>
        <v>4800000</v>
      </c>
    </row>
    <row r="29" spans="1:6" x14ac:dyDescent="0.25">
      <c r="A29" s="17" t="s">
        <v>156</v>
      </c>
      <c r="B29" s="9" t="s">
        <v>161</v>
      </c>
      <c r="C29" s="241">
        <v>0.75</v>
      </c>
      <c r="D29" s="240"/>
      <c r="E29" s="35">
        <v>1</v>
      </c>
      <c r="F29" s="39">
        <v>1</v>
      </c>
    </row>
    <row r="30" spans="1:6" x14ac:dyDescent="0.25">
      <c r="A30" s="17" t="s">
        <v>157</v>
      </c>
      <c r="B30" s="9" t="s">
        <v>189</v>
      </c>
      <c r="C30" s="239">
        <f>C27*75%</f>
        <v>960000</v>
      </c>
      <c r="D30" s="240"/>
      <c r="E30" s="30">
        <f>E27</f>
        <v>1440000</v>
      </c>
      <c r="F30" s="38">
        <f>F27</f>
        <v>4800000</v>
      </c>
    </row>
    <row r="31" spans="1:6" ht="15.75" customHeight="1" x14ac:dyDescent="0.25">
      <c r="A31" s="17" t="s">
        <v>158</v>
      </c>
      <c r="B31" s="10" t="s">
        <v>178</v>
      </c>
      <c r="C31" s="239">
        <f>C30+C10</f>
        <v>1293300</v>
      </c>
      <c r="D31" s="240"/>
      <c r="E31" s="30">
        <f>E28</f>
        <v>4759668</v>
      </c>
      <c r="F31" s="38">
        <f>F30</f>
        <v>4800000</v>
      </c>
    </row>
    <row r="32" spans="1:6" x14ac:dyDescent="0.25">
      <c r="A32" s="6">
        <v>8.14</v>
      </c>
      <c r="B32" s="15" t="s">
        <v>188</v>
      </c>
      <c r="C32" s="239">
        <f>C28</f>
        <v>1613300</v>
      </c>
      <c r="D32" s="240"/>
      <c r="E32" s="30">
        <f>E31</f>
        <v>4759668</v>
      </c>
      <c r="F32" s="38">
        <f>F31</f>
        <v>4800000</v>
      </c>
    </row>
    <row r="33" spans="1:6" x14ac:dyDescent="0.25">
      <c r="A33" s="6">
        <v>8.15</v>
      </c>
      <c r="B33" s="10" t="s">
        <v>187</v>
      </c>
      <c r="C33" s="239">
        <f>C32*80%</f>
        <v>1290640</v>
      </c>
      <c r="D33" s="240"/>
      <c r="E33" s="37">
        <f>E32*80%</f>
        <v>3807734.4000000004</v>
      </c>
      <c r="F33" s="38">
        <f>F32*80%</f>
        <v>3840000</v>
      </c>
    </row>
    <row r="34" spans="1:6" ht="15.75" thickBot="1" x14ac:dyDescent="0.3">
      <c r="A34" s="7">
        <v>8.16</v>
      </c>
      <c r="B34" s="16" t="s">
        <v>186</v>
      </c>
      <c r="C34" s="242">
        <f>C32*75%</f>
        <v>1209975</v>
      </c>
      <c r="D34" s="243"/>
      <c r="E34" s="36">
        <f>E32*75%</f>
        <v>3569751</v>
      </c>
      <c r="F34" s="40">
        <f>F32*75%</f>
        <v>3600000</v>
      </c>
    </row>
  </sheetData>
  <mergeCells count="29">
    <mergeCell ref="C10:D10"/>
    <mergeCell ref="A1:B1"/>
    <mergeCell ref="C1:D1"/>
    <mergeCell ref="C2:D2"/>
    <mergeCell ref="C3:D3"/>
    <mergeCell ref="C4:D4"/>
    <mergeCell ref="C5:D5"/>
    <mergeCell ref="C6:D6"/>
    <mergeCell ref="C7:D7"/>
    <mergeCell ref="C8:D8"/>
    <mergeCell ref="C9:D9"/>
    <mergeCell ref="C11:D11"/>
    <mergeCell ref="C12:D12"/>
    <mergeCell ref="C13:D13"/>
    <mergeCell ref="C20:D20"/>
    <mergeCell ref="C21:D21"/>
    <mergeCell ref="C33:D33"/>
    <mergeCell ref="C34:D34"/>
    <mergeCell ref="C23:D23"/>
    <mergeCell ref="C24:D24"/>
    <mergeCell ref="C25:D25"/>
    <mergeCell ref="C26:D26"/>
    <mergeCell ref="C27:D27"/>
    <mergeCell ref="C28:D28"/>
    <mergeCell ref="C22:D22"/>
    <mergeCell ref="C29:D29"/>
    <mergeCell ref="C30:D30"/>
    <mergeCell ref="C31:D31"/>
    <mergeCell ref="C32:D3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UTR Format</vt:lpstr>
      <vt:lpstr>Sheet1</vt:lpstr>
      <vt:lpstr>Calculation Illustration</vt:lpstr>
      <vt:lpstr>'UTR Format'!Print_Area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Oruganti</dc:creator>
  <cp:lastModifiedBy>ADMIN</cp:lastModifiedBy>
  <cp:lastPrinted>2026-01-22T08:49:54Z</cp:lastPrinted>
  <dcterms:created xsi:type="dcterms:W3CDTF">2024-12-06T05:49:32Z</dcterms:created>
  <dcterms:modified xsi:type="dcterms:W3CDTF">2026-02-04T12:12:32Z</dcterms:modified>
</cp:coreProperties>
</file>