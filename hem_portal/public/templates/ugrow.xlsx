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20" yWindow="-120" windowWidth="20730" windowHeight="11160"/>
  </bookViews>
  <sheets>
    <sheet name="Modified Format" sheetId="16" r:id="rId1"/>
    <sheet name="Sheet1" sheetId="17" r:id="rId2"/>
  </sheets>
  <definedNames>
    <definedName name="_xlnm.Print_Area" localSheetId="0">'Modified Format'!$A$1:$E$248</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7" i="16" l="1"/>
  <c r="I15" i="17"/>
  <c r="I14" i="17"/>
  <c r="I13" i="17"/>
  <c r="H16" i="17"/>
  <c r="H20" i="17" s="1"/>
  <c r="G16" i="17"/>
  <c r="I16" i="17" s="1"/>
  <c r="C11" i="16"/>
  <c r="C13" i="16" l="1"/>
  <c r="C90" i="16" l="1"/>
  <c r="C57" i="16" l="1"/>
  <c r="C36" i="16" l="1"/>
  <c r="C99" i="16" l="1"/>
  <c r="C117" i="16" l="1"/>
  <c r="C103" i="16" l="1"/>
  <c r="C102" i="16"/>
</calcChain>
</file>

<file path=xl/sharedStrings.xml><?xml version="1.0" encoding="utf-8"?>
<sst xmlns="http://schemas.openxmlformats.org/spreadsheetml/2006/main" count="244" uniqueCount="190">
  <si>
    <t>H.E.M. ASSOCIATES</t>
  </si>
  <si>
    <t>``</t>
  </si>
  <si>
    <t>UGRO CAPITAL LTD</t>
  </si>
  <si>
    <t xml:space="preserve">Ref. No: </t>
  </si>
  <si>
    <t>Date</t>
  </si>
  <si>
    <t>Purpose of Valuation</t>
  </si>
  <si>
    <t>To access Fair Market Value for Collateral Security based loan.</t>
  </si>
  <si>
    <t>Name of the Customer</t>
  </si>
  <si>
    <t>Registered owner same as the proposed Customer</t>
  </si>
  <si>
    <t>Name of the Property holder</t>
  </si>
  <si>
    <t>6 a</t>
  </si>
  <si>
    <t>Property Address as per documents submitted Legal Address of Property (SURVEY_NO / GAT No./ Khasra No./ Khewat No/ Patta No, etc)</t>
  </si>
  <si>
    <t>6 b</t>
  </si>
  <si>
    <t>Property address as per site visit</t>
  </si>
  <si>
    <t>6 c</t>
  </si>
  <si>
    <t>Property Address as per Case initiation/ firing</t>
  </si>
  <si>
    <t>PIN Code</t>
  </si>
  <si>
    <t>Name of the occupant as per society board and name Plate</t>
  </si>
  <si>
    <t xml:space="preserve">Date of inspection </t>
  </si>
  <si>
    <t>Person met at site</t>
  </si>
  <si>
    <t>GPS Coordinates</t>
  </si>
  <si>
    <t>PROPERTY TYPE DETAILS</t>
  </si>
  <si>
    <t>Nature of Property (Land and Building / Vacant Land)</t>
  </si>
  <si>
    <t>Property Usage
(Residential/Commercial/Mixed/Industrial/Vacant Land/Others)</t>
  </si>
  <si>
    <t>Property Sub Type (Occupancy)
(Selfoccupied/Tenanted/Vacant/Under- Construction )</t>
  </si>
  <si>
    <t>Developer/Builder name (if Apartment)</t>
  </si>
  <si>
    <t>NA</t>
  </si>
  <si>
    <t>Flat/House/Plot no.</t>
  </si>
  <si>
    <t>No. of Stories</t>
  </si>
  <si>
    <t>7 a</t>
  </si>
  <si>
    <t>If Multi-Storied, Total No. of units</t>
  </si>
  <si>
    <t>7 b</t>
  </si>
  <si>
    <t>Unit Details</t>
  </si>
  <si>
    <t>If self occupied, occupied since</t>
  </si>
  <si>
    <t>Name of the Occupant if rented</t>
  </si>
  <si>
    <t>If Vacant, how long vacant.</t>
  </si>
  <si>
    <t>Property Leasehold/ Freehold</t>
  </si>
  <si>
    <t>Freehold</t>
  </si>
  <si>
    <t>Year of Construction of the Building</t>
  </si>
  <si>
    <t>Age of the property (years)</t>
  </si>
  <si>
    <t>Estimated Future Life- Residual Life (years)</t>
  </si>
  <si>
    <t>Plot Demarcated</t>
  </si>
  <si>
    <t>Yes</t>
  </si>
  <si>
    <t>Property Identified through</t>
  </si>
  <si>
    <t>Approach Road width (ft)</t>
  </si>
  <si>
    <t>Present condition of property and structure</t>
  </si>
  <si>
    <t>Boundary details</t>
  </si>
  <si>
    <t>As per site</t>
  </si>
  <si>
    <t>North</t>
  </si>
  <si>
    <t>East</t>
  </si>
  <si>
    <t>West</t>
  </si>
  <si>
    <t>South</t>
  </si>
  <si>
    <t>Boundaries matching (actual with Legla docs)</t>
  </si>
  <si>
    <t>If not matching, specify discrepancy</t>
  </si>
  <si>
    <t>LOCALITY DETAILS</t>
  </si>
  <si>
    <t>Location Vicinity
 (Developed, Developing, Undeveloped, Semi-Urban, Rural)</t>
  </si>
  <si>
    <t>Landmark</t>
  </si>
  <si>
    <t>a) Nearest Railway Station:</t>
  </si>
  <si>
    <t>b) Nearest Bus Stop</t>
  </si>
  <si>
    <t>c) Nearest Hospital</t>
  </si>
  <si>
    <t>d) Distance from City Centre</t>
  </si>
  <si>
    <t>Condition of approach Road (Good/Fair/Poor/Kacha Sadak)</t>
  </si>
  <si>
    <t>Good</t>
  </si>
  <si>
    <t>Mode of Transport to the Property</t>
  </si>
  <si>
    <t>Road</t>
  </si>
  <si>
    <t>STRUCTURAL DETAILS</t>
  </si>
  <si>
    <t>Type of Construction 
(RCC, Load Bearing, Steel Structure/Others)</t>
  </si>
  <si>
    <t>Quality of Construction</t>
  </si>
  <si>
    <t>No of Floors</t>
  </si>
  <si>
    <t>No. of Flats in each Floor (If Apartment)</t>
  </si>
  <si>
    <t xml:space="preserve">QUALITY OF CONSTURUCTION    </t>
  </si>
  <si>
    <t>A</t>
  </si>
  <si>
    <t xml:space="preserve">Exteriors  </t>
  </si>
  <si>
    <t>Beam &amp; Column Structure</t>
  </si>
  <si>
    <t xml:space="preserve">Appearance &amp; Maintenance of Building. </t>
  </si>
  <si>
    <t>Common areas -Reception /Staircase /Overhead water tank/Sanitation/ Water Supply</t>
  </si>
  <si>
    <t xml:space="preserve">Observations such Cracks, Peeling, Sagging Beams, Bending Columns etc., should be reported </t>
  </si>
  <si>
    <t>B</t>
  </si>
  <si>
    <t>Interiors</t>
  </si>
  <si>
    <t xml:space="preserve">Flooring &amp; Finishing  </t>
  </si>
  <si>
    <t xml:space="preserve">Roofing &amp; Terracing </t>
  </si>
  <si>
    <t>Quality of Fittings/ Wood work./ Doors and Windows</t>
  </si>
  <si>
    <t>Flooring in toilets/ W.C./ bath, dado</t>
  </si>
  <si>
    <t>Toilets plumbing lines concealed /open Type of plumbing and san. Fittings, any special fittings, ceiling</t>
  </si>
  <si>
    <t>Electrical installation open or concealed wiring Type of switches tel. points,T.V./ cable points</t>
  </si>
  <si>
    <t>PROPERTY DOCUMENTATION AND DEVIATIONS</t>
  </si>
  <si>
    <t xml:space="preserve">Construction as per Approved/sanction plan </t>
  </si>
  <si>
    <t xml:space="preserve">Details of Approved plan &amp; plans with Approval no &amp; Date </t>
  </si>
  <si>
    <t>Construction Permission number &amp; Date  / Commencement Certificate</t>
  </si>
  <si>
    <t>Occupation/ Completion Certificate</t>
  </si>
  <si>
    <t>Ownership Documents</t>
  </si>
  <si>
    <t>Deviations on the property
 (Percentage of Deviation to be captured as below- if Applicable)</t>
  </si>
  <si>
    <t>Horizontal Deviation</t>
  </si>
  <si>
    <t>Vertical Deviation</t>
  </si>
  <si>
    <t>Setback Deviation</t>
  </si>
  <si>
    <t>6 d</t>
  </si>
  <si>
    <t>Usage Violation</t>
  </si>
  <si>
    <t>6 e</t>
  </si>
  <si>
    <t>Unit Violation</t>
  </si>
  <si>
    <t>6 f</t>
  </si>
  <si>
    <t>Others</t>
  </si>
  <si>
    <t>VALUATION OF THE PROPERTY</t>
  </si>
  <si>
    <t xml:space="preserve">Land area as per Deed / UDS area as per deed   </t>
  </si>
  <si>
    <t xml:space="preserve">Land area as per actual </t>
  </si>
  <si>
    <t xml:space="preserve">Land area adopted </t>
  </si>
  <si>
    <t xml:space="preserve">Rate adopted for valuation </t>
  </si>
  <si>
    <t xml:space="preserve">Total Land value  </t>
  </si>
  <si>
    <t>Total Construction value</t>
  </si>
  <si>
    <t xml:space="preserve">Others (Interiors,Amenties like Sump, OHT, compound ,etc) </t>
  </si>
  <si>
    <t>Fair market value of property</t>
  </si>
  <si>
    <t>Fair market value of the property (in Words)</t>
  </si>
  <si>
    <t>Circle rate (i.e.) Guide line rate for Land</t>
  </si>
  <si>
    <t xml:space="preserve">Realizable Value (90% of Fair market value) </t>
  </si>
  <si>
    <t xml:space="preserve">Forced sale value : (75% of Fair market value) </t>
  </si>
  <si>
    <t>MARKETABILITY</t>
  </si>
  <si>
    <t>For sale (Good/Average/Poor)</t>
  </si>
  <si>
    <t>For lease – estimated rental Income (Good/Average/Poor)</t>
  </si>
  <si>
    <t>Volatility of property prices (Good/Average/Poor)</t>
  </si>
  <si>
    <t>1. Details in case if property going for Re devlopment</t>
  </si>
  <si>
    <t>2. In case if any notices pertaining to society or collateral on the society notice board information on the same</t>
  </si>
  <si>
    <t>3. Recommended/not recommended for Technical Criteria</t>
  </si>
  <si>
    <t>Recommended</t>
  </si>
  <si>
    <t xml:space="preserve">4. Adverse comments about the property if observed (like dispute with tenant, etc )
 </t>
  </si>
  <si>
    <t xml:space="preserve">Photo of the property </t>
  </si>
  <si>
    <t>Attached</t>
  </si>
  <si>
    <t>Client Representative Name during Inspection</t>
  </si>
  <si>
    <t>Date of Inspection</t>
  </si>
  <si>
    <t>ELEVATION</t>
  </si>
  <si>
    <t>ROAD</t>
  </si>
  <si>
    <t>PROPERTY VIEW</t>
  </si>
  <si>
    <t>DECLARATION</t>
  </si>
  <si>
    <t>I have no direct or indirect interest in the property valued.</t>
  </si>
  <si>
    <t>Information furnished in the report is true and correct to the best of my knowledge and belief.</t>
  </si>
  <si>
    <t>Fair market value indicated in the report is an opinion of the value prevailing on the date of the said report and is based on market feedback on values of similar properties. The client is free to obtain other independent opinions on the same. The fair, market value of such properties/localities may increase or decrease, depending on the future market conditions &amp; scenarios. This report does not certify or confirm any ownership or title of the property that has been valued.</t>
  </si>
  <si>
    <t>No structural survey was conducted by us.</t>
  </si>
  <si>
    <t>Checked By</t>
  </si>
  <si>
    <t>Srikanth</t>
  </si>
  <si>
    <t>Submitted By</t>
  </si>
  <si>
    <t>Place</t>
  </si>
  <si>
    <t xml:space="preserve">Proximity </t>
  </si>
  <si>
    <t>METER BOARD</t>
  </si>
  <si>
    <t>ELECTRICITY BILL</t>
  </si>
  <si>
    <t xml:space="preserve">As per document
</t>
  </si>
  <si>
    <t>SELFIE</t>
  </si>
  <si>
    <t>RCC</t>
  </si>
  <si>
    <t xml:space="preserve">Carpet area (approx.) </t>
  </si>
  <si>
    <t>Construction cost adopted for valuation (G)</t>
  </si>
  <si>
    <t>Built up Area Adopted  (G+1)</t>
  </si>
  <si>
    <t>concealed</t>
  </si>
  <si>
    <t xml:space="preserve">Yes </t>
  </si>
  <si>
    <t>Gf -</t>
  </si>
  <si>
    <t>FF</t>
  </si>
  <si>
    <t>SF</t>
  </si>
  <si>
    <t>After road widening as per plan</t>
  </si>
  <si>
    <t>plan</t>
  </si>
  <si>
    <t>Built up Area / Super Built up Area as per actual (SF RCC)</t>
  </si>
  <si>
    <t>Built up Area / Super Built up Area as per actual (FF RCC)</t>
  </si>
  <si>
    <t>Built up Area / Super Built up Area as per actual (GF RCC)</t>
  </si>
  <si>
    <t>LGFL648420260121163457</t>
  </si>
  <si>
    <t>24/01/2026</t>
  </si>
  <si>
    <t>M/S Praveen General Stores and Cold Drinks, represented by Kalapala Praveen,</t>
  </si>
  <si>
    <t xml:space="preserve">R.S. No: 93/2B2, Door No: 3-71, Asst No: 203584000395, Near Church (SDA), Yanamadala Village, Yanamadala Grama Panchayathi, Nuzvidu Mandal, Eluru District, Andhra Pradesh. Pin Code - 523301. </t>
  </si>
  <si>
    <t>Pin Code - 523301</t>
  </si>
  <si>
    <t>23/01/2026</t>
  </si>
  <si>
    <t>Praveen</t>
  </si>
  <si>
    <t xml:space="preserve">16.784222, 80.796861
</t>
  </si>
  <si>
    <t>Under- Construction</t>
  </si>
  <si>
    <t>Door No: 3-71,</t>
  </si>
  <si>
    <t>Ground &amp; First Floor</t>
  </si>
  <si>
    <t>3 Units</t>
  </si>
  <si>
    <t>Ground Floor - 1 Unit (1 BHK), First Floor - 1 Unit (1 BHK), 1 Unit (2BHK)</t>
  </si>
  <si>
    <t>Identified Through, Sc. No. 6611226000726 &amp; Property Tax  Asst No: 203584000395, Dt: 26-11-2025, Rs. 968/-</t>
  </si>
  <si>
    <t>22 Ft CC Road on North Side &amp; 16 Ft CC Road on East Side</t>
  </si>
  <si>
    <t>Panchayathi Road</t>
  </si>
  <si>
    <t>Property of Katuri Chitti Babu</t>
  </si>
  <si>
    <t>Property of Varikuti Prasad</t>
  </si>
  <si>
    <t>22' wide CC Road</t>
  </si>
  <si>
    <t>16' wide CC Road</t>
  </si>
  <si>
    <t>3 Kms</t>
  </si>
  <si>
    <t>28.7 Kms</t>
  </si>
  <si>
    <t>Plan Approval has not Submitted</t>
  </si>
  <si>
    <t xml:space="preserve">I have deputed my representative Mr.Giridhar to Inspect the property. My representative has personally inspected the property.                                                     </t>
  </si>
  <si>
    <r>
      <t>Documents submitted</t>
    </r>
    <r>
      <rPr>
        <sz val="12"/>
        <color theme="1"/>
        <rFont val="Book Antiqua"/>
        <family val="1"/>
      </rPr>
      <t xml:space="preserve">
1) Copy of Regd. Gift Deed bearing Doc No: 13678/2025, Dt: 16-12-2025 at SRO Nuzvidu.</t>
    </r>
    <r>
      <rPr>
        <b/>
        <sz val="12"/>
        <color theme="1"/>
        <rFont val="Book Antiqua"/>
        <family val="1"/>
      </rPr>
      <t xml:space="preserve">        </t>
    </r>
    <r>
      <rPr>
        <sz val="12"/>
        <color theme="1"/>
        <rFont val="Book Antiqua"/>
        <family val="1"/>
      </rPr>
      <t>2) Property Tax Recipt No: TAX26112025024307185, Asst No: 203584000395, Dt: 26-11-2025, Rs. 968/-.                                                                                                                                                       3) Electrical Service No: 6611226000726. Metre No. 33515789</t>
    </r>
  </si>
  <si>
    <t xml:space="preserve">Smt Kalapala Sujatha, W/o K. Praveen, </t>
  </si>
  <si>
    <t xml:space="preserve">R.S. No: 93/2B2, Door No: 3-71, Asst No: 203584000395, Near SDA Church  Yanamadala Village, Yanamadala Grama Panchayathi, Nuzvidu Mandal, Eluru District, Andhra Pradesh. Pin Code - 523301. </t>
  </si>
  <si>
    <t>Residential</t>
  </si>
  <si>
    <t>Developing</t>
  </si>
  <si>
    <t>Near SDA Church</t>
  </si>
  <si>
    <t>Rupees Forty Eight Lakhs Seventy Sev Thousand One Hundred  Only.</t>
  </si>
  <si>
    <r>
      <t>REMARKS</t>
    </r>
    <r>
      <rPr>
        <sz val="11"/>
        <color theme="1"/>
        <rFont val="Book Antiqua"/>
        <family val="1"/>
      </rPr>
      <t xml:space="preserve">
1) The Subject property is existing Ground and proposed First Floor RCC roofed Residential buidling, having Ground Floor - 1 Unit (1 BHK), First Floor - 1 Unit (1 BHK), 1 Unit (2BHK) - Building Under Construction(Not considered for valuation) situated with in The Yanamadala Grama Panchayathi.
</t>
    </r>
    <r>
      <rPr>
        <sz val="11"/>
        <rFont val="Book Antiqua"/>
        <family val="1"/>
      </rPr>
      <t>2) Property is  Identified Through, Sc. No. 6611226000726 &amp; 
Property Tax  Asst No: 203584000395, Dt: 26-11-2025, Rs. 968/-</t>
    </r>
    <r>
      <rPr>
        <sz val="11"/>
        <color theme="1"/>
        <rFont val="Book Antiqua"/>
        <family val="1"/>
      </rPr>
      <t xml:space="preserve">
3) Subject property is surrounded with Residential buildings
4) Legal aspects are beyond the scope of valuation.
5) Property tax &amp; Electricity bill has been submitted. </t>
    </r>
    <r>
      <rPr>
        <sz val="11"/>
        <color rgb="FFFF0000"/>
        <rFont val="Book Antiqua"/>
        <family val="1"/>
      </rPr>
      <t xml:space="preserve">
</t>
    </r>
    <r>
      <rPr>
        <sz val="11"/>
        <color theme="1"/>
        <rFont val="Book Antiqua"/>
        <family val="1"/>
      </rPr>
      <t>6</t>
    </r>
    <r>
      <rPr>
        <sz val="11"/>
        <rFont val="Book Antiqua"/>
        <family val="1"/>
      </rPr>
      <t xml:space="preserve">) Approval  Plan has not submitted. Here Land area as per Deed is 242 Sq.yds &amp; As per Actual 276.5 Sq.yds. Hence we considered the site area as per deed 242 Sq.yds.
7) Sy.no has been verified in Bhuvan portal
8) Subject property is not in the list of prohibited properties.
9) GPS coordinates: 16.784222, 80.796861.
</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</si>
</sst>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quot; KM&quot;"/>
    <numFmt numFmtId="165" formatCode="0.00\ &quot;Sq.Yd.&quot;"/>
    <numFmt numFmtId="166" formatCode="&quot;Rs. &quot;0&quot;/Sq.Yd.&quot;"/>
    <numFmt numFmtId="167" formatCode="&quot;Rs.&quot;0&quot;/-&quot;"/>
    <numFmt numFmtId="168" formatCode="0&quot;Sq.Ft&quot;"/>
    <numFmt numFmtId="169" formatCode="&quot;Rs. &quot;0&quot; Per Sq.Ft&quot;"/>
    <numFmt numFmtId="170" formatCode="0&quot;/Sq.Yd.&quot;"/>
  </numFmts>
  <fonts count="14">
    <font>
      <sz val="11"/>
      <color theme="1"/>
      <name val="Calibri"/>
      <charset val="134"/>
      <scheme val="minor"/>
    </font>
    <font>
      <sz val="11"/>
      <color theme="1"/>
      <name val="Calibri"/>
      <family val="2"/>
      <scheme val="minor"/>
    </font>
    <font>
      <sz val="11"/>
      <color theme="1"/>
      <name val="Book Antiqua"/>
      <family val="1"/>
    </font>
    <font>
      <b/>
      <sz val="24"/>
      <color rgb="FF0070C0"/>
      <name val="Book Antiqua"/>
      <family val="1"/>
    </font>
    <font>
      <b/>
      <sz val="11"/>
      <color theme="1"/>
      <name val="Book Antiqua"/>
      <family val="1"/>
    </font>
    <font>
      <b/>
      <u/>
      <sz val="12"/>
      <color theme="1"/>
      <name val="Book Antiqua"/>
      <family val="1"/>
    </font>
    <font>
      <sz val="12"/>
      <color theme="1"/>
      <name val="Book Antiqua"/>
      <family val="1"/>
    </font>
    <font>
      <sz val="11"/>
      <color rgb="FFFF0000"/>
      <name val="Book Antiqua"/>
      <family val="1"/>
    </font>
    <font>
      <sz val="11"/>
      <name val="Book Antiqua"/>
      <family val="1"/>
    </font>
    <font>
      <b/>
      <sz val="11"/>
      <name val="Book Antiqua"/>
      <family val="1"/>
    </font>
    <font>
      <b/>
      <i/>
      <sz val="11"/>
      <name val="Book Antiqua"/>
      <family val="1"/>
    </font>
    <font>
      <sz val="11"/>
      <name val="Book Antiqua"/>
      <family val="1"/>
    </font>
    <font>
      <b/>
      <u/>
      <sz val="11"/>
      <color theme="1"/>
      <name val="Book Antiqua"/>
      <family val="1"/>
    </font>
    <font>
      <b/>
      <sz val="12"/>
      <color theme="1"/>
      <name val="Book Antiqua"/>
      <family val="1"/>
    </font>
  </fonts>
  <fills count="10">
    <fill>
      <patternFill patternType="none"/>
    </fill>
    <fill>
      <patternFill patternType="gray125"/>
    </fill>
    <fill>
      <patternFill patternType="solid">
        <fgColor theme="8" tint="0.39991454817346722"/>
        <bgColor indexed="64"/>
      </patternFill>
    </fill>
    <fill>
      <patternFill patternType="solid">
        <fgColor rgb="FFFFC000"/>
        <bgColor indexed="64"/>
      </patternFill>
    </fill>
    <fill>
      <patternFill patternType="solid">
        <fgColor theme="7" tint="0.39991454817346722"/>
        <bgColor indexed="64"/>
      </patternFill>
    </fill>
    <fill>
      <patternFill patternType="solid">
        <fgColor theme="0"/>
        <bgColor indexed="64"/>
      </patternFill>
    </fill>
    <fill>
      <patternFill patternType="solid">
        <fgColor theme="2"/>
        <bgColor indexed="64"/>
      </patternFill>
    </fill>
    <fill>
      <patternFill patternType="solid">
        <fgColor indexed="9"/>
        <bgColor indexed="26"/>
      </patternFill>
    </fill>
    <fill>
      <patternFill patternType="solid">
        <fgColor theme="7"/>
        <bgColor indexed="64"/>
      </patternFill>
    </fill>
    <fill>
      <patternFill patternType="solid">
        <fgColor theme="1"/>
        <bgColor indexed="64"/>
      </patternFill>
    </fill>
  </fills>
  <borders count="19">
    <border>
      <left/>
      <right/>
      <top/>
      <bottom/>
      <diagonal/>
    </border>
    <border>
      <left style="thin">
        <color auto="1"/>
      </left>
      <right/>
      <top style="thin">
        <color auto="1"/>
      </top>
      <bottom/>
      <diagonal/>
    </border>
    <border>
      <left style="thin">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158">
    <xf numFmtId="0" fontId="0" fillId="0" borderId="0" xfId="0"/>
    <xf numFmtId="0" fontId="2" fillId="2" borderId="0" xfId="0" applyFont="1" applyFill="1"/>
    <xf numFmtId="0" fontId="2" fillId="3" borderId="0" xfId="0" applyFont="1" applyFill="1"/>
    <xf numFmtId="0" fontId="2" fillId="0" borderId="0" xfId="0" applyFont="1" applyAlignment="1">
      <alignment vertical="top"/>
    </xf>
    <xf numFmtId="0" fontId="2" fillId="0" borderId="0" xfId="0" applyFont="1" applyAlignment="1">
      <alignment vertical="top" wrapText="1"/>
    </xf>
    <xf numFmtId="0" fontId="2" fillId="0" borderId="0" xfId="0" applyFont="1"/>
    <xf numFmtId="0" fontId="4" fillId="0" borderId="7" xfId="0" applyFont="1" applyBorder="1" applyAlignment="1">
      <alignment vertical="top"/>
    </xf>
    <xf numFmtId="0" fontId="2" fillId="0" borderId="7" xfId="0" applyFont="1" applyBorder="1" applyAlignment="1">
      <alignment horizontal="center" vertical="top"/>
    </xf>
    <xf numFmtId="14" fontId="2" fillId="0" borderId="7" xfId="0" applyNumberFormat="1" applyFont="1" applyBorder="1" applyAlignment="1">
      <alignment horizontal="center" vertical="top"/>
    </xf>
    <xf numFmtId="0" fontId="2" fillId="4" borderId="7" xfId="0" applyFont="1" applyFill="1" applyBorder="1" applyAlignment="1">
      <alignment horizontal="center" vertical="top"/>
    </xf>
    <xf numFmtId="0" fontId="2" fillId="4" borderId="7" xfId="0" applyFont="1" applyFill="1" applyBorder="1" applyAlignment="1">
      <alignment vertical="top" wrapText="1"/>
    </xf>
    <xf numFmtId="0" fontId="2" fillId="4" borderId="7" xfId="0" applyFont="1" applyFill="1" applyBorder="1" applyAlignment="1">
      <alignment horizontal="left" vertical="top" wrapText="1"/>
    </xf>
    <xf numFmtId="0" fontId="2" fillId="4" borderId="7" xfId="0" applyFont="1" applyFill="1" applyBorder="1" applyAlignment="1">
      <alignment horizontal="center" vertical="top" wrapText="1"/>
    </xf>
    <xf numFmtId="0" fontId="4" fillId="4" borderId="7" xfId="0" applyFont="1" applyFill="1" applyBorder="1" applyAlignment="1">
      <alignment vertical="top" wrapText="1"/>
    </xf>
    <xf numFmtId="0" fontId="4" fillId="0" borderId="7" xfId="0" applyFont="1" applyBorder="1" applyAlignment="1">
      <alignment horizontal="center" vertical="top" wrapText="1"/>
    </xf>
    <xf numFmtId="0" fontId="2" fillId="4" borderId="7" xfId="0" applyFont="1" applyFill="1" applyBorder="1" applyAlignment="1" applyProtection="1">
      <alignment vertical="top" wrapText="1"/>
      <protection hidden="1"/>
    </xf>
    <xf numFmtId="0" fontId="2" fillId="6" borderId="7" xfId="0" applyFont="1" applyFill="1" applyBorder="1" applyAlignment="1">
      <alignment horizontal="center" vertical="top" wrapText="1"/>
    </xf>
    <xf numFmtId="0" fontId="2" fillId="6" borderId="7" xfId="0" applyFont="1" applyFill="1" applyBorder="1" applyAlignment="1">
      <alignment horizontal="left" vertical="top" wrapText="1"/>
    </xf>
    <xf numFmtId="0" fontId="2" fillId="6" borderId="7" xfId="0" applyFont="1" applyFill="1" applyBorder="1" applyAlignment="1">
      <alignment vertical="top" wrapText="1"/>
    </xf>
    <xf numFmtId="0" fontId="2" fillId="0" borderId="7" xfId="0" applyFont="1" applyBorder="1" applyAlignment="1">
      <alignment vertical="top"/>
    </xf>
    <xf numFmtId="0" fontId="2" fillId="0" borderId="7" xfId="0" applyFont="1" applyBorder="1" applyAlignment="1">
      <alignment vertical="top" wrapText="1"/>
    </xf>
    <xf numFmtId="0" fontId="8" fillId="0" borderId="0" xfId="0" applyFont="1" applyAlignment="1">
      <alignment horizontal="center" vertical="top"/>
    </xf>
    <xf numFmtId="0" fontId="8" fillId="0" borderId="0" xfId="0" applyFont="1" applyAlignment="1">
      <alignment horizontal="left" vertical="top" wrapText="1"/>
    </xf>
    <xf numFmtId="0" fontId="8" fillId="0" borderId="0" xfId="0" applyFont="1" applyAlignment="1">
      <alignment horizontal="left" vertical="top"/>
    </xf>
    <xf numFmtId="0" fontId="8" fillId="7" borderId="0" xfId="0" applyFont="1" applyFill="1" applyAlignment="1">
      <alignment vertical="top"/>
    </xf>
    <xf numFmtId="0" fontId="8" fillId="7" borderId="0" xfId="0" applyFont="1" applyFill="1" applyAlignment="1">
      <alignment vertical="top" wrapText="1"/>
    </xf>
    <xf numFmtId="0" fontId="10" fillId="0" borderId="0" xfId="0" applyFont="1" applyAlignment="1">
      <alignment horizontal="center" vertical="top"/>
    </xf>
    <xf numFmtId="0" fontId="10" fillId="0" borderId="0" xfId="0" applyFont="1" applyAlignment="1">
      <alignment horizontal="left" vertical="top" wrapText="1"/>
    </xf>
    <xf numFmtId="0" fontId="10" fillId="0" borderId="0" xfId="0" applyFont="1" applyAlignment="1">
      <alignment horizontal="left" vertical="top"/>
    </xf>
    <xf numFmtId="18" fontId="2" fillId="4" borderId="7" xfId="0" quotePrefix="1" applyNumberFormat="1" applyFont="1" applyFill="1" applyBorder="1" applyAlignment="1">
      <alignment horizontal="center" vertical="top"/>
    </xf>
    <xf numFmtId="18" fontId="2" fillId="4" borderId="7" xfId="0" quotePrefix="1" applyNumberFormat="1" applyFont="1" applyFill="1" applyBorder="1" applyAlignment="1">
      <alignment horizontal="center" vertical="top" wrapText="1"/>
    </xf>
    <xf numFmtId="0" fontId="2" fillId="4" borderId="7" xfId="0" quotePrefix="1" applyFont="1" applyFill="1" applyBorder="1" applyAlignment="1">
      <alignment horizontal="center" vertical="top" wrapText="1"/>
    </xf>
    <xf numFmtId="0" fontId="4" fillId="3" borderId="8" xfId="0" applyFont="1" applyFill="1" applyBorder="1" applyAlignment="1">
      <alignment horizontal="center" vertical="top" wrapText="1"/>
    </xf>
    <xf numFmtId="0" fontId="2" fillId="8" borderId="0" xfId="0" applyFont="1" applyFill="1" applyAlignment="1">
      <alignment horizontal="center" vertical="center"/>
    </xf>
    <xf numFmtId="0" fontId="4" fillId="3" borderId="8" xfId="0" applyFont="1" applyFill="1" applyBorder="1" applyAlignment="1">
      <alignment horizontal="center" vertical="center" wrapText="1"/>
    </xf>
    <xf numFmtId="0" fontId="6" fillId="0" borderId="7" xfId="0" applyFont="1" applyBorder="1" applyAlignment="1">
      <alignment horizontal="center" vertical="center" wrapText="1"/>
    </xf>
    <xf numFmtId="0" fontId="2" fillId="0" borderId="0" xfId="0" applyFont="1" applyAlignment="1">
      <alignment horizontal="center" vertical="center" wrapText="1"/>
    </xf>
    <xf numFmtId="0" fontId="1" fillId="0" borderId="0" xfId="0" applyFont="1"/>
    <xf numFmtId="0" fontId="2" fillId="0" borderId="7" xfId="0" applyFont="1" applyBorder="1" applyAlignment="1">
      <alignment horizontal="left" vertical="center" wrapText="1"/>
    </xf>
    <xf numFmtId="0" fontId="2" fillId="0" borderId="7" xfId="0" applyFont="1" applyBorder="1" applyAlignment="1">
      <alignment horizontal="center" vertical="top"/>
    </xf>
    <xf numFmtId="14" fontId="2" fillId="0" borderId="7" xfId="0" applyNumberFormat="1" applyFont="1" applyBorder="1" applyAlignment="1">
      <alignment horizontal="center" vertical="top"/>
    </xf>
    <xf numFmtId="0" fontId="9" fillId="0" borderId="0" xfId="0" applyFont="1" applyAlignment="1">
      <alignment horizontal="left" vertical="center"/>
    </xf>
    <xf numFmtId="0" fontId="2" fillId="4" borderId="11" xfId="0" applyFont="1" applyFill="1" applyBorder="1" applyAlignment="1">
      <alignment horizontal="center" vertical="top" wrapText="1"/>
    </xf>
    <xf numFmtId="0" fontId="2" fillId="4" borderId="12" xfId="0" applyFont="1" applyFill="1" applyBorder="1" applyAlignment="1">
      <alignment horizontal="center" vertical="top" wrapText="1"/>
    </xf>
    <xf numFmtId="0" fontId="2" fillId="4" borderId="6" xfId="0" applyFont="1" applyFill="1" applyBorder="1" applyAlignment="1">
      <alignment horizontal="center" vertical="top" wrapText="1"/>
    </xf>
    <xf numFmtId="0" fontId="2" fillId="4" borderId="7" xfId="0" applyFont="1" applyFill="1" applyBorder="1" applyAlignment="1">
      <alignment horizontal="center" vertical="top" wrapText="1"/>
    </xf>
    <xf numFmtId="0" fontId="12" fillId="0" borderId="1" xfId="0" applyFont="1" applyBorder="1" applyAlignment="1">
      <alignment horizontal="left" vertical="top" wrapText="1"/>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2" xfId="0" applyFont="1" applyBorder="1" applyAlignment="1">
      <alignment horizontal="left" vertical="top" wrapText="1"/>
    </xf>
    <xf numFmtId="0" fontId="2" fillId="0" borderId="0" xfId="0" applyFont="1" applyAlignment="1">
      <alignment horizontal="left" vertical="top" wrapText="1"/>
    </xf>
    <xf numFmtId="0" fontId="2" fillId="0" borderId="15" xfId="0" applyFont="1" applyBorder="1" applyAlignment="1">
      <alignment horizontal="left" vertical="top"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2" fillId="0" borderId="18" xfId="0" applyFont="1" applyBorder="1" applyAlignment="1">
      <alignment horizontal="left" vertical="top" wrapText="1"/>
    </xf>
    <xf numFmtId="0" fontId="2" fillId="0" borderId="7" xfId="0" applyFont="1" applyBorder="1" applyAlignment="1">
      <alignment horizontal="center" vertical="top" wrapText="1"/>
    </xf>
    <xf numFmtId="0" fontId="4" fillId="3" borderId="8"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7" xfId="0" applyFont="1" applyFill="1" applyBorder="1" applyAlignment="1">
      <alignment horizontal="center" vertical="center"/>
    </xf>
    <xf numFmtId="0" fontId="2" fillId="0" borderId="7" xfId="0" applyFont="1" applyBorder="1" applyAlignment="1">
      <alignment horizontal="left" vertical="top" wrapText="1"/>
    </xf>
    <xf numFmtId="0" fontId="4" fillId="0" borderId="7" xfId="0" applyFont="1" applyBorder="1" applyAlignment="1">
      <alignment horizontal="left" vertical="top" wrapText="1"/>
    </xf>
    <xf numFmtId="0" fontId="4" fillId="5" borderId="7" xfId="0" applyFont="1" applyFill="1" applyBorder="1" applyAlignment="1">
      <alignment horizontal="left" vertical="top" wrapText="1"/>
    </xf>
    <xf numFmtId="14" fontId="4" fillId="0" borderId="7" xfId="0" applyNumberFormat="1" applyFont="1" applyBorder="1" applyAlignment="1">
      <alignment horizontal="left" vertical="top" wrapText="1"/>
    </xf>
    <xf numFmtId="0" fontId="4" fillId="5" borderId="1" xfId="0" applyFont="1" applyFill="1" applyBorder="1" applyAlignment="1">
      <alignment horizontal="center" vertical="top" wrapText="1"/>
    </xf>
    <xf numFmtId="0" fontId="4" fillId="5" borderId="13" xfId="0" applyFont="1" applyFill="1" applyBorder="1" applyAlignment="1">
      <alignment horizontal="center" vertical="top" wrapText="1"/>
    </xf>
    <xf numFmtId="0" fontId="4" fillId="5" borderId="14" xfId="0" applyFont="1" applyFill="1" applyBorder="1" applyAlignment="1">
      <alignment horizontal="center" vertical="top" wrapText="1"/>
    </xf>
    <xf numFmtId="0" fontId="4" fillId="5" borderId="2" xfId="0" applyFont="1" applyFill="1" applyBorder="1" applyAlignment="1">
      <alignment horizontal="center" vertical="top" wrapText="1"/>
    </xf>
    <xf numFmtId="0" fontId="4" fillId="5" borderId="0" xfId="0" applyFont="1" applyFill="1" applyAlignment="1">
      <alignment horizontal="center" vertical="top" wrapText="1"/>
    </xf>
    <xf numFmtId="0" fontId="4" fillId="5" borderId="15" xfId="0" applyFont="1" applyFill="1" applyBorder="1" applyAlignment="1">
      <alignment horizontal="center" vertical="top" wrapText="1"/>
    </xf>
    <xf numFmtId="0" fontId="4" fillId="5" borderId="16" xfId="0" applyFont="1" applyFill="1" applyBorder="1" applyAlignment="1">
      <alignment horizontal="center" vertical="top" wrapText="1"/>
    </xf>
    <xf numFmtId="0" fontId="4" fillId="5" borderId="17" xfId="0" applyFont="1" applyFill="1" applyBorder="1" applyAlignment="1">
      <alignment horizontal="center" vertical="top" wrapText="1"/>
    </xf>
    <xf numFmtId="0" fontId="4" fillId="5" borderId="18" xfId="0" applyFont="1" applyFill="1" applyBorder="1" applyAlignment="1">
      <alignment horizontal="center" vertical="top" wrapText="1"/>
    </xf>
    <xf numFmtId="0" fontId="4" fillId="0" borderId="1" xfId="0" applyFont="1" applyBorder="1" applyAlignment="1">
      <alignment vertical="top" wrapText="1"/>
    </xf>
    <xf numFmtId="0" fontId="4" fillId="0" borderId="13" xfId="0" applyFont="1" applyBorder="1" applyAlignment="1">
      <alignment vertical="top" wrapText="1"/>
    </xf>
    <xf numFmtId="0" fontId="4" fillId="0" borderId="14" xfId="0" applyFont="1" applyBorder="1" applyAlignment="1">
      <alignment vertical="top" wrapText="1"/>
    </xf>
    <xf numFmtId="0" fontId="4" fillId="0" borderId="2" xfId="0" applyFont="1" applyBorder="1" applyAlignment="1">
      <alignment vertical="top" wrapText="1"/>
    </xf>
    <xf numFmtId="0" fontId="4" fillId="0" borderId="0" xfId="0" applyFont="1" applyAlignment="1">
      <alignment vertical="top" wrapText="1"/>
    </xf>
    <xf numFmtId="0" fontId="4" fillId="0" borderId="15" xfId="0" applyFont="1" applyBorder="1" applyAlignment="1">
      <alignment vertical="top" wrapText="1"/>
    </xf>
    <xf numFmtId="0" fontId="4" fillId="0" borderId="16" xfId="0" applyFont="1" applyBorder="1" applyAlignment="1">
      <alignment vertical="top" wrapText="1"/>
    </xf>
    <xf numFmtId="0" fontId="4" fillId="0" borderId="17" xfId="0" applyFont="1" applyBorder="1" applyAlignment="1">
      <alignment vertical="top" wrapText="1"/>
    </xf>
    <xf numFmtId="0" fontId="4" fillId="0" borderId="18" xfId="0" applyFont="1" applyBorder="1" applyAlignment="1">
      <alignment vertical="top" wrapText="1"/>
    </xf>
    <xf numFmtId="0" fontId="4" fillId="0" borderId="1" xfId="0" applyFont="1" applyBorder="1" applyAlignment="1">
      <alignment horizontal="center" vertical="top" wrapText="1"/>
    </xf>
    <xf numFmtId="0" fontId="4" fillId="0" borderId="13" xfId="0" applyFont="1" applyBorder="1" applyAlignment="1">
      <alignment horizontal="center" vertical="top" wrapText="1"/>
    </xf>
    <xf numFmtId="0" fontId="4" fillId="0" borderId="14" xfId="0" applyFont="1" applyBorder="1" applyAlignment="1">
      <alignment horizontal="center" vertical="top" wrapText="1"/>
    </xf>
    <xf numFmtId="0" fontId="4" fillId="0" borderId="2" xfId="0" applyFont="1" applyBorder="1" applyAlignment="1">
      <alignment horizontal="center" vertical="top" wrapText="1"/>
    </xf>
    <xf numFmtId="0" fontId="4" fillId="0" borderId="0" xfId="0" applyFont="1" applyAlignment="1">
      <alignment horizontal="center" vertical="top" wrapText="1"/>
    </xf>
    <xf numFmtId="0" fontId="4" fillId="0" borderId="15" xfId="0" applyFont="1" applyBorder="1" applyAlignment="1">
      <alignment horizontal="center" vertical="top" wrapText="1"/>
    </xf>
    <xf numFmtId="0" fontId="4" fillId="0" borderId="16" xfId="0" applyFont="1" applyBorder="1" applyAlignment="1">
      <alignment horizontal="center" vertical="top" wrapText="1"/>
    </xf>
    <xf numFmtId="0" fontId="4" fillId="0" borderId="17" xfId="0" applyFont="1" applyBorder="1" applyAlignment="1">
      <alignment horizontal="center" vertical="top" wrapText="1"/>
    </xf>
    <xf numFmtId="0" fontId="4" fillId="0" borderId="18" xfId="0" applyFont="1" applyBorder="1" applyAlignment="1">
      <alignment horizontal="center" vertical="top" wrapText="1"/>
    </xf>
    <xf numFmtId="0" fontId="2" fillId="0" borderId="1" xfId="0" applyFont="1" applyBorder="1" applyAlignment="1">
      <alignment horizontal="center" vertical="top" wrapText="1"/>
    </xf>
    <xf numFmtId="0" fontId="2" fillId="0" borderId="13" xfId="0" applyFont="1" applyBorder="1" applyAlignment="1">
      <alignment horizontal="center" vertical="top" wrapText="1"/>
    </xf>
    <xf numFmtId="0" fontId="2" fillId="0" borderId="14" xfId="0" applyFont="1" applyBorder="1" applyAlignment="1">
      <alignment horizontal="center" vertical="top" wrapText="1"/>
    </xf>
    <xf numFmtId="0" fontId="2" fillId="0" borderId="2" xfId="0" applyFont="1" applyBorder="1" applyAlignment="1">
      <alignment horizontal="center" vertical="top" wrapText="1"/>
    </xf>
    <xf numFmtId="0" fontId="2" fillId="0" borderId="0" xfId="0" applyFont="1" applyAlignment="1">
      <alignment horizontal="center" vertical="top" wrapText="1"/>
    </xf>
    <xf numFmtId="0" fontId="2" fillId="0" borderId="15" xfId="0" applyFont="1" applyBorder="1" applyAlignment="1">
      <alignment horizontal="center" vertical="top" wrapText="1"/>
    </xf>
    <xf numFmtId="0" fontId="2" fillId="0" borderId="16" xfId="0" applyFont="1" applyBorder="1" applyAlignment="1">
      <alignment horizontal="center" vertical="top" wrapText="1"/>
    </xf>
    <xf numFmtId="0" fontId="2" fillId="0" borderId="17" xfId="0" applyFont="1" applyBorder="1" applyAlignment="1">
      <alignment horizontal="center" vertical="top" wrapText="1"/>
    </xf>
    <xf numFmtId="0" fontId="2" fillId="0" borderId="18" xfId="0" applyFont="1" applyBorder="1" applyAlignment="1">
      <alignment horizontal="center" vertical="top" wrapText="1"/>
    </xf>
    <xf numFmtId="0" fontId="4" fillId="3" borderId="9" xfId="0" applyFont="1" applyFill="1" applyBorder="1" applyAlignment="1">
      <alignment horizontal="center" vertical="top"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170" fontId="2" fillId="0" borderId="7" xfId="0" applyNumberFormat="1" applyFont="1" applyBorder="1" applyAlignment="1">
      <alignment horizontal="left" vertical="top" wrapText="1"/>
    </xf>
    <xf numFmtId="0" fontId="4" fillId="3" borderId="7" xfId="0" applyFont="1" applyFill="1" applyBorder="1" applyAlignment="1">
      <alignment horizontal="center"/>
    </xf>
    <xf numFmtId="0" fontId="2" fillId="0" borderId="7" xfId="0" applyFont="1" applyBorder="1" applyAlignment="1">
      <alignment horizontal="left" vertical="top"/>
    </xf>
    <xf numFmtId="168" fontId="8" fillId="0" borderId="7" xfId="0" applyNumberFormat="1" applyFont="1" applyBorder="1" applyAlignment="1">
      <alignment horizontal="left" vertical="top" wrapText="1"/>
    </xf>
    <xf numFmtId="168" fontId="8" fillId="5" borderId="7" xfId="0" applyNumberFormat="1" applyFont="1" applyFill="1" applyBorder="1" applyAlignment="1">
      <alignment horizontal="left" vertical="top" wrapText="1"/>
    </xf>
    <xf numFmtId="169" fontId="8" fillId="5" borderId="7" xfId="0" applyNumberFormat="1" applyFont="1" applyFill="1" applyBorder="1" applyAlignment="1">
      <alignment horizontal="left" vertical="top" wrapText="1"/>
    </xf>
    <xf numFmtId="167" fontId="2" fillId="0" borderId="7" xfId="0" applyNumberFormat="1"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xf>
    <xf numFmtId="0" fontId="8" fillId="0" borderId="9" xfId="0" applyFont="1" applyBorder="1" applyAlignment="1">
      <alignment horizontal="left" vertical="top"/>
    </xf>
    <xf numFmtId="0" fontId="8" fillId="0" borderId="10" xfId="0" applyFont="1" applyBorder="1" applyAlignment="1">
      <alignment horizontal="left" vertical="top"/>
    </xf>
    <xf numFmtId="0" fontId="2" fillId="0" borderId="8" xfId="0" applyFont="1" applyBorder="1" applyAlignment="1">
      <alignment horizontal="left" vertical="top"/>
    </xf>
    <xf numFmtId="0" fontId="2" fillId="0" borderId="9" xfId="0" applyFont="1" applyBorder="1" applyAlignment="1">
      <alignment horizontal="left" vertical="top"/>
    </xf>
    <xf numFmtId="0" fontId="2" fillId="0" borderId="10" xfId="0" applyFont="1" applyBorder="1" applyAlignment="1">
      <alignment horizontal="left" vertical="top"/>
    </xf>
    <xf numFmtId="165" fontId="2" fillId="5" borderId="7" xfId="0" applyNumberFormat="1" applyFont="1" applyFill="1" applyBorder="1" applyAlignment="1">
      <alignment horizontal="left" vertical="top" wrapText="1"/>
    </xf>
    <xf numFmtId="166" fontId="2" fillId="5" borderId="7" xfId="0" applyNumberFormat="1" applyFont="1" applyFill="1" applyBorder="1" applyAlignment="1">
      <alignment horizontal="left" vertical="top" wrapText="1"/>
    </xf>
    <xf numFmtId="0" fontId="2" fillId="0" borderId="7" xfId="0" applyFont="1" applyBorder="1" applyAlignment="1" applyProtection="1">
      <alignment horizontal="left" vertical="top"/>
      <protection hidden="1"/>
    </xf>
    <xf numFmtId="0" fontId="2" fillId="0" borderId="7" xfId="0" applyFont="1" applyBorder="1" applyAlignment="1" applyProtection="1">
      <alignment horizontal="left" vertical="top" wrapText="1"/>
      <protection hidden="1"/>
    </xf>
    <xf numFmtId="0" fontId="2" fillId="0" borderId="8" xfId="0" applyFont="1" applyBorder="1" applyAlignment="1" applyProtection="1">
      <alignment horizontal="left" vertical="top"/>
      <protection hidden="1"/>
    </xf>
    <xf numFmtId="0" fontId="2" fillId="0" borderId="9" xfId="0" applyFont="1" applyBorder="1" applyAlignment="1" applyProtection="1">
      <alignment horizontal="left" vertical="top"/>
      <protection hidden="1"/>
    </xf>
    <xf numFmtId="0" fontId="2" fillId="0" borderId="10" xfId="0" applyFont="1" applyBorder="1" applyAlignment="1" applyProtection="1">
      <alignment horizontal="left" vertical="top"/>
      <protection hidden="1"/>
    </xf>
    <xf numFmtId="0" fontId="2" fillId="0" borderId="8" xfId="0" applyFont="1" applyBorder="1" applyAlignment="1" applyProtection="1">
      <alignment horizontal="left" vertical="top" wrapText="1"/>
      <protection hidden="1"/>
    </xf>
    <xf numFmtId="0" fontId="2" fillId="0" borderId="9" xfId="0" applyFont="1" applyBorder="1" applyAlignment="1" applyProtection="1">
      <alignment horizontal="left" vertical="top" wrapText="1"/>
      <protection hidden="1"/>
    </xf>
    <xf numFmtId="0" fontId="2" fillId="0" borderId="10" xfId="0" applyFont="1" applyBorder="1" applyAlignment="1" applyProtection="1">
      <alignment horizontal="left" vertical="top" wrapText="1"/>
      <protection hidden="1"/>
    </xf>
    <xf numFmtId="0" fontId="8" fillId="0" borderId="7" xfId="0" applyFont="1" applyBorder="1" applyAlignment="1" applyProtection="1">
      <alignment horizontal="left" vertical="top" wrapText="1"/>
      <protection hidden="1"/>
    </xf>
    <xf numFmtId="9" fontId="8" fillId="0" borderId="8" xfId="0" applyNumberFormat="1" applyFont="1" applyBorder="1" applyAlignment="1">
      <alignment horizontal="left" vertical="top"/>
    </xf>
    <xf numFmtId="164" fontId="2" fillId="0" borderId="8" xfId="0" applyNumberFormat="1" applyFont="1" applyBorder="1" applyAlignment="1">
      <alignment horizontal="left" vertical="top"/>
    </xf>
    <xf numFmtId="164" fontId="2" fillId="0" borderId="9" xfId="0" applyNumberFormat="1" applyFont="1" applyBorder="1" applyAlignment="1">
      <alignment horizontal="left" vertical="top"/>
    </xf>
    <xf numFmtId="164" fontId="2" fillId="0" borderId="10" xfId="0" applyNumberFormat="1" applyFont="1" applyBorder="1" applyAlignment="1">
      <alignment horizontal="left" vertical="top"/>
    </xf>
    <xf numFmtId="0" fontId="4" fillId="0" borderId="8" xfId="0" applyFont="1" applyBorder="1" applyAlignment="1">
      <alignment horizontal="center" vertical="top" wrapText="1"/>
    </xf>
    <xf numFmtId="0" fontId="4" fillId="0" borderId="10" xfId="0" applyFont="1" applyBorder="1" applyAlignment="1">
      <alignment horizontal="center" vertical="top"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3" fillId="0" borderId="3" xfId="0" applyFont="1" applyBorder="1" applyAlignment="1" applyProtection="1">
      <alignment horizontal="center" vertical="center" wrapText="1"/>
      <protection hidden="1"/>
    </xf>
    <xf numFmtId="0" fontId="3" fillId="0" borderId="4" xfId="0" applyFont="1" applyBorder="1" applyAlignment="1" applyProtection="1">
      <alignment horizontal="center" vertical="center" wrapText="1"/>
      <protection hidden="1"/>
    </xf>
    <xf numFmtId="0" fontId="3" fillId="0" borderId="5" xfId="0" applyFont="1" applyBorder="1" applyAlignment="1" applyProtection="1">
      <alignment horizontal="center" vertical="center" wrapText="1"/>
      <protection hidden="1"/>
    </xf>
    <xf numFmtId="0" fontId="4" fillId="3" borderId="6" xfId="0" applyFont="1" applyFill="1" applyBorder="1" applyAlignment="1">
      <alignment horizontal="center" vertical="center"/>
    </xf>
    <xf numFmtId="0" fontId="2" fillId="0" borderId="7" xfId="0" applyFont="1" applyBorder="1" applyAlignment="1">
      <alignment horizontal="left"/>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5" fillId="0" borderId="7" xfId="0" applyFont="1" applyBorder="1" applyAlignment="1">
      <alignment horizontal="left" vertical="top" wrapText="1"/>
    </xf>
    <xf numFmtId="0" fontId="6" fillId="0" borderId="7" xfId="0" applyFont="1" applyBorder="1" applyAlignment="1">
      <alignment horizontal="left" vertical="top" wrapText="1"/>
    </xf>
    <xf numFmtId="0" fontId="6" fillId="0" borderId="7" xfId="0" applyFont="1" applyBorder="1" applyAlignment="1">
      <alignment horizontal="left" vertical="top"/>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14" fontId="2" fillId="0" borderId="7" xfId="0" applyNumberFormat="1" applyFont="1" applyBorder="1" applyAlignment="1">
      <alignment horizontal="left" vertical="top"/>
    </xf>
    <xf numFmtId="0" fontId="11" fillId="0" borderId="7" xfId="0" applyFont="1" applyBorder="1" applyAlignment="1">
      <alignment horizontal="left" vertical="top"/>
    </xf>
    <xf numFmtId="0" fontId="13" fillId="5" borderId="8" xfId="0" applyFont="1" applyFill="1" applyBorder="1" applyAlignment="1" applyProtection="1">
      <alignment horizontal="left" vertical="top" wrapText="1"/>
      <protection hidden="1"/>
    </xf>
    <xf numFmtId="0" fontId="13" fillId="5" borderId="9" xfId="0" applyFont="1" applyFill="1" applyBorder="1" applyAlignment="1" applyProtection="1">
      <alignment horizontal="left" vertical="top"/>
      <protection hidden="1"/>
    </xf>
    <xf numFmtId="0" fontId="13" fillId="5" borderId="10" xfId="0" applyFont="1" applyFill="1" applyBorder="1" applyAlignment="1" applyProtection="1">
      <alignment horizontal="left" vertical="top"/>
      <protection hidden="1"/>
    </xf>
    <xf numFmtId="0" fontId="9" fillId="9" borderId="7" xfId="0" applyFont="1" applyFill="1" applyBorder="1" applyAlignment="1">
      <alignment horizontal="left" vertical="top" wrapText="1"/>
    </xf>
    <xf numFmtId="0" fontId="8" fillId="9" borderId="7" xfId="0" applyFont="1" applyFill="1" applyBorder="1" applyAlignment="1">
      <alignment horizontal="left" vertical="top" wrapText="1"/>
    </xf>
    <xf numFmtId="167" fontId="4" fillId="9" borderId="7" xfId="0" applyNumberFormat="1" applyFont="1" applyFill="1" applyBorder="1" applyAlignment="1">
      <alignment horizontal="left" vertical="top" wrapText="1"/>
    </xf>
    <xf numFmtId="167" fontId="2" fillId="0" borderId="7"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167640</xdr:colOff>
      <xdr:row>1</xdr:row>
      <xdr:rowOff>220980</xdr:rowOff>
    </xdr:to>
    <xdr:pic>
      <xdr:nvPicPr>
        <xdr:cNvPr id="2" name="Picture 1" descr="C:\Documents and Settings\kvr\Desktop\untitled.bmp">
          <a:extLst>
            <a:ext uri="{FF2B5EF4-FFF2-40B4-BE49-F238E27FC236}">
              <a16:creationId xmlns:a16="http://schemas.microsoft.com/office/drawing/2014/main" xmlns="" id="{00000000-0008-0000-0000-000002000000}"/>
            </a:ext>
          </a:extLst>
        </xdr:cNvPr>
        <xdr:cNvPicPr/>
      </xdr:nvPicPr>
      <xdr:blipFill>
        <a:blip xmlns:r="http://schemas.openxmlformats.org/officeDocument/2006/relationships" r:embed="rId1">
          <a:lum contrast="-3000"/>
        </a:blip>
        <a:stretch>
          <a:fillRect/>
        </a:stretch>
      </xdr:blipFill>
      <xdr:spPr>
        <a:xfrm>
          <a:off x="0" y="0"/>
          <a:ext cx="792480" cy="944880"/>
        </a:xfrm>
        <a:prstGeom prst="rect">
          <a:avLst/>
        </a:prstGeom>
        <a:noFill/>
        <a:ln>
          <a:noFill/>
        </a:ln>
      </xdr:spPr>
    </xdr:pic>
    <xdr:clientData/>
  </xdr:twoCellAnchor>
  <xdr:twoCellAnchor>
    <xdr:from>
      <xdr:col>1</xdr:col>
      <xdr:colOff>1952625</xdr:colOff>
      <xdr:row>119</xdr:row>
      <xdr:rowOff>0</xdr:rowOff>
    </xdr:from>
    <xdr:to>
      <xdr:col>4</xdr:col>
      <xdr:colOff>1419225</xdr:colOff>
      <xdr:row>119</xdr:row>
      <xdr:rowOff>3305175</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xdr:blipFill>
      <xdr:spPr>
        <a:xfrm>
          <a:off x="28206" y="47767875"/>
          <a:ext cx="4448175" cy="3305175"/>
        </a:xfrm>
        <a:prstGeom prst="rect">
          <a:avLst/>
        </a:prstGeom>
      </xdr:spPr>
    </xdr:pic>
    <xdr:clientData/>
  </xdr:twoCellAnchor>
  <xdr:twoCellAnchor>
    <xdr:from>
      <xdr:col>0</xdr:col>
      <xdr:colOff>0</xdr:colOff>
      <xdr:row>121</xdr:row>
      <xdr:rowOff>0</xdr:rowOff>
    </xdr:from>
    <xdr:to>
      <xdr:col>1</xdr:col>
      <xdr:colOff>1943100</xdr:colOff>
      <xdr:row>121</xdr:row>
      <xdr:rowOff>3286125</xdr:rowOff>
    </xdr:to>
    <xdr:pic>
      <xdr:nvPicPr>
        <xdr:cNvPr id="6" name="Picture 5">
          <a:extLst>
            <a:ext uri="{FF2B5EF4-FFF2-40B4-BE49-F238E27FC236}">
              <a16:creationId xmlns:a16="http://schemas.microsoft.com/office/drawing/2014/main" xmlns="" id="{00000000-0008-0000-00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xdr:blipFill>
      <xdr:spPr>
        <a:xfrm>
          <a:off x="2426741" y="47777400"/>
          <a:ext cx="2590800" cy="3286125"/>
        </a:xfrm>
        <a:prstGeom prst="rect">
          <a:avLst/>
        </a:prstGeom>
      </xdr:spPr>
    </xdr:pic>
    <xdr:clientData/>
  </xdr:twoCellAnchor>
  <xdr:twoCellAnchor>
    <xdr:from>
      <xdr:col>0</xdr:col>
      <xdr:colOff>0</xdr:colOff>
      <xdr:row>119</xdr:row>
      <xdr:rowOff>0</xdr:rowOff>
    </xdr:from>
    <xdr:to>
      <xdr:col>1</xdr:col>
      <xdr:colOff>1943100</xdr:colOff>
      <xdr:row>119</xdr:row>
      <xdr:rowOff>3305175</xdr:rowOff>
    </xdr:to>
    <xdr:pic>
      <xdr:nvPicPr>
        <xdr:cNvPr id="9" name="Picture 8">
          <a:extLst>
            <a:ext uri="{FF2B5EF4-FFF2-40B4-BE49-F238E27FC236}">
              <a16:creationId xmlns:a16="http://schemas.microsoft.com/office/drawing/2014/main" xmlns="" id="{00000000-0008-0000-00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xdr:blipFill>
      <xdr:spPr>
        <a:xfrm>
          <a:off x="4462825" y="47758350"/>
          <a:ext cx="2590800" cy="3305175"/>
        </a:xfrm>
        <a:prstGeom prst="rect">
          <a:avLst/>
        </a:prstGeom>
      </xdr:spPr>
    </xdr:pic>
    <xdr:clientData/>
  </xdr:twoCellAnchor>
  <xdr:twoCellAnchor>
    <xdr:from>
      <xdr:col>1</xdr:col>
      <xdr:colOff>1952625</xdr:colOff>
      <xdr:row>121</xdr:row>
      <xdr:rowOff>0</xdr:rowOff>
    </xdr:from>
    <xdr:to>
      <xdr:col>4</xdr:col>
      <xdr:colOff>1419225</xdr:colOff>
      <xdr:row>121</xdr:row>
      <xdr:rowOff>3286125</xdr:rowOff>
    </xdr:to>
    <xdr:pic>
      <xdr:nvPicPr>
        <xdr:cNvPr id="10" name="Picture 9">
          <a:extLst>
            <a:ext uri="{FF2B5EF4-FFF2-40B4-BE49-F238E27FC236}">
              <a16:creationId xmlns:a16="http://schemas.microsoft.com/office/drawing/2014/main" xmlns="" id="{00000000-0008-0000-0000-00000A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xdr:blipFill>
      <xdr:spPr>
        <a:xfrm>
          <a:off x="28576" y="51320700"/>
          <a:ext cx="4448175" cy="3286125"/>
        </a:xfrm>
        <a:prstGeom prst="rect">
          <a:avLst/>
        </a:prstGeom>
      </xdr:spPr>
    </xdr:pic>
    <xdr:clientData/>
  </xdr:twoCellAnchor>
  <xdr:twoCellAnchor>
    <xdr:from>
      <xdr:col>1</xdr:col>
      <xdr:colOff>1952625</xdr:colOff>
      <xdr:row>123</xdr:row>
      <xdr:rowOff>0</xdr:rowOff>
    </xdr:from>
    <xdr:to>
      <xdr:col>4</xdr:col>
      <xdr:colOff>1419225</xdr:colOff>
      <xdr:row>123</xdr:row>
      <xdr:rowOff>2905126</xdr:rowOff>
    </xdr:to>
    <xdr:pic>
      <xdr:nvPicPr>
        <xdr:cNvPr id="12" name="Picture 11">
          <a:extLst>
            <a:ext uri="{FF2B5EF4-FFF2-40B4-BE49-F238E27FC236}">
              <a16:creationId xmlns:a16="http://schemas.microsoft.com/office/drawing/2014/main" xmlns="" id="{00000000-0008-0000-0000-00000C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xdr:blipFill>
      <xdr:spPr>
        <a:xfrm>
          <a:off x="4638675" y="51339750"/>
          <a:ext cx="4448175" cy="2905126"/>
        </a:xfrm>
        <a:prstGeom prst="rect">
          <a:avLst/>
        </a:prstGeom>
      </xdr:spPr>
    </xdr:pic>
    <xdr:clientData/>
  </xdr:twoCellAnchor>
  <xdr:twoCellAnchor>
    <xdr:from>
      <xdr:col>0</xdr:col>
      <xdr:colOff>0</xdr:colOff>
      <xdr:row>125</xdr:row>
      <xdr:rowOff>0</xdr:rowOff>
    </xdr:from>
    <xdr:to>
      <xdr:col>1</xdr:col>
      <xdr:colOff>1943100</xdr:colOff>
      <xdr:row>125</xdr:row>
      <xdr:rowOff>2705100</xdr:rowOff>
    </xdr:to>
    <xdr:pic>
      <xdr:nvPicPr>
        <xdr:cNvPr id="13" name="Picture 12">
          <a:extLst>
            <a:ext uri="{FF2B5EF4-FFF2-40B4-BE49-F238E27FC236}">
              <a16:creationId xmlns:a16="http://schemas.microsoft.com/office/drawing/2014/main" xmlns="" id="{00000000-0008-0000-0000-00000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xdr:blipFill>
      <xdr:spPr>
        <a:xfrm>
          <a:off x="45491" y="54454425"/>
          <a:ext cx="2590800" cy="2705100"/>
        </a:xfrm>
        <a:prstGeom prst="rect">
          <a:avLst/>
        </a:prstGeom>
      </xdr:spPr>
    </xdr:pic>
    <xdr:clientData/>
  </xdr:twoCellAnchor>
  <xdr:twoCellAnchor>
    <xdr:from>
      <xdr:col>1</xdr:col>
      <xdr:colOff>1952625</xdr:colOff>
      <xdr:row>125</xdr:row>
      <xdr:rowOff>0</xdr:rowOff>
    </xdr:from>
    <xdr:to>
      <xdr:col>4</xdr:col>
      <xdr:colOff>1419225</xdr:colOff>
      <xdr:row>125</xdr:row>
      <xdr:rowOff>2705100</xdr:rowOff>
    </xdr:to>
    <xdr:pic>
      <xdr:nvPicPr>
        <xdr:cNvPr id="14" name="Picture 13">
          <a:extLst>
            <a:ext uri="{FF2B5EF4-FFF2-40B4-BE49-F238E27FC236}">
              <a16:creationId xmlns:a16="http://schemas.microsoft.com/office/drawing/2014/main" xmlns="" id="{00000000-0008-0000-0000-00000E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xdr:blipFill>
      <xdr:spPr>
        <a:xfrm>
          <a:off x="2362200" y="54459550"/>
          <a:ext cx="4448175" cy="2705100"/>
        </a:xfrm>
        <a:prstGeom prst="rect">
          <a:avLst/>
        </a:prstGeom>
      </xdr:spPr>
    </xdr:pic>
    <xdr:clientData/>
  </xdr:twoCellAnchor>
  <xdr:twoCellAnchor>
    <xdr:from>
      <xdr:col>0</xdr:col>
      <xdr:colOff>0</xdr:colOff>
      <xdr:row>123</xdr:row>
      <xdr:rowOff>0</xdr:rowOff>
    </xdr:from>
    <xdr:to>
      <xdr:col>1</xdr:col>
      <xdr:colOff>1943100</xdr:colOff>
      <xdr:row>123</xdr:row>
      <xdr:rowOff>2905126</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xdr:blipFill>
      <xdr:spPr>
        <a:xfrm>
          <a:off x="2421497" y="51330225"/>
          <a:ext cx="2590800" cy="2905126"/>
        </a:xfrm>
        <a:prstGeom prst="rect">
          <a:avLst/>
        </a:prstGeom>
      </xdr:spPr>
    </xdr:pic>
    <xdr:clientData/>
  </xdr:twoCellAnchor>
  <xdr:twoCellAnchor>
    <xdr:from>
      <xdr:col>0</xdr:col>
      <xdr:colOff>0</xdr:colOff>
      <xdr:row>129</xdr:row>
      <xdr:rowOff>0</xdr:rowOff>
    </xdr:from>
    <xdr:to>
      <xdr:col>4</xdr:col>
      <xdr:colOff>1419225</xdr:colOff>
      <xdr:row>129</xdr:row>
      <xdr:rowOff>3324225</xdr:rowOff>
    </xdr:to>
    <xdr:pic>
      <xdr:nvPicPr>
        <xdr:cNvPr id="5" name="Picture 4">
          <a:extLst>
            <a:ext uri="{FF2B5EF4-FFF2-40B4-BE49-F238E27FC236}">
              <a16:creationId xmlns:a16="http://schemas.microsoft.com/office/drawing/2014/main" xmlns="" id="{B3DE7D6E-42D4-2542-1BA9-C1E79725E244}"/>
            </a:ext>
          </a:extLst>
        </xdr:cNvPr>
        <xdr:cNvPicPr>
          <a:picLocks noChangeAspect="1"/>
        </xdr:cNvPicPr>
      </xdr:nvPicPr>
      <xdr:blipFill>
        <a:blip xmlns:r="http://schemas.openxmlformats.org/officeDocument/2006/relationships" r:embed="rId10"/>
        <a:stretch>
          <a:fillRect/>
        </a:stretch>
      </xdr:blipFill>
      <xdr:spPr>
        <a:xfrm>
          <a:off x="0" y="57369075"/>
          <a:ext cx="7048500" cy="3324225"/>
        </a:xfrm>
        <a:prstGeom prst="rect">
          <a:avLst/>
        </a:prstGeom>
      </xdr:spPr>
    </xdr:pic>
    <xdr:clientData/>
  </xdr:twoCellAnchor>
  <xdr:twoCellAnchor>
    <xdr:from>
      <xdr:col>0</xdr:col>
      <xdr:colOff>0</xdr:colOff>
      <xdr:row>131</xdr:row>
      <xdr:rowOff>0</xdr:rowOff>
    </xdr:from>
    <xdr:to>
      <xdr:col>4</xdr:col>
      <xdr:colOff>1419225</xdr:colOff>
      <xdr:row>131</xdr:row>
      <xdr:rowOff>3324225</xdr:rowOff>
    </xdr:to>
    <xdr:pic>
      <xdr:nvPicPr>
        <xdr:cNvPr id="7" name="Picture 6">
          <a:extLst>
            <a:ext uri="{FF2B5EF4-FFF2-40B4-BE49-F238E27FC236}">
              <a16:creationId xmlns:a16="http://schemas.microsoft.com/office/drawing/2014/main" xmlns="" id="{50B3F731-3ABD-2507-5E81-8219E850F948}"/>
            </a:ext>
          </a:extLst>
        </xdr:cNvPr>
        <xdr:cNvPicPr>
          <a:picLocks noChangeAspect="1"/>
        </xdr:cNvPicPr>
      </xdr:nvPicPr>
      <xdr:blipFill>
        <a:blip xmlns:r="http://schemas.openxmlformats.org/officeDocument/2006/relationships" r:embed="rId11"/>
        <a:stretch>
          <a:fillRect/>
        </a:stretch>
      </xdr:blipFill>
      <xdr:spPr>
        <a:xfrm>
          <a:off x="1" y="60721875"/>
          <a:ext cx="7048500" cy="3324225"/>
        </a:xfrm>
        <a:prstGeom prst="rect">
          <a:avLst/>
        </a:prstGeom>
      </xdr:spPr>
    </xdr:pic>
    <xdr:clientData/>
  </xdr:twoCellAnchor>
  <xdr:twoCellAnchor>
    <xdr:from>
      <xdr:col>0</xdr:col>
      <xdr:colOff>0</xdr:colOff>
      <xdr:row>133</xdr:row>
      <xdr:rowOff>0</xdr:rowOff>
    </xdr:from>
    <xdr:to>
      <xdr:col>4</xdr:col>
      <xdr:colOff>1419225</xdr:colOff>
      <xdr:row>133</xdr:row>
      <xdr:rowOff>3095625</xdr:rowOff>
    </xdr:to>
    <xdr:pic>
      <xdr:nvPicPr>
        <xdr:cNvPr id="11" name="Picture 10">
          <a:extLst>
            <a:ext uri="{FF2B5EF4-FFF2-40B4-BE49-F238E27FC236}">
              <a16:creationId xmlns:a16="http://schemas.microsoft.com/office/drawing/2014/main" xmlns="" id="{95ACE652-D7FA-411F-5A7C-FD5170D7A9D4}"/>
            </a:ext>
          </a:extLst>
        </xdr:cNvPr>
        <xdr:cNvPicPr>
          <a:picLocks noChangeAspect="1"/>
        </xdr:cNvPicPr>
      </xdr:nvPicPr>
      <xdr:blipFill>
        <a:blip xmlns:r="http://schemas.openxmlformats.org/officeDocument/2006/relationships" r:embed="rId12"/>
        <a:stretch>
          <a:fillRect/>
        </a:stretch>
      </xdr:blipFill>
      <xdr:spPr>
        <a:xfrm>
          <a:off x="0" y="64074675"/>
          <a:ext cx="7048500" cy="3095625"/>
        </a:xfrm>
        <a:prstGeom prst="rect">
          <a:avLst/>
        </a:prstGeom>
      </xdr:spPr>
    </xdr:pic>
    <xdr:clientData/>
  </xdr:twoCellAnchor>
  <xdr:twoCellAnchor>
    <xdr:from>
      <xdr:col>0</xdr:col>
      <xdr:colOff>0</xdr:colOff>
      <xdr:row>137</xdr:row>
      <xdr:rowOff>0</xdr:rowOff>
    </xdr:from>
    <xdr:to>
      <xdr:col>4</xdr:col>
      <xdr:colOff>1419225</xdr:colOff>
      <xdr:row>137</xdr:row>
      <xdr:rowOff>3009900</xdr:rowOff>
    </xdr:to>
    <xdr:pic>
      <xdr:nvPicPr>
        <xdr:cNvPr id="16" name="Picture 15">
          <a:extLst>
            <a:ext uri="{FF2B5EF4-FFF2-40B4-BE49-F238E27FC236}">
              <a16:creationId xmlns:a16="http://schemas.microsoft.com/office/drawing/2014/main" xmlns="" id="{07164BA4-BD3A-4D3A-CC5A-8C706BA2FED4}"/>
            </a:ext>
          </a:extLst>
        </xdr:cNvPr>
        <xdr:cNvPicPr>
          <a:picLocks noChangeAspect="1"/>
        </xdr:cNvPicPr>
      </xdr:nvPicPr>
      <xdr:blipFill>
        <a:blip xmlns:r="http://schemas.openxmlformats.org/officeDocument/2006/relationships" r:embed="rId13"/>
        <a:stretch>
          <a:fillRect/>
        </a:stretch>
      </xdr:blipFill>
      <xdr:spPr>
        <a:xfrm>
          <a:off x="0" y="67217926"/>
          <a:ext cx="7048500" cy="3009900"/>
        </a:xfrm>
        <a:prstGeom prst="rect">
          <a:avLst/>
        </a:prstGeom>
      </xdr:spPr>
    </xdr:pic>
    <xdr:clientData/>
  </xdr:twoCellAnchor>
  <xdr:twoCellAnchor>
    <xdr:from>
      <xdr:col>0</xdr:col>
      <xdr:colOff>0</xdr:colOff>
      <xdr:row>135</xdr:row>
      <xdr:rowOff>0</xdr:rowOff>
    </xdr:from>
    <xdr:to>
      <xdr:col>4</xdr:col>
      <xdr:colOff>1419225</xdr:colOff>
      <xdr:row>135</xdr:row>
      <xdr:rowOff>2933700</xdr:rowOff>
    </xdr:to>
    <xdr:pic>
      <xdr:nvPicPr>
        <xdr:cNvPr id="17" name="Picture 16">
          <a:extLst>
            <a:ext uri="{FF2B5EF4-FFF2-40B4-BE49-F238E27FC236}">
              <a16:creationId xmlns:a16="http://schemas.microsoft.com/office/drawing/2014/main" xmlns="" id="{FA776FE7-01E3-421A-9F1E-3B6B264A0F92}"/>
            </a:ext>
          </a:extLst>
        </xdr:cNvPr>
        <xdr:cNvPicPr>
          <a:picLocks noChangeAspect="1"/>
        </xdr:cNvPicPr>
      </xdr:nvPicPr>
      <xdr:blipFill>
        <a:blip xmlns:r="http://schemas.openxmlformats.org/officeDocument/2006/relationships" r:embed="rId14"/>
        <a:stretch>
          <a:fillRect/>
        </a:stretch>
      </xdr:blipFill>
      <xdr:spPr>
        <a:xfrm>
          <a:off x="3295650" y="67217925"/>
          <a:ext cx="7048500" cy="2933700"/>
        </a:xfrm>
        <a:prstGeom prst="rect">
          <a:avLst/>
        </a:prstGeom>
      </xdr:spPr>
    </xdr:pic>
    <xdr:clientData/>
  </xdr:twoCellAnchor>
  <xdr:twoCellAnchor>
    <xdr:from>
      <xdr:col>0</xdr:col>
      <xdr:colOff>0</xdr:colOff>
      <xdr:row>139</xdr:row>
      <xdr:rowOff>0</xdr:rowOff>
    </xdr:from>
    <xdr:to>
      <xdr:col>4</xdr:col>
      <xdr:colOff>1419225</xdr:colOff>
      <xdr:row>139</xdr:row>
      <xdr:rowOff>2609850</xdr:rowOff>
    </xdr:to>
    <xdr:pic>
      <xdr:nvPicPr>
        <xdr:cNvPr id="18" name="Picture 17">
          <a:extLst>
            <a:ext uri="{FF2B5EF4-FFF2-40B4-BE49-F238E27FC236}">
              <a16:creationId xmlns:a16="http://schemas.microsoft.com/office/drawing/2014/main" xmlns="" id="{4FC051FA-3734-2818-3EB6-B2660D7EE02C}"/>
            </a:ext>
          </a:extLst>
        </xdr:cNvPr>
        <xdr:cNvPicPr>
          <a:picLocks noChangeAspect="1"/>
        </xdr:cNvPicPr>
      </xdr:nvPicPr>
      <xdr:blipFill>
        <a:blip xmlns:r="http://schemas.openxmlformats.org/officeDocument/2006/relationships" r:embed="rId15"/>
        <a:stretch>
          <a:fillRect/>
        </a:stretch>
      </xdr:blipFill>
      <xdr:spPr>
        <a:xfrm>
          <a:off x="1" y="70170675"/>
          <a:ext cx="7048500" cy="2609850"/>
        </a:xfrm>
        <a:prstGeom prst="rect">
          <a:avLst/>
        </a:prstGeom>
      </xdr:spPr>
    </xdr:pic>
    <xdr:clientData/>
  </xdr:twoCellAnchor>
  <xdr:twoCellAnchor>
    <xdr:from>
      <xdr:col>0</xdr:col>
      <xdr:colOff>0</xdr:colOff>
      <xdr:row>141</xdr:row>
      <xdr:rowOff>0</xdr:rowOff>
    </xdr:from>
    <xdr:to>
      <xdr:col>4</xdr:col>
      <xdr:colOff>1419225</xdr:colOff>
      <xdr:row>141</xdr:row>
      <xdr:rowOff>3486150</xdr:rowOff>
    </xdr:to>
    <xdr:pic>
      <xdr:nvPicPr>
        <xdr:cNvPr id="19" name="Picture 18">
          <a:extLst>
            <a:ext uri="{FF2B5EF4-FFF2-40B4-BE49-F238E27FC236}">
              <a16:creationId xmlns:a16="http://schemas.microsoft.com/office/drawing/2014/main" xmlns="" id="{6E27107C-2116-410B-696A-69DB49922B16}"/>
            </a:ext>
          </a:extLst>
        </xdr:cNvPr>
        <xdr:cNvPicPr>
          <a:picLocks noChangeAspect="1"/>
        </xdr:cNvPicPr>
      </xdr:nvPicPr>
      <xdr:blipFill>
        <a:blip xmlns:r="http://schemas.openxmlformats.org/officeDocument/2006/relationships" r:embed="rId16"/>
        <a:stretch>
          <a:fillRect/>
        </a:stretch>
      </xdr:blipFill>
      <xdr:spPr>
        <a:xfrm>
          <a:off x="66675" y="72675750"/>
          <a:ext cx="7048500" cy="3486150"/>
        </a:xfrm>
        <a:prstGeom prst="rect">
          <a:avLst/>
        </a:prstGeom>
      </xdr:spPr>
    </xdr:pic>
    <xdr:clientData/>
  </xdr:twoCellAnchor>
  <xdr:twoCellAnchor>
    <xdr:from>
      <xdr:col>0</xdr:col>
      <xdr:colOff>0</xdr:colOff>
      <xdr:row>127</xdr:row>
      <xdr:rowOff>0</xdr:rowOff>
    </xdr:from>
    <xdr:to>
      <xdr:col>1</xdr:col>
      <xdr:colOff>1943100</xdr:colOff>
      <xdr:row>127</xdr:row>
      <xdr:rowOff>2647949</xdr:rowOff>
    </xdr:to>
    <xdr:pic>
      <xdr:nvPicPr>
        <xdr:cNvPr id="20" name="Picture 19">
          <a:extLst>
            <a:ext uri="{FF2B5EF4-FFF2-40B4-BE49-F238E27FC236}">
              <a16:creationId xmlns:a16="http://schemas.microsoft.com/office/drawing/2014/main" xmlns="" id="{C98E4F56-69B6-7E43-BE73-25A4B6372123}"/>
            </a:ext>
          </a:extLst>
        </xdr:cNvPr>
        <xdr:cNvPicPr>
          <a:picLocks noChangeAspect="1"/>
        </xdr:cNvPicPr>
      </xdr:nvPicPr>
      <xdr:blipFill rotWithShape="1">
        <a:blip xmlns:r="http://schemas.openxmlformats.org/officeDocument/2006/relationships" r:embed="rId17"/>
        <a:stretch>
          <a:fillRect/>
        </a:stretch>
      </xdr:blipFill>
      <xdr:spPr>
        <a:xfrm>
          <a:off x="4638673" y="54473476"/>
          <a:ext cx="2590800" cy="26479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XFC307"/>
  <sheetViews>
    <sheetView tabSelected="1" view="pageBreakPreview" zoomScaleSheetLayoutView="100" workbookViewId="0">
      <selection activeCell="H6" sqref="H6"/>
    </sheetView>
  </sheetViews>
  <sheetFormatPr defaultColWidth="8.5703125" defaultRowHeight="16.5"/>
  <cols>
    <col min="1" max="1" width="9.140625" style="3" customWidth="1"/>
    <col min="2" max="2" width="28.7109375" style="4" customWidth="1"/>
    <col min="3" max="3" width="25.7109375" style="3" customWidth="1"/>
    <col min="4" max="4" width="18.5703125" style="3" customWidth="1"/>
    <col min="5" max="5" width="20.85546875" style="3" customWidth="1"/>
    <col min="6" max="16384" width="8.5703125" style="5"/>
  </cols>
  <sheetData>
    <row r="1" spans="1:5 16383:16383" ht="57" customHeight="1">
      <c r="A1" s="135" t="s">
        <v>0</v>
      </c>
      <c r="B1" s="136"/>
      <c r="C1" s="136"/>
      <c r="D1" s="136"/>
      <c r="E1" s="137"/>
      <c r="XFC1" s="5" t="s">
        <v>1</v>
      </c>
    </row>
    <row r="2" spans="1:5 16383:16383" ht="18.600000000000001" customHeight="1">
      <c r="A2" s="138" t="s">
        <v>2</v>
      </c>
      <c r="B2" s="138"/>
      <c r="C2" s="138"/>
      <c r="D2" s="138"/>
      <c r="E2" s="138"/>
    </row>
    <row r="3" spans="1:5 16383:16383">
      <c r="A3" s="6" t="s">
        <v>3</v>
      </c>
      <c r="B3" s="139" t="s">
        <v>158</v>
      </c>
      <c r="C3" s="139"/>
      <c r="D3" s="7" t="s">
        <v>4</v>
      </c>
      <c r="E3" s="8" t="s">
        <v>163</v>
      </c>
    </row>
    <row r="4" spans="1:5 16383:16383">
      <c r="A4" s="9">
        <v>1</v>
      </c>
      <c r="B4" s="10" t="s">
        <v>5</v>
      </c>
      <c r="C4" s="60" t="s">
        <v>6</v>
      </c>
      <c r="D4" s="60"/>
      <c r="E4" s="60"/>
    </row>
    <row r="5" spans="1:5 16383:16383" ht="32.25" customHeight="1">
      <c r="A5" s="9">
        <v>2</v>
      </c>
      <c r="B5" s="10" t="s">
        <v>7</v>
      </c>
      <c r="C5" s="140" t="s">
        <v>160</v>
      </c>
      <c r="D5" s="141"/>
      <c r="E5" s="142"/>
    </row>
    <row r="6" spans="1:5 16383:16383" ht="82.5" customHeight="1">
      <c r="A6" s="9">
        <v>3</v>
      </c>
      <c r="B6" s="143" t="s">
        <v>182</v>
      </c>
      <c r="C6" s="143"/>
      <c r="D6" s="143"/>
      <c r="E6" s="143"/>
    </row>
    <row r="7" spans="1:5 16383:16383" ht="31.7" customHeight="1">
      <c r="A7" s="9">
        <v>4</v>
      </c>
      <c r="B7" s="10" t="s">
        <v>8</v>
      </c>
      <c r="C7" s="39" t="s">
        <v>26</v>
      </c>
      <c r="D7" s="39"/>
      <c r="E7" s="39"/>
    </row>
    <row r="8" spans="1:5 16383:16383" ht="35.25" customHeight="1">
      <c r="A8" s="9">
        <v>5</v>
      </c>
      <c r="B8" s="10" t="s">
        <v>9</v>
      </c>
      <c r="C8" s="59" t="s">
        <v>183</v>
      </c>
      <c r="D8" s="104"/>
      <c r="E8" s="104"/>
    </row>
    <row r="9" spans="1:5 16383:16383" ht="66.75" customHeight="1">
      <c r="A9" s="29" t="s">
        <v>10</v>
      </c>
      <c r="B9" s="10" t="s">
        <v>11</v>
      </c>
      <c r="C9" s="59" t="s">
        <v>161</v>
      </c>
      <c r="D9" s="104"/>
      <c r="E9" s="104"/>
    </row>
    <row r="10" spans="1:5 16383:16383" ht="67.5" customHeight="1">
      <c r="A10" s="29" t="s">
        <v>12</v>
      </c>
      <c r="B10" s="10" t="s">
        <v>13</v>
      </c>
      <c r="C10" s="59" t="s">
        <v>184</v>
      </c>
      <c r="D10" s="104"/>
      <c r="E10" s="104"/>
    </row>
    <row r="11" spans="1:5 16383:16383" ht="72" customHeight="1">
      <c r="A11" s="29" t="s">
        <v>14</v>
      </c>
      <c r="B11" s="10" t="s">
        <v>15</v>
      </c>
      <c r="C11" s="146" t="str">
        <f>C10</f>
        <v xml:space="preserve">R.S. No: 93/2B2, Door No: 3-71, Asst No: 203584000395, Near SDA Church  Yanamadala Village, Yanamadala Grama Panchayathi, Nuzvidu Mandal, Eluru District, Andhra Pradesh. Pin Code - 523301. </v>
      </c>
      <c r="D11" s="147"/>
      <c r="E11" s="148"/>
    </row>
    <row r="12" spans="1:5 16383:16383">
      <c r="A12" s="9">
        <v>7</v>
      </c>
      <c r="B12" s="10" t="s">
        <v>16</v>
      </c>
      <c r="C12" s="104" t="s">
        <v>162</v>
      </c>
      <c r="D12" s="104"/>
      <c r="E12" s="104"/>
    </row>
    <row r="13" spans="1:5 16383:16383" ht="33" customHeight="1">
      <c r="A13" s="9">
        <v>8</v>
      </c>
      <c r="B13" s="10" t="s">
        <v>17</v>
      </c>
      <c r="C13" s="140" t="str">
        <f>C5</f>
        <v>M/S Praveen General Stores and Cold Drinks, represented by Kalapala Praveen,</v>
      </c>
      <c r="D13" s="141"/>
      <c r="E13" s="142"/>
    </row>
    <row r="14" spans="1:5 16383:16383">
      <c r="A14" s="9">
        <v>9</v>
      </c>
      <c r="B14" s="10" t="s">
        <v>18</v>
      </c>
      <c r="C14" s="149" t="s">
        <v>163</v>
      </c>
      <c r="D14" s="104"/>
      <c r="E14" s="104"/>
    </row>
    <row r="15" spans="1:5 16383:16383" ht="19.5" customHeight="1">
      <c r="A15" s="9">
        <v>10</v>
      </c>
      <c r="B15" s="10" t="s">
        <v>19</v>
      </c>
      <c r="C15" s="109" t="s">
        <v>164</v>
      </c>
      <c r="D15" s="150"/>
      <c r="E15" s="150"/>
    </row>
    <row r="16" spans="1:5 16383:16383">
      <c r="A16" s="9">
        <v>11</v>
      </c>
      <c r="B16" s="11" t="s">
        <v>20</v>
      </c>
      <c r="C16" s="151" t="s">
        <v>165</v>
      </c>
      <c r="D16" s="152"/>
      <c r="E16" s="153"/>
    </row>
    <row r="17" spans="1:5" ht="14.45" customHeight="1">
      <c r="A17" s="58" t="s">
        <v>21</v>
      </c>
      <c r="B17" s="58"/>
      <c r="C17" s="58"/>
      <c r="D17" s="58"/>
      <c r="E17" s="58"/>
    </row>
    <row r="18" spans="1:5" ht="39.75" customHeight="1">
      <c r="A18" s="12">
        <v>1</v>
      </c>
      <c r="B18" s="11" t="s">
        <v>22</v>
      </c>
      <c r="C18" s="104" t="s">
        <v>144</v>
      </c>
      <c r="D18" s="104"/>
      <c r="E18" s="104"/>
    </row>
    <row r="19" spans="1:5" ht="61.9" customHeight="1">
      <c r="A19" s="12">
        <v>2</v>
      </c>
      <c r="B19" s="11" t="s">
        <v>23</v>
      </c>
      <c r="C19" s="104" t="s">
        <v>185</v>
      </c>
      <c r="D19" s="104"/>
      <c r="E19" s="104"/>
    </row>
    <row r="20" spans="1:5" ht="71.25" customHeight="1">
      <c r="A20" s="12">
        <v>3</v>
      </c>
      <c r="B20" s="11" t="s">
        <v>24</v>
      </c>
      <c r="C20" s="144" t="s">
        <v>166</v>
      </c>
      <c r="D20" s="145"/>
      <c r="E20" s="145"/>
    </row>
    <row r="21" spans="1:5" ht="33">
      <c r="A21" s="12">
        <v>4</v>
      </c>
      <c r="B21" s="10" t="s">
        <v>25</v>
      </c>
      <c r="C21" s="104" t="s">
        <v>26</v>
      </c>
      <c r="D21" s="104"/>
      <c r="E21" s="104"/>
    </row>
    <row r="22" spans="1:5" ht="19.149999999999999" customHeight="1">
      <c r="A22" s="12">
        <v>5</v>
      </c>
      <c r="B22" s="10" t="s">
        <v>27</v>
      </c>
      <c r="C22" s="144" t="s">
        <v>167</v>
      </c>
      <c r="D22" s="145"/>
      <c r="E22" s="145"/>
    </row>
    <row r="23" spans="1:5" ht="33.6" customHeight="1">
      <c r="A23" s="12">
        <v>6</v>
      </c>
      <c r="B23" s="10" t="s">
        <v>28</v>
      </c>
      <c r="C23" s="59" t="s">
        <v>168</v>
      </c>
      <c r="D23" s="104"/>
      <c r="E23" s="104"/>
    </row>
    <row r="24" spans="1:5" ht="41.25" customHeight="1">
      <c r="A24" s="30" t="s">
        <v>29</v>
      </c>
      <c r="B24" s="10" t="s">
        <v>30</v>
      </c>
      <c r="C24" s="59" t="s">
        <v>169</v>
      </c>
      <c r="D24" s="104"/>
      <c r="E24" s="104"/>
    </row>
    <row r="25" spans="1:5" ht="37.5" customHeight="1">
      <c r="A25" s="31" t="s">
        <v>31</v>
      </c>
      <c r="B25" s="10" t="s">
        <v>32</v>
      </c>
      <c r="C25" s="59" t="s">
        <v>170</v>
      </c>
      <c r="D25" s="104"/>
      <c r="E25" s="104"/>
    </row>
    <row r="26" spans="1:5" ht="33">
      <c r="A26" s="12">
        <v>8</v>
      </c>
      <c r="B26" s="10" t="s">
        <v>33</v>
      </c>
      <c r="C26" s="59" t="s">
        <v>166</v>
      </c>
      <c r="D26" s="104"/>
      <c r="E26" s="104"/>
    </row>
    <row r="27" spans="1:5" ht="33">
      <c r="A27" s="12">
        <v>9</v>
      </c>
      <c r="B27" s="10" t="s">
        <v>34</v>
      </c>
      <c r="C27" s="59" t="s">
        <v>26</v>
      </c>
      <c r="D27" s="104"/>
      <c r="E27" s="104"/>
    </row>
    <row r="28" spans="1:5">
      <c r="A28" s="12">
        <v>10</v>
      </c>
      <c r="B28" s="10" t="s">
        <v>35</v>
      </c>
      <c r="C28" s="59" t="s">
        <v>26</v>
      </c>
      <c r="D28" s="104"/>
      <c r="E28" s="104"/>
    </row>
    <row r="29" spans="1:5" ht="33">
      <c r="A29" s="12">
        <v>11</v>
      </c>
      <c r="B29" s="10" t="s">
        <v>36</v>
      </c>
      <c r="C29" s="59" t="s">
        <v>37</v>
      </c>
      <c r="D29" s="104"/>
      <c r="E29" s="104"/>
    </row>
    <row r="30" spans="1:5" ht="19.5" customHeight="1">
      <c r="A30" s="12">
        <v>12</v>
      </c>
      <c r="B30" s="10" t="s">
        <v>38</v>
      </c>
      <c r="C30" s="59" t="s">
        <v>166</v>
      </c>
      <c r="D30" s="104"/>
      <c r="E30" s="104"/>
    </row>
    <row r="31" spans="1:5" ht="20.25" customHeight="1">
      <c r="A31" s="12">
        <v>13</v>
      </c>
      <c r="B31" s="10" t="s">
        <v>39</v>
      </c>
      <c r="C31" s="59" t="s">
        <v>166</v>
      </c>
      <c r="D31" s="104"/>
      <c r="E31" s="104"/>
    </row>
    <row r="32" spans="1:5" ht="17.25" customHeight="1">
      <c r="A32" s="12">
        <v>14</v>
      </c>
      <c r="B32" s="10" t="s">
        <v>40</v>
      </c>
      <c r="C32" s="59" t="s">
        <v>166</v>
      </c>
      <c r="D32" s="104"/>
      <c r="E32" s="104"/>
    </row>
    <row r="33" spans="1:12">
      <c r="A33" s="12">
        <v>15</v>
      </c>
      <c r="B33" s="10" t="s">
        <v>41</v>
      </c>
      <c r="C33" s="118" t="s">
        <v>42</v>
      </c>
      <c r="D33" s="118"/>
      <c r="E33" s="118"/>
    </row>
    <row r="34" spans="1:12" ht="31.5" customHeight="1">
      <c r="A34" s="12">
        <v>16</v>
      </c>
      <c r="B34" s="10" t="s">
        <v>43</v>
      </c>
      <c r="C34" s="59" t="s">
        <v>171</v>
      </c>
      <c r="D34" s="104"/>
      <c r="E34" s="104"/>
    </row>
    <row r="35" spans="1:12">
      <c r="A35" s="12">
        <v>17</v>
      </c>
      <c r="B35" s="10" t="s">
        <v>44</v>
      </c>
      <c r="C35" s="118" t="s">
        <v>172</v>
      </c>
      <c r="D35" s="118"/>
      <c r="E35" s="118"/>
    </row>
    <row r="36" spans="1:12" ht="33">
      <c r="A36" s="12">
        <v>18</v>
      </c>
      <c r="B36" s="10" t="s">
        <v>45</v>
      </c>
      <c r="C36" s="118" t="str">
        <f>C18</f>
        <v>RCC</v>
      </c>
      <c r="D36" s="118"/>
      <c r="E36" s="118"/>
    </row>
    <row r="37" spans="1:12" ht="16.5" customHeight="1">
      <c r="A37" s="42">
        <v>19</v>
      </c>
      <c r="B37" s="13" t="s">
        <v>46</v>
      </c>
      <c r="C37" s="14" t="s">
        <v>47</v>
      </c>
      <c r="D37" s="131" t="s">
        <v>142</v>
      </c>
      <c r="E37" s="132"/>
    </row>
    <row r="38" spans="1:12" ht="36" customHeight="1">
      <c r="A38" s="43"/>
      <c r="B38" s="10" t="s">
        <v>48</v>
      </c>
      <c r="C38" s="36" t="s">
        <v>173</v>
      </c>
      <c r="D38" s="133" t="s">
        <v>176</v>
      </c>
      <c r="E38" s="134"/>
    </row>
    <row r="39" spans="1:12" ht="25.5" customHeight="1">
      <c r="A39" s="43"/>
      <c r="B39" s="10" t="s">
        <v>49</v>
      </c>
      <c r="C39" s="36" t="s">
        <v>173</v>
      </c>
      <c r="D39" s="133" t="s">
        <v>177</v>
      </c>
      <c r="E39" s="134"/>
    </row>
    <row r="40" spans="1:12" ht="30.75" customHeight="1">
      <c r="A40" s="43"/>
      <c r="B40" s="10" t="s">
        <v>50</v>
      </c>
      <c r="C40" s="35" t="s">
        <v>174</v>
      </c>
      <c r="D40" s="133" t="s">
        <v>174</v>
      </c>
      <c r="E40" s="134"/>
      <c r="L40" s="2"/>
    </row>
    <row r="41" spans="1:12" ht="34.5" customHeight="1">
      <c r="A41" s="44"/>
      <c r="B41" s="10" t="s">
        <v>51</v>
      </c>
      <c r="C41" s="36" t="s">
        <v>175</v>
      </c>
      <c r="D41" s="133" t="s">
        <v>175</v>
      </c>
      <c r="E41" s="134"/>
    </row>
    <row r="42" spans="1:12" ht="33">
      <c r="A42" s="12">
        <v>20</v>
      </c>
      <c r="B42" s="10" t="s">
        <v>52</v>
      </c>
      <c r="C42" s="39" t="s">
        <v>42</v>
      </c>
      <c r="D42" s="39"/>
      <c r="E42" s="39"/>
    </row>
    <row r="43" spans="1:12" ht="33">
      <c r="A43" s="12">
        <v>21</v>
      </c>
      <c r="B43" s="10" t="s">
        <v>53</v>
      </c>
      <c r="C43" s="39" t="s">
        <v>26</v>
      </c>
      <c r="D43" s="39"/>
      <c r="E43" s="39"/>
    </row>
    <row r="44" spans="1:12" ht="14.45" customHeight="1">
      <c r="A44" s="103" t="s">
        <v>54</v>
      </c>
      <c r="B44" s="103"/>
      <c r="C44" s="103"/>
      <c r="D44" s="103"/>
      <c r="E44" s="103"/>
    </row>
    <row r="45" spans="1:12" ht="69.75" customHeight="1">
      <c r="A45" s="12">
        <v>1</v>
      </c>
      <c r="B45" s="10" t="s">
        <v>55</v>
      </c>
      <c r="C45" s="104" t="s">
        <v>186</v>
      </c>
      <c r="D45" s="104"/>
      <c r="E45" s="104"/>
    </row>
    <row r="46" spans="1:12">
      <c r="A46" s="12">
        <v>2</v>
      </c>
      <c r="B46" s="10" t="s">
        <v>56</v>
      </c>
      <c r="C46" s="104" t="s">
        <v>187</v>
      </c>
      <c r="D46" s="104"/>
      <c r="E46" s="104"/>
    </row>
    <row r="47" spans="1:12">
      <c r="A47" s="12">
        <v>3</v>
      </c>
      <c r="B47" s="10" t="s">
        <v>139</v>
      </c>
      <c r="C47" s="104"/>
      <c r="D47" s="104"/>
      <c r="E47" s="104"/>
    </row>
    <row r="48" spans="1:12">
      <c r="A48" s="12"/>
      <c r="B48" s="15" t="s">
        <v>57</v>
      </c>
      <c r="C48" s="128" t="s">
        <v>179</v>
      </c>
      <c r="D48" s="129"/>
      <c r="E48" s="130"/>
    </row>
    <row r="49" spans="1:5">
      <c r="A49" s="12"/>
      <c r="B49" s="15" t="s">
        <v>58</v>
      </c>
      <c r="C49" s="128" t="s">
        <v>178</v>
      </c>
      <c r="D49" s="129"/>
      <c r="E49" s="130"/>
    </row>
    <row r="50" spans="1:5">
      <c r="A50" s="12"/>
      <c r="B50" s="15" t="s">
        <v>59</v>
      </c>
      <c r="C50" s="128" t="s">
        <v>178</v>
      </c>
      <c r="D50" s="129"/>
      <c r="E50" s="130"/>
    </row>
    <row r="51" spans="1:5" ht="18" customHeight="1">
      <c r="A51" s="12"/>
      <c r="B51" s="10" t="s">
        <v>60</v>
      </c>
      <c r="C51" s="128" t="s">
        <v>178</v>
      </c>
      <c r="D51" s="129"/>
      <c r="E51" s="130"/>
    </row>
    <row r="52" spans="1:5" ht="46.5" customHeight="1">
      <c r="A52" s="12">
        <v>4</v>
      </c>
      <c r="B52" s="10" t="s">
        <v>61</v>
      </c>
      <c r="C52" s="104" t="s">
        <v>62</v>
      </c>
      <c r="D52" s="104"/>
      <c r="E52" s="104"/>
    </row>
    <row r="53" spans="1:5" ht="33">
      <c r="A53" s="12">
        <v>5</v>
      </c>
      <c r="B53" s="10" t="s">
        <v>63</v>
      </c>
      <c r="C53" s="118" t="s">
        <v>64</v>
      </c>
      <c r="D53" s="118"/>
      <c r="E53" s="118"/>
    </row>
    <row r="54" spans="1:5" ht="14.45" customHeight="1">
      <c r="A54" s="103" t="s">
        <v>65</v>
      </c>
      <c r="B54" s="103"/>
      <c r="C54" s="103"/>
      <c r="D54" s="103"/>
      <c r="E54" s="103"/>
    </row>
    <row r="55" spans="1:5" ht="49.5">
      <c r="A55" s="12">
        <v>1</v>
      </c>
      <c r="B55" s="10" t="s">
        <v>66</v>
      </c>
      <c r="C55" s="104" t="s">
        <v>144</v>
      </c>
      <c r="D55" s="104"/>
      <c r="E55" s="104"/>
    </row>
    <row r="56" spans="1:5">
      <c r="A56" s="12">
        <v>2</v>
      </c>
      <c r="B56" s="10" t="s">
        <v>67</v>
      </c>
      <c r="C56" s="104" t="s">
        <v>166</v>
      </c>
      <c r="D56" s="104"/>
      <c r="E56" s="104"/>
    </row>
    <row r="57" spans="1:5" ht="31.5" customHeight="1">
      <c r="A57" s="12">
        <v>3</v>
      </c>
      <c r="B57" s="10" t="s">
        <v>68</v>
      </c>
      <c r="C57" s="59" t="str">
        <f>C23</f>
        <v>Ground &amp; First Floor</v>
      </c>
      <c r="D57" s="59"/>
      <c r="E57" s="59"/>
    </row>
    <row r="58" spans="1:5" ht="33" customHeight="1">
      <c r="A58" s="12">
        <v>4</v>
      </c>
      <c r="B58" s="10" t="s">
        <v>69</v>
      </c>
      <c r="C58" s="59" t="s">
        <v>170</v>
      </c>
      <c r="D58" s="104"/>
      <c r="E58" s="104"/>
    </row>
    <row r="59" spans="1:5" ht="20.25" customHeight="1">
      <c r="A59" s="103" t="s">
        <v>70</v>
      </c>
      <c r="B59" s="103"/>
      <c r="C59" s="103"/>
      <c r="D59" s="103"/>
      <c r="E59" s="103"/>
    </row>
    <row r="60" spans="1:5">
      <c r="A60" s="12" t="s">
        <v>71</v>
      </c>
      <c r="B60" s="13" t="s">
        <v>72</v>
      </c>
      <c r="C60" s="118"/>
      <c r="D60" s="118"/>
      <c r="E60" s="118"/>
    </row>
    <row r="61" spans="1:5">
      <c r="A61" s="12">
        <v>1</v>
      </c>
      <c r="B61" s="10" t="s">
        <v>73</v>
      </c>
      <c r="C61" s="118" t="s">
        <v>62</v>
      </c>
      <c r="D61" s="118"/>
      <c r="E61" s="118"/>
    </row>
    <row r="62" spans="1:5" ht="33">
      <c r="A62" s="12">
        <v>2</v>
      </c>
      <c r="B62" s="10" t="s">
        <v>74</v>
      </c>
      <c r="C62" s="118" t="s">
        <v>62</v>
      </c>
      <c r="D62" s="118"/>
      <c r="E62" s="118"/>
    </row>
    <row r="63" spans="1:5" ht="66">
      <c r="A63" s="12">
        <v>3</v>
      </c>
      <c r="B63" s="10" t="s">
        <v>75</v>
      </c>
      <c r="C63" s="118" t="s">
        <v>26</v>
      </c>
      <c r="D63" s="118"/>
      <c r="E63" s="118"/>
    </row>
    <row r="64" spans="1:5" ht="66">
      <c r="A64" s="12">
        <v>4</v>
      </c>
      <c r="B64" s="10" t="s">
        <v>76</v>
      </c>
      <c r="C64" s="118" t="s">
        <v>26</v>
      </c>
      <c r="D64" s="118"/>
      <c r="E64" s="118"/>
    </row>
    <row r="65" spans="1:5" ht="14.45" customHeight="1">
      <c r="A65" s="12" t="s">
        <v>77</v>
      </c>
      <c r="B65" s="13" t="s">
        <v>78</v>
      </c>
      <c r="C65" s="118"/>
      <c r="D65" s="118"/>
      <c r="E65" s="118"/>
    </row>
    <row r="66" spans="1:5">
      <c r="A66" s="12">
        <v>1</v>
      </c>
      <c r="B66" s="10" t="s">
        <v>79</v>
      </c>
      <c r="C66" s="118" t="s">
        <v>62</v>
      </c>
      <c r="D66" s="118"/>
      <c r="E66" s="118"/>
    </row>
    <row r="67" spans="1:5">
      <c r="A67" s="12">
        <v>2</v>
      </c>
      <c r="B67" s="10" t="s">
        <v>80</v>
      </c>
      <c r="C67" s="118" t="s">
        <v>62</v>
      </c>
      <c r="D67" s="118"/>
      <c r="E67" s="118"/>
    </row>
    <row r="68" spans="1:5" ht="33">
      <c r="A68" s="12">
        <v>3</v>
      </c>
      <c r="B68" s="10" t="s">
        <v>81</v>
      </c>
      <c r="C68" s="118" t="s">
        <v>62</v>
      </c>
      <c r="D68" s="118"/>
      <c r="E68" s="118"/>
    </row>
    <row r="69" spans="1:5" ht="18.75" customHeight="1">
      <c r="A69" s="12">
        <v>4</v>
      </c>
      <c r="B69" s="10" t="s">
        <v>82</v>
      </c>
      <c r="C69" s="118" t="s">
        <v>62</v>
      </c>
      <c r="D69" s="118"/>
      <c r="E69" s="118"/>
    </row>
    <row r="70" spans="1:5" ht="66">
      <c r="A70" s="12">
        <v>5</v>
      </c>
      <c r="B70" s="10" t="s">
        <v>83</v>
      </c>
      <c r="C70" s="118" t="s">
        <v>26</v>
      </c>
      <c r="D70" s="118"/>
      <c r="E70" s="118"/>
    </row>
    <row r="71" spans="1:5" ht="48" customHeight="1">
      <c r="A71" s="12">
        <v>6</v>
      </c>
      <c r="B71" s="10" t="s">
        <v>84</v>
      </c>
      <c r="C71" s="118" t="s">
        <v>148</v>
      </c>
      <c r="D71" s="118"/>
      <c r="E71" s="118"/>
    </row>
    <row r="72" spans="1:5" ht="14.45" customHeight="1">
      <c r="A72" s="103" t="s">
        <v>85</v>
      </c>
      <c r="B72" s="103"/>
      <c r="C72" s="103"/>
      <c r="D72" s="103"/>
      <c r="E72" s="103"/>
    </row>
    <row r="73" spans="1:5" ht="33">
      <c r="A73" s="12">
        <v>1</v>
      </c>
      <c r="B73" s="10" t="s">
        <v>86</v>
      </c>
      <c r="C73" s="118" t="s">
        <v>26</v>
      </c>
      <c r="D73" s="118"/>
      <c r="E73" s="118"/>
    </row>
    <row r="74" spans="1:5" ht="49.5">
      <c r="A74" s="12">
        <v>2</v>
      </c>
      <c r="B74" s="10" t="s">
        <v>87</v>
      </c>
      <c r="C74" s="119" t="s">
        <v>180</v>
      </c>
      <c r="D74" s="119"/>
      <c r="E74" s="119"/>
    </row>
    <row r="75" spans="1:5" ht="49.5" customHeight="1">
      <c r="A75" s="12">
        <v>3</v>
      </c>
      <c r="B75" s="10" t="s">
        <v>88</v>
      </c>
      <c r="C75" s="119" t="s">
        <v>180</v>
      </c>
      <c r="D75" s="119"/>
      <c r="E75" s="119"/>
    </row>
    <row r="76" spans="1:5" ht="33">
      <c r="A76" s="12">
        <v>4</v>
      </c>
      <c r="B76" s="10" t="s">
        <v>89</v>
      </c>
      <c r="C76" s="120" t="s">
        <v>26</v>
      </c>
      <c r="D76" s="121"/>
      <c r="E76" s="122"/>
    </row>
    <row r="77" spans="1:5" ht="22.5" customHeight="1">
      <c r="A77" s="12">
        <v>5</v>
      </c>
      <c r="B77" s="10" t="s">
        <v>90</v>
      </c>
      <c r="C77" s="123" t="s">
        <v>42</v>
      </c>
      <c r="D77" s="124"/>
      <c r="E77" s="125"/>
    </row>
    <row r="78" spans="1:5" ht="66">
      <c r="A78" s="12">
        <v>6</v>
      </c>
      <c r="B78" s="10" t="s">
        <v>91</v>
      </c>
      <c r="C78" s="126" t="s">
        <v>149</v>
      </c>
      <c r="D78" s="126"/>
      <c r="E78" s="126"/>
    </row>
    <row r="79" spans="1:5">
      <c r="A79" s="31" t="s">
        <v>10</v>
      </c>
      <c r="B79" s="10" t="s">
        <v>92</v>
      </c>
      <c r="C79" s="127" t="s">
        <v>26</v>
      </c>
      <c r="D79" s="111"/>
      <c r="E79" s="112"/>
    </row>
    <row r="80" spans="1:5">
      <c r="A80" s="31" t="s">
        <v>12</v>
      </c>
      <c r="B80" s="10" t="s">
        <v>93</v>
      </c>
      <c r="C80" s="110" t="s">
        <v>26</v>
      </c>
      <c r="D80" s="111"/>
      <c r="E80" s="112"/>
    </row>
    <row r="81" spans="1:8">
      <c r="A81" s="31" t="s">
        <v>14</v>
      </c>
      <c r="B81" s="10" t="s">
        <v>94</v>
      </c>
      <c r="C81" s="110" t="s">
        <v>26</v>
      </c>
      <c r="D81" s="111"/>
      <c r="E81" s="112"/>
    </row>
    <row r="82" spans="1:8">
      <c r="A82" s="31" t="s">
        <v>95</v>
      </c>
      <c r="B82" s="10" t="s">
        <v>96</v>
      </c>
      <c r="C82" s="110" t="s">
        <v>26</v>
      </c>
      <c r="D82" s="111"/>
      <c r="E82" s="112"/>
    </row>
    <row r="83" spans="1:8">
      <c r="A83" s="31" t="s">
        <v>97</v>
      </c>
      <c r="B83" s="10" t="s">
        <v>98</v>
      </c>
      <c r="C83" s="113" t="s">
        <v>26</v>
      </c>
      <c r="D83" s="114"/>
      <c r="E83" s="115"/>
    </row>
    <row r="84" spans="1:8">
      <c r="A84" s="31" t="s">
        <v>99</v>
      </c>
      <c r="B84" s="10" t="s">
        <v>100</v>
      </c>
      <c r="C84" s="113" t="s">
        <v>26</v>
      </c>
      <c r="D84" s="114"/>
      <c r="E84" s="115"/>
    </row>
    <row r="85" spans="1:8" ht="14.45" customHeight="1">
      <c r="A85" s="58" t="s">
        <v>101</v>
      </c>
      <c r="B85" s="58"/>
      <c r="C85" s="58"/>
      <c r="D85" s="58"/>
      <c r="E85" s="58"/>
    </row>
    <row r="86" spans="1:8" ht="33">
      <c r="A86" s="12">
        <v>1</v>
      </c>
      <c r="B86" s="10" t="s">
        <v>102</v>
      </c>
      <c r="C86" s="116">
        <v>242</v>
      </c>
      <c r="D86" s="116"/>
      <c r="E86" s="116"/>
    </row>
    <row r="87" spans="1:8">
      <c r="A87" s="12">
        <v>2</v>
      </c>
      <c r="B87" s="10" t="s">
        <v>103</v>
      </c>
      <c r="C87" s="116">
        <v>276.5</v>
      </c>
      <c r="D87" s="116"/>
      <c r="E87" s="116"/>
    </row>
    <row r="88" spans="1:8">
      <c r="A88" s="12">
        <v>3</v>
      </c>
      <c r="B88" s="10" t="s">
        <v>104</v>
      </c>
      <c r="C88" s="116">
        <v>242</v>
      </c>
      <c r="D88" s="116"/>
      <c r="E88" s="116"/>
    </row>
    <row r="89" spans="1:8">
      <c r="A89" s="12">
        <v>4</v>
      </c>
      <c r="B89" s="10" t="s">
        <v>105</v>
      </c>
      <c r="C89" s="117">
        <v>7200</v>
      </c>
      <c r="D89" s="117"/>
      <c r="E89" s="117"/>
    </row>
    <row r="90" spans="1:8">
      <c r="A90" s="16">
        <v>5</v>
      </c>
      <c r="B90" s="17" t="s">
        <v>106</v>
      </c>
      <c r="C90" s="156">
        <f>C89*C88</f>
        <v>1742400</v>
      </c>
      <c r="D90" s="156"/>
      <c r="E90" s="156"/>
    </row>
    <row r="91" spans="1:8" ht="48" customHeight="1">
      <c r="A91" s="12">
        <v>6</v>
      </c>
      <c r="B91" s="10" t="s">
        <v>157</v>
      </c>
      <c r="C91" s="105">
        <v>0</v>
      </c>
      <c r="D91" s="105"/>
      <c r="E91" s="105"/>
      <c r="H91" s="5" t="s">
        <v>153</v>
      </c>
    </row>
    <row r="92" spans="1:8" ht="49.5">
      <c r="A92" s="12">
        <v>7</v>
      </c>
      <c r="B92" s="10" t="s">
        <v>156</v>
      </c>
      <c r="C92" s="106">
        <v>0</v>
      </c>
      <c r="D92" s="106"/>
      <c r="E92" s="106"/>
    </row>
    <row r="93" spans="1:8" ht="49.5">
      <c r="A93" s="12">
        <v>8</v>
      </c>
      <c r="B93" s="10" t="s">
        <v>155</v>
      </c>
      <c r="C93" s="106" t="s">
        <v>26</v>
      </c>
      <c r="D93" s="106"/>
      <c r="E93" s="106"/>
    </row>
    <row r="94" spans="1:8" ht="21" customHeight="1">
      <c r="A94" s="12">
        <v>9</v>
      </c>
      <c r="B94" s="10" t="s">
        <v>147</v>
      </c>
      <c r="C94" s="106"/>
      <c r="D94" s="106"/>
      <c r="E94" s="106"/>
    </row>
    <row r="95" spans="1:8">
      <c r="A95" s="12">
        <v>10</v>
      </c>
      <c r="B95" s="10" t="s">
        <v>145</v>
      </c>
      <c r="C95" s="106">
        <v>0</v>
      </c>
      <c r="D95" s="106"/>
      <c r="E95" s="106"/>
    </row>
    <row r="96" spans="1:8" ht="33">
      <c r="A96" s="12">
        <v>11</v>
      </c>
      <c r="B96" s="10" t="s">
        <v>146</v>
      </c>
      <c r="C96" s="107">
        <v>0</v>
      </c>
      <c r="D96" s="107"/>
      <c r="E96" s="107"/>
    </row>
    <row r="97" spans="1:5">
      <c r="A97" s="16">
        <v>12</v>
      </c>
      <c r="B97" s="18" t="s">
        <v>107</v>
      </c>
      <c r="C97" s="156">
        <f>SUM(C95*C96)</f>
        <v>0</v>
      </c>
      <c r="D97" s="156"/>
      <c r="E97" s="156"/>
    </row>
    <row r="98" spans="1:5" ht="49.5">
      <c r="A98" s="12">
        <v>13</v>
      </c>
      <c r="B98" s="10" t="s">
        <v>108</v>
      </c>
      <c r="C98" s="108">
        <v>0</v>
      </c>
      <c r="D98" s="108"/>
      <c r="E98" s="108"/>
    </row>
    <row r="99" spans="1:5" ht="33">
      <c r="A99" s="16">
        <v>14</v>
      </c>
      <c r="B99" s="18" t="s">
        <v>109</v>
      </c>
      <c r="C99" s="156">
        <f>SUM(C97,C90,C98)</f>
        <v>1742400</v>
      </c>
      <c r="D99" s="156"/>
      <c r="E99" s="156"/>
    </row>
    <row r="100" spans="1:5" ht="36" customHeight="1">
      <c r="A100" s="12">
        <v>15</v>
      </c>
      <c r="B100" s="10" t="s">
        <v>110</v>
      </c>
      <c r="C100" s="154" t="s">
        <v>188</v>
      </c>
      <c r="D100" s="155"/>
      <c r="E100" s="155"/>
    </row>
    <row r="101" spans="1:5" ht="33">
      <c r="A101" s="12">
        <v>16</v>
      </c>
      <c r="B101" s="10" t="s">
        <v>111</v>
      </c>
      <c r="C101" s="102">
        <v>3500</v>
      </c>
      <c r="D101" s="102"/>
      <c r="E101" s="102"/>
    </row>
    <row r="102" spans="1:5" ht="33">
      <c r="A102" s="12">
        <v>17</v>
      </c>
      <c r="B102" s="10" t="s">
        <v>112</v>
      </c>
      <c r="C102" s="157">
        <f>C99*0.9</f>
        <v>1568160</v>
      </c>
      <c r="D102" s="157"/>
      <c r="E102" s="157"/>
    </row>
    <row r="103" spans="1:5" ht="33">
      <c r="A103" s="12">
        <v>18</v>
      </c>
      <c r="B103" s="10" t="s">
        <v>113</v>
      </c>
      <c r="C103" s="157">
        <f>C99*0.75</f>
        <v>1306800</v>
      </c>
      <c r="D103" s="157"/>
      <c r="E103" s="157"/>
    </row>
    <row r="104" spans="1:5" ht="14.45" customHeight="1">
      <c r="A104" s="103" t="s">
        <v>114</v>
      </c>
      <c r="B104" s="103"/>
      <c r="C104" s="103"/>
      <c r="D104" s="103"/>
      <c r="E104" s="103"/>
    </row>
    <row r="105" spans="1:5" ht="33">
      <c r="A105" s="12">
        <v>1</v>
      </c>
      <c r="B105" s="10" t="s">
        <v>115</v>
      </c>
      <c r="C105" s="104" t="s">
        <v>62</v>
      </c>
      <c r="D105" s="104"/>
      <c r="E105" s="104"/>
    </row>
    <row r="106" spans="1:5" ht="49.5">
      <c r="A106" s="12">
        <v>2</v>
      </c>
      <c r="B106" s="10" t="s">
        <v>116</v>
      </c>
      <c r="C106" s="104" t="s">
        <v>62</v>
      </c>
      <c r="D106" s="104"/>
      <c r="E106" s="104"/>
    </row>
    <row r="107" spans="1:5" ht="1.5" customHeight="1">
      <c r="A107" s="12">
        <v>3</v>
      </c>
      <c r="B107" s="10" t="s">
        <v>117</v>
      </c>
      <c r="C107" s="104" t="s">
        <v>62</v>
      </c>
      <c r="D107" s="104"/>
      <c r="E107" s="104"/>
    </row>
    <row r="108" spans="1:5" ht="69.75" customHeight="1">
      <c r="A108" s="45">
        <v>4</v>
      </c>
      <c r="B108" s="46" t="s">
        <v>189</v>
      </c>
      <c r="C108" s="47"/>
      <c r="D108" s="47"/>
      <c r="E108" s="48"/>
    </row>
    <row r="109" spans="1:5" ht="140.25" customHeight="1">
      <c r="A109" s="45"/>
      <c r="B109" s="49"/>
      <c r="C109" s="50"/>
      <c r="D109" s="50"/>
      <c r="E109" s="51"/>
    </row>
    <row r="110" spans="1:5" ht="21" customHeight="1">
      <c r="A110" s="45"/>
      <c r="B110" s="52"/>
      <c r="C110" s="53"/>
      <c r="D110" s="53"/>
      <c r="E110" s="54"/>
    </row>
    <row r="111" spans="1:5" ht="37.5" customHeight="1">
      <c r="A111" s="12">
        <v>5</v>
      </c>
      <c r="B111" s="10" t="s">
        <v>118</v>
      </c>
      <c r="C111" s="59" t="s">
        <v>26</v>
      </c>
      <c r="D111" s="59"/>
      <c r="E111" s="59"/>
    </row>
    <row r="112" spans="1:5" ht="46.7" customHeight="1">
      <c r="A112" s="12">
        <v>6</v>
      </c>
      <c r="B112" s="10" t="s">
        <v>119</v>
      </c>
      <c r="C112" s="59" t="s">
        <v>26</v>
      </c>
      <c r="D112" s="59"/>
      <c r="E112" s="59"/>
    </row>
    <row r="113" spans="1:5" ht="34.5" customHeight="1">
      <c r="A113" s="12">
        <v>7</v>
      </c>
      <c r="B113" s="10" t="s">
        <v>120</v>
      </c>
      <c r="C113" s="59" t="s">
        <v>121</v>
      </c>
      <c r="D113" s="59"/>
      <c r="E113" s="59"/>
    </row>
    <row r="114" spans="1:5" ht="29.45" customHeight="1">
      <c r="A114" s="12">
        <v>8</v>
      </c>
      <c r="B114" s="11" t="s">
        <v>122</v>
      </c>
      <c r="C114" s="59" t="s">
        <v>26</v>
      </c>
      <c r="D114" s="59"/>
      <c r="E114" s="59"/>
    </row>
    <row r="115" spans="1:5">
      <c r="A115" s="12">
        <v>10</v>
      </c>
      <c r="B115" s="10" t="s">
        <v>123</v>
      </c>
      <c r="C115" s="60" t="s">
        <v>124</v>
      </c>
      <c r="D115" s="60"/>
      <c r="E115" s="60"/>
    </row>
    <row r="116" spans="1:5" ht="33">
      <c r="A116" s="12">
        <v>11</v>
      </c>
      <c r="B116" s="10" t="s">
        <v>125</v>
      </c>
      <c r="C116" s="61"/>
      <c r="D116" s="61"/>
      <c r="E116" s="61"/>
    </row>
    <row r="117" spans="1:5">
      <c r="A117" s="12">
        <v>12</v>
      </c>
      <c r="B117" s="10" t="s">
        <v>126</v>
      </c>
      <c r="C117" s="62" t="str">
        <f>E3</f>
        <v>23/01/2026</v>
      </c>
      <c r="D117" s="60"/>
      <c r="E117" s="60"/>
    </row>
    <row r="118" spans="1:5" s="1" customFormat="1">
      <c r="A118" s="56" t="s">
        <v>127</v>
      </c>
      <c r="B118" s="57"/>
      <c r="C118" s="33" t="s">
        <v>143</v>
      </c>
      <c r="D118" s="56" t="s">
        <v>128</v>
      </c>
      <c r="E118" s="57"/>
    </row>
    <row r="119" spans="1:5" ht="18" customHeight="1">
      <c r="A119" t="inlineStr">
        <is>
          <t>Approach / front view</t>
        </is>
      </c>
      <c r="C119" t="inlineStr">
        <is>
          <t>Property exterior / construction</t>
        </is>
      </c>
    </row>
    <row r="120" spans="1:5" ht="263.25" customHeight="1"/>
    <row r="121" spans="1:5" ht="18" customHeight="1">
      <c r="A121" t="inlineStr">
        <is>
          <t>Applicant / surveyor at property</t>
        </is>
      </c>
      <c r="C121" t="inlineStr">
        <is>
          <t>Interior construction</t>
        </is>
      </c>
    </row>
    <row r="122" spans="1:5" ht="261.75" customHeight="1"/>
    <row r="123" spans="1:5" ht="18" customHeight="1">
      <c r="A123" t="inlineStr">
        <is>
          <t>Interior / occupant view</t>
        </is>
      </c>
      <c r="C123" t="inlineStr">
        <is>
          <t>Applicant / person inside property</t>
        </is>
      </c>
    </row>
    <row r="124" spans="1:5" ht="231.75007874015748" customHeight="1"/>
    <row r="125" spans="1:5" ht="18" customHeight="1">
      <c r="A125" t="inlineStr">
        <is>
          <t>Rear / side construction view</t>
        </is>
      </c>
      <c r="C125" t="inlineStr">
        <is>
          <t>Electricity meter</t>
        </is>
      </c>
    </row>
    <row r="126" spans="1:5" ht="216.0" customHeight="1"/>
    <row r="127" spans="1:5" ht="18" customHeight="1">
      <c r="A127" t="inlineStr">
        <is>
          <t>Power Bill</t>
        </is>
      </c>
    </row>
    <row r="128" spans="1:5" ht="211.49992125984252" customHeight="1"/>
    <row r="129" spans="1:5" ht="18" customHeight="1">
      <c r="A129" t="inlineStr">
        <is>
          <t>Satellite View</t>
        </is>
      </c>
    </row>
    <row r="130" spans="1:5" ht="264.75" customHeight="1"/>
    <row r="131" spans="1:5" ht="18" customHeight="1">
      <c r="A131" t="inlineStr">
        <is>
          <t>Map Screenshot</t>
        </is>
      </c>
    </row>
    <row r="132" spans="1:5" ht="264.75" customHeight="1"/>
    <row r="133" spans="1:5" ht="18" customHeight="1">
      <c r="A133" t="inlineStr">
        <is>
          <t>Cadastral / BhuNaksha Map</t>
        </is>
      </c>
    </row>
    <row r="134" spans="1:5" ht="246.75" customHeight="1"/>
    <row r="135" spans="1:5" ht="18" customHeight="1">
      <c r="A135" t="inlineStr">
        <is>
          <t>Electricity Bill Screenshot</t>
        </is>
      </c>
    </row>
    <row r="136" spans="1:5" ht="234.0" customHeight="1"/>
    <row r="137" spans="1:5" ht="18" customHeight="1">
      <c r="A137" t="inlineStr">
        <is>
          <t>Property Tax Screenshot</t>
        </is>
      </c>
    </row>
    <row r="138" spans="1:5" ht="240.0" customHeight="1"/>
    <row r="139" spans="1:5" ht="18" customHeight="1">
      <c r="A139" t="inlineStr">
        <is>
          <t>Prohibited Property Screenshot</t>
        </is>
      </c>
    </row>
    <row r="140" spans="1:5" ht="208.5" customHeight="1"/>
    <row r="141" spans="1:5" ht="18" customHeight="1">
      <c r="A141" t="inlineStr">
        <is>
          <t>Government Rate Screenshot</t>
        </is>
      </c>
    </row>
    <row r="142" spans="1:5" ht="277.5" customHeight="1"/>
    <row r="143" spans="1:5" ht="1" customHeight="1"/>
    <row r="144" spans="1:5" ht="1" customHeight="1"/>
    <row r="145" spans="1:5" ht="1" customHeight="1"/>
    <row r="146" spans="1:5" ht="1" customHeight="1"/>
    <row r="147" spans="1:5" ht="1" customHeight="1"/>
    <row r="148" spans="1:5" ht="1" customHeight="1"/>
    <row r="149" spans="1:5" ht="1" customHeight="1"/>
    <row r="150" spans="1:5" ht="1" customHeight="1"/>
    <row r="151" spans="1:5" ht="1" customHeight="1"/>
    <row r="152" spans="1:5" ht="1" customHeight="1"/>
    <row r="153" spans="1:5" ht="1" customHeight="1"/>
    <row r="154" spans="1:5" ht="1" customHeight="1"/>
    <row r="155" spans="1:5" ht="1" customHeight="1"/>
    <row r="156" spans="1:5" ht="1" customHeight="1"/>
    <row r="157" spans="1:5" ht="1" customHeight="1"/>
    <row r="158" spans="1:5" ht="1" customHeight="1"/>
    <row r="159" spans="1:5" ht="1" customHeight="1"/>
    <row r="160" spans="1:5" ht="1" customHeight="1"/>
    <row r="161" spans="1:5" ht="1" customHeight="1"/>
    <row r="162" spans="1:5" ht="1" customHeight="1"/>
    <row r="163" spans="1:5" ht="1" customHeight="1"/>
    <row r="164" spans="1:5" ht="1" customHeight="1"/>
    <row r="165" spans="1:5" ht="1" customHeight="1"/>
    <row r="166" spans="1:5" ht="1" customHeight="1"/>
    <row r="167" spans="1:5" ht="1" customHeight="1"/>
    <row r="168" spans="1:5" ht="1" customHeight="1"/>
    <row r="169" spans="1:5" ht="1" customHeight="1"/>
    <row r="170" spans="1:5" ht="1" customHeight="1"/>
    <row r="171" spans="1:5" ht="1" customHeight="1"/>
    <row r="172" spans="1:5" ht="1" customHeight="1"/>
    <row r="173" spans="1:5" ht="1" customHeight="1"/>
    <row r="174" spans="1:5" ht="1" customHeight="1"/>
    <row r="175" spans="1:5" ht="1" customHeight="1"/>
    <row r="176" spans="1:5" ht="1" customHeight="1"/>
    <row r="177" spans="1:5" ht="1" customHeight="1"/>
    <row r="178" spans="1:5" ht="1" customHeight="1"/>
    <row r="179" spans="1:5" ht="1" customHeight="1"/>
    <row r="180" spans="1:5" ht="1" customHeight="1"/>
    <row r="181" spans="1:5" ht="1" customHeight="1"/>
    <row r="182" spans="1:5" ht="1" customHeight="1"/>
    <row r="183" spans="1:5" ht="1" customHeight="1"/>
    <row r="184" spans="1:5" ht="1" customHeight="1"/>
    <row r="185" spans="1:5" ht="1" customHeight="1"/>
    <row r="186" spans="1:5" ht="1" customHeight="1"/>
    <row r="187" spans="1:5" ht="1" customHeight="1"/>
    <row r="188" spans="1:5" ht="1" customHeight="1"/>
    <row r="189" spans="1:5" ht="1" customHeight="1"/>
    <row r="190" spans="1:5" ht="1" customHeight="1"/>
    <row r="191" spans="1:5" ht="1" customHeight="1"/>
    <row r="192" spans="1:5" ht="1" customHeight="1"/>
    <row r="193" spans="1:5" ht="1" customHeight="1"/>
    <row r="194" spans="1:5" ht="1" customHeight="1"/>
    <row r="195" spans="1:5" ht="1" customHeight="1"/>
    <row r="196" spans="1:5" s="2" customFormat="1" ht="1" customHeight="1"/>
    <row r="197" spans="1:5" s="2" customFormat="1" ht="1" customHeight="1"/>
    <row r="198" spans="1:5" s="2" customFormat="1" ht="1" customHeight="1"/>
    <row r="199" spans="1:5" s="2" customFormat="1" ht="1" customHeight="1"/>
    <row r="200" spans="1:5" s="2" customFormat="1" ht="1" customHeight="1"/>
    <row r="201" spans="1:5" s="2" customFormat="1" ht="1" customHeight="1"/>
    <row r="202" spans="1:5" s="2" customFormat="1" ht="1" customHeight="1"/>
    <row r="203" spans="1:5" s="2" customFormat="1" ht="1" customHeight="1"/>
    <row r="204" spans="1:5" s="2" customFormat="1" ht="1" customHeight="1"/>
    <row r="205" spans="1:5" s="2" customFormat="1" ht="1" customHeight="1"/>
    <row r="206" spans="1:5" s="2" customFormat="1" ht="1" customHeight="1"/>
    <row r="207" spans="1:5" s="2" customFormat="1" ht="1" customHeight="1"/>
    <row r="208" spans="1:5" s="2" customFormat="1" ht="1" customHeight="1"/>
    <row r="209" spans="1:5" s="2" customFormat="1" ht="1" customHeight="1"/>
    <row r="210" spans="1:5" s="2" customFormat="1" ht="1" customHeight="1"/>
    <row r="211" spans="1:5" s="2" customFormat="1" ht="1" customHeight="1"/>
    <row r="212" spans="1:5" s="2" customFormat="1" ht="1" customHeight="1"/>
    <row r="213" spans="1:5" s="2" customFormat="1" ht="1" customHeight="1"/>
    <row r="214" spans="1:5" s="2" customFormat="1" ht="1" customHeight="1"/>
    <row r="215" spans="1:5" s="2" customFormat="1" ht="1" customHeight="1"/>
    <row r="216" spans="1:5" s="2" customFormat="1" ht="1" customHeight="1"/>
    <row r="217" spans="1:5" s="2" customFormat="1" ht="1" customHeight="1"/>
    <row r="218" spans="1:5" s="2" customFormat="1" ht="1" customHeight="1"/>
    <row r="219" spans="1:5" s="2" customFormat="1" ht="1" customHeight="1"/>
    <row r="220" spans="1:5" s="2" customFormat="1" ht="1" customHeight="1"/>
    <row r="221" spans="1:5" s="2" customFormat="1" ht="1" customHeight="1"/>
    <row r="222" spans="1:5" s="2" customFormat="1" ht="1" customHeight="1"/>
    <row r="223" spans="1:5" s="2" customFormat="1" ht="1" customHeight="1"/>
    <row r="224" spans="1:5" s="2" customFormat="1" ht="1" customHeight="1"/>
    <row r="225" spans="1:5" s="2" customFormat="1" ht="1" customHeight="1"/>
    <row r="226" spans="1:5" s="2" customFormat="1" ht="1" customHeight="1"/>
    <row r="227" spans="1:5" s="2" customFormat="1" ht="1" customHeight="1"/>
    <row r="228" spans="1:5" s="2" customFormat="1" ht="1" customHeight="1"/>
    <row r="229" spans="1:5" s="2" customFormat="1" ht="1" customHeight="1"/>
    <row r="230" spans="1:5" s="2" customFormat="1" ht="1" customHeight="1"/>
    <row r="231" spans="1:5" s="2" customFormat="1" ht="1" customHeight="1"/>
    <row r="232" spans="1:5" s="2" customFormat="1" ht="1" customHeight="1"/>
    <row r="233" spans="1:5" s="2" customFormat="1" ht="1" customHeight="1"/>
    <row r="234" spans="1:5" s="2" customFormat="1" ht="1" customHeight="1"/>
    <row r="235" spans="1:5" s="2" customFormat="1" ht="1" customHeight="1"/>
    <row r="236" spans="1:5" s="2" customFormat="1" ht="1" customHeight="1"/>
    <row r="237" spans="1:5" s="2" customFormat="1" ht="1" customHeight="1"/>
    <row r="238" spans="1:5" s="2" customFormat="1" ht="1" customHeight="1"/>
    <row r="239" spans="1:5" ht="14.45" customHeight="1">
      <c r="A239" s="58" t="s">
        <v>130</v>
      </c>
      <c r="B239" s="58"/>
      <c r="C239" s="58"/>
      <c r="D239" s="58"/>
      <c r="E239" s="58"/>
    </row>
    <row r="240" spans="1:5" ht="17.25" customHeight="1">
      <c r="A240" s="7">
        <v>1</v>
      </c>
      <c r="B240" s="38" t="s">
        <v>131</v>
      </c>
      <c r="C240" s="38"/>
      <c r="D240" s="38"/>
      <c r="E240" s="38"/>
    </row>
    <row r="241" spans="1:5" ht="15" customHeight="1">
      <c r="A241" s="7">
        <v>2</v>
      </c>
      <c r="B241" s="38" t="s">
        <v>132</v>
      </c>
      <c r="C241" s="38"/>
      <c r="D241" s="38"/>
      <c r="E241" s="38"/>
    </row>
    <row r="242" spans="1:5" ht="100.5" customHeight="1">
      <c r="A242" s="7">
        <v>3</v>
      </c>
      <c r="B242" s="59" t="s">
        <v>133</v>
      </c>
      <c r="C242" s="59"/>
      <c r="D242" s="59"/>
      <c r="E242" s="59"/>
    </row>
    <row r="243" spans="1:5" ht="14.45" customHeight="1">
      <c r="A243" s="7">
        <v>4</v>
      </c>
      <c r="B243" s="38" t="s">
        <v>134</v>
      </c>
      <c r="C243" s="38"/>
      <c r="D243" s="38"/>
      <c r="E243" s="38"/>
    </row>
    <row r="244" spans="1:5">
      <c r="A244" s="7">
        <v>5</v>
      </c>
      <c r="B244" s="38" t="s">
        <v>181</v>
      </c>
      <c r="C244" s="38"/>
      <c r="D244" s="38"/>
      <c r="E244" s="38"/>
    </row>
    <row r="245" spans="1:5">
      <c r="A245" s="19"/>
      <c r="B245" s="20" t="s">
        <v>135</v>
      </c>
      <c r="C245" s="39" t="s">
        <v>136</v>
      </c>
      <c r="D245" s="39"/>
      <c r="E245" s="39"/>
    </row>
    <row r="246" spans="1:5">
      <c r="A246" s="19"/>
      <c r="B246" s="20" t="s">
        <v>137</v>
      </c>
      <c r="C246" s="39"/>
      <c r="D246" s="39"/>
      <c r="E246" s="39"/>
    </row>
    <row r="247" spans="1:5">
      <c r="A247" s="19"/>
      <c r="B247" s="20" t="s">
        <v>138</v>
      </c>
      <c r="C247" s="39"/>
      <c r="D247" s="39"/>
      <c r="E247" s="39"/>
    </row>
    <row r="248" spans="1:5">
      <c r="A248" s="19"/>
      <c r="B248" s="20" t="s">
        <v>4</v>
      </c>
      <c r="C248" s="40" t="s">
        <v>159</v>
      </c>
      <c r="D248" s="39"/>
      <c r="E248" s="39"/>
    </row>
    <row r="273" spans="1:4">
      <c r="A273" s="21"/>
      <c r="B273" s="22"/>
      <c r="C273" s="23"/>
      <c r="D273" s="23"/>
    </row>
    <row r="274" spans="1:4">
      <c r="A274" s="21"/>
      <c r="B274" s="22"/>
      <c r="C274" s="23"/>
      <c r="D274" s="23"/>
    </row>
    <row r="275" spans="1:4">
      <c r="A275" s="21"/>
      <c r="B275" s="22"/>
      <c r="C275" s="23"/>
      <c r="D275" s="23"/>
    </row>
    <row r="276" spans="1:4">
      <c r="A276" s="21"/>
      <c r="B276" s="22"/>
      <c r="C276" s="23"/>
      <c r="D276" s="23"/>
    </row>
    <row r="277" spans="1:4">
      <c r="A277" s="21"/>
      <c r="B277" s="22"/>
      <c r="C277" s="23"/>
      <c r="D277" s="23"/>
    </row>
    <row r="278" spans="1:4">
      <c r="A278" s="21"/>
      <c r="B278" s="22"/>
      <c r="C278" s="23"/>
      <c r="D278" s="23"/>
    </row>
    <row r="279" spans="1:4">
      <c r="A279" s="21"/>
      <c r="B279" s="22"/>
      <c r="C279" s="23"/>
      <c r="D279" s="23"/>
    </row>
    <row r="280" spans="1:4">
      <c r="A280" s="21"/>
      <c r="B280" s="22"/>
      <c r="C280" s="23"/>
      <c r="D280" s="23"/>
    </row>
    <row r="281" spans="1:4">
      <c r="A281" s="21"/>
      <c r="B281" s="22"/>
      <c r="C281" s="23"/>
      <c r="D281" s="23"/>
    </row>
    <row r="282" spans="1:4">
      <c r="A282" s="21"/>
      <c r="B282" s="22"/>
      <c r="C282" s="23"/>
      <c r="D282" s="23"/>
    </row>
    <row r="283" spans="1:4">
      <c r="A283" s="21"/>
      <c r="B283" s="22"/>
      <c r="C283" s="23"/>
      <c r="D283" s="23"/>
    </row>
    <row r="284" spans="1:4">
      <c r="A284" s="21"/>
      <c r="B284" s="22"/>
      <c r="C284" s="23"/>
      <c r="D284" s="23"/>
    </row>
    <row r="285" spans="1:4">
      <c r="A285" s="21"/>
      <c r="B285" s="22"/>
      <c r="C285" s="23"/>
      <c r="D285" s="23"/>
    </row>
    <row r="286" spans="1:4">
      <c r="A286" s="21"/>
      <c r="B286" s="22"/>
      <c r="C286" s="23"/>
      <c r="D286" s="23"/>
    </row>
    <row r="287" spans="1:4">
      <c r="A287" s="21"/>
      <c r="B287" s="22"/>
      <c r="C287" s="23"/>
      <c r="D287" s="23"/>
    </row>
    <row r="288" spans="1:4">
      <c r="A288" s="21"/>
      <c r="B288" s="22"/>
      <c r="C288" s="23"/>
      <c r="D288" s="23"/>
    </row>
    <row r="289" spans="1:4">
      <c r="A289" s="21"/>
      <c r="B289" s="22"/>
      <c r="C289" s="23"/>
      <c r="D289" s="23"/>
    </row>
    <row r="290" spans="1:4">
      <c r="A290" s="21"/>
      <c r="B290" s="22"/>
      <c r="C290" s="23"/>
      <c r="D290" s="23"/>
    </row>
    <row r="291" spans="1:4">
      <c r="A291" s="21"/>
      <c r="B291" s="22"/>
      <c r="C291" s="23"/>
      <c r="D291" s="23"/>
    </row>
    <row r="292" spans="1:4">
      <c r="A292" s="24"/>
      <c r="B292" s="25"/>
      <c r="C292" s="24"/>
      <c r="D292" s="24"/>
    </row>
    <row r="293" spans="1:4">
      <c r="A293" s="24"/>
      <c r="B293" s="25"/>
      <c r="C293" s="24"/>
      <c r="D293" s="24"/>
    </row>
    <row r="294" spans="1:4">
      <c r="A294" s="41"/>
      <c r="B294" s="41"/>
      <c r="C294" s="41"/>
      <c r="D294" s="41"/>
    </row>
    <row r="295" spans="1:4">
      <c r="A295" s="26"/>
      <c r="B295" s="27"/>
      <c r="C295" s="28"/>
      <c r="D295" s="28"/>
    </row>
    <row r="296" spans="1:4">
      <c r="A296" s="21"/>
      <c r="B296" s="22"/>
      <c r="C296" s="23"/>
      <c r="D296" s="23"/>
    </row>
    <row r="297" spans="1:4">
      <c r="A297" s="21"/>
      <c r="B297" s="22"/>
      <c r="C297" s="23"/>
      <c r="D297" s="23"/>
    </row>
    <row r="298" spans="1:4">
      <c r="A298" s="21"/>
      <c r="B298" s="22"/>
      <c r="C298" s="23"/>
      <c r="D298" s="23"/>
    </row>
    <row r="299" spans="1:4">
      <c r="A299" s="21"/>
      <c r="B299" s="22"/>
      <c r="C299" s="23"/>
      <c r="D299" s="23"/>
    </row>
    <row r="300" spans="1:4">
      <c r="A300" s="21"/>
      <c r="B300" s="22"/>
      <c r="C300" s="23"/>
      <c r="D300" s="23"/>
    </row>
    <row r="301" spans="1:4">
      <c r="A301" s="21"/>
      <c r="B301" s="22"/>
      <c r="C301" s="23"/>
      <c r="D301" s="23"/>
    </row>
    <row r="302" spans="1:4">
      <c r="A302" s="21"/>
      <c r="B302" s="22"/>
      <c r="C302" s="23"/>
      <c r="D302" s="23"/>
    </row>
    <row r="303" spans="1:4">
      <c r="A303" s="21"/>
      <c r="B303" s="22"/>
      <c r="C303" s="23"/>
      <c r="D303" s="23"/>
    </row>
    <row r="304" spans="1:4">
      <c r="A304" s="21"/>
      <c r="B304" s="22"/>
      <c r="C304" s="23"/>
      <c r="D304" s="23"/>
    </row>
    <row r="305" spans="1:4">
      <c r="A305" s="21"/>
      <c r="B305" s="22"/>
      <c r="C305" s="23"/>
      <c r="D305" s="23"/>
    </row>
    <row r="306" spans="1:4">
      <c r="A306" s="21"/>
      <c r="B306" s="22"/>
      <c r="C306" s="23"/>
      <c r="D306" s="23"/>
    </row>
    <row r="307" spans="1:4">
      <c r="A307" s="21"/>
      <c r="B307" s="22"/>
      <c r="C307" s="23"/>
      <c r="D307" s="23"/>
    </row>
  </sheetData>
  <mergeCells count="146">
    <mergeCell ref="C19:E19"/>
    <mergeCell ref="C20:E20"/>
    <mergeCell ref="C21:E21"/>
    <mergeCell ref="C22:E22"/>
    <mergeCell ref="C23:E23"/>
    <mergeCell ref="C10:E10"/>
    <mergeCell ref="C11:E11"/>
    <mergeCell ref="C12:E12"/>
    <mergeCell ref="C13:E13"/>
    <mergeCell ref="C14:E14"/>
    <mergeCell ref="C15:E15"/>
    <mergeCell ref="A17:E17"/>
    <mergeCell ref="C18:E18"/>
    <mergeCell ref="C16:E16"/>
    <mergeCell ref="A1:E1"/>
    <mergeCell ref="A2:E2"/>
    <mergeCell ref="B3:C3"/>
    <mergeCell ref="C4:E4"/>
    <mergeCell ref="C5:E5"/>
    <mergeCell ref="B6:E6"/>
    <mergeCell ref="C7:E7"/>
    <mergeCell ref="C8:E8"/>
    <mergeCell ref="C9:E9"/>
    <mergeCell ref="C24:E24"/>
    <mergeCell ref="C25:E25"/>
    <mergeCell ref="C26:E26"/>
    <mergeCell ref="C27:E27"/>
    <mergeCell ref="C42:E42"/>
    <mergeCell ref="C43:E43"/>
    <mergeCell ref="A44:E44"/>
    <mergeCell ref="C45:E45"/>
    <mergeCell ref="C28:E28"/>
    <mergeCell ref="C29:E29"/>
    <mergeCell ref="C31:E31"/>
    <mergeCell ref="C32:E32"/>
    <mergeCell ref="C33:E33"/>
    <mergeCell ref="C34:E34"/>
    <mergeCell ref="C35:E35"/>
    <mergeCell ref="C36:E36"/>
    <mergeCell ref="C30:E30"/>
    <mergeCell ref="D37:E37"/>
    <mergeCell ref="D39:E39"/>
    <mergeCell ref="D40:E40"/>
    <mergeCell ref="D41:E41"/>
    <mergeCell ref="D38:E38"/>
    <mergeCell ref="C46:E46"/>
    <mergeCell ref="C47:E47"/>
    <mergeCell ref="C48:E48"/>
    <mergeCell ref="C49:E49"/>
    <mergeCell ref="C50:E50"/>
    <mergeCell ref="C51:E51"/>
    <mergeCell ref="C52:E52"/>
    <mergeCell ref="C53:E53"/>
    <mergeCell ref="A54:E54"/>
    <mergeCell ref="C55:E55"/>
    <mergeCell ref="C56:E56"/>
    <mergeCell ref="C57:E57"/>
    <mergeCell ref="C58:E58"/>
    <mergeCell ref="A59:E59"/>
    <mergeCell ref="C60:E60"/>
    <mergeCell ref="C61:E61"/>
    <mergeCell ref="C62:E62"/>
    <mergeCell ref="C63:E63"/>
    <mergeCell ref="C64:E64"/>
    <mergeCell ref="C65:E65"/>
    <mergeCell ref="C66:E66"/>
    <mergeCell ref="C67:E67"/>
    <mergeCell ref="C68:E68"/>
    <mergeCell ref="C69:E69"/>
    <mergeCell ref="C70:E70"/>
    <mergeCell ref="C71:E71"/>
    <mergeCell ref="A72:E72"/>
    <mergeCell ref="C73:E73"/>
    <mergeCell ref="C74:E74"/>
    <mergeCell ref="C75:E75"/>
    <mergeCell ref="C76:E76"/>
    <mergeCell ref="C77:E77"/>
    <mergeCell ref="C78:E78"/>
    <mergeCell ref="C79:E79"/>
    <mergeCell ref="C80:E80"/>
    <mergeCell ref="C81:E81"/>
    <mergeCell ref="C82:E82"/>
    <mergeCell ref="C83:E83"/>
    <mergeCell ref="C84:E84"/>
    <mergeCell ref="A85:E85"/>
    <mergeCell ref="C86:E86"/>
    <mergeCell ref="C87:E87"/>
    <mergeCell ref="C88:E88"/>
    <mergeCell ref="C89:E89"/>
    <mergeCell ref="C90:E90"/>
    <mergeCell ref="C91:E91"/>
    <mergeCell ref="C92:E92"/>
    <mergeCell ref="C94:E94"/>
    <mergeCell ref="C95:E95"/>
    <mergeCell ref="C96:E96"/>
    <mergeCell ref="C97:E97"/>
    <mergeCell ref="C98:E98"/>
    <mergeCell ref="C99:E99"/>
    <mergeCell ref="C100:E100"/>
    <mergeCell ref="C93:E93"/>
    <mergeCell ref="C101:E101"/>
    <mergeCell ref="C102:E102"/>
    <mergeCell ref="C103:E103"/>
    <mergeCell ref="A104:E104"/>
    <mergeCell ref="C105:E105"/>
    <mergeCell ref="C106:E106"/>
    <mergeCell ref="C107:E107"/>
    <mergeCell ref="C111:E111"/>
    <mergeCell ref="C112:E112"/>
    <mergeCell ref="B242:E242"/>
    <mergeCell ref="B243:E243"/>
    <mergeCell ref="D118:E118"/>
    <mergeCell ref="B244:E244"/>
    <mergeCell ref="C245:E245"/>
    <mergeCell ref="C246:E246"/>
    <mergeCell ref="C247:E247"/>
    <mergeCell ref="C248:E248"/>
    <mergeCell ref="A294:D294"/>
    <mergeCell ref="A37:A41"/>
    <mergeCell ref="A108:A110"/>
    <mergeCell ref="B108:E110"/>
    <mergeCell ref="A239:E239"/>
    <mergeCell ref="B240:E240"/>
    <mergeCell ref="B241:E241"/>
    <mergeCell ref="C113:E113"/>
    <mergeCell ref="C114:E114"/>
    <mergeCell ref="C115:E115"/>
    <mergeCell ref="C116:E116"/>
    <mergeCell ref="C117:E117"/>
    <mergeCell ref="A118:B118"/>
    <mergeCell ref="A119:B119"/>
    <mergeCell ref="C119:E119"/>
    <mergeCell ref="A121:B121"/>
    <mergeCell ref="C121:E121"/>
    <mergeCell ref="A123:B123"/>
    <mergeCell ref="C123:E123"/>
    <mergeCell ref="A125:B125"/>
    <mergeCell ref="C125:E125"/>
    <mergeCell ref="A127:B127"/>
    <mergeCell ref="A129:E129"/>
    <mergeCell ref="A131:E131"/>
    <mergeCell ref="A133:E133"/>
    <mergeCell ref="A135:E135"/>
    <mergeCell ref="A137:E137"/>
    <mergeCell ref="A139:E139"/>
    <mergeCell ref="A141:E141"/>
  </mergeCells>
  <dataValidations count="1">
    <dataValidation type="list" allowBlank="1" showInputMessage="1" showErrorMessage="1" sqref="C45:E45">
      <formula1>"Developed, Developing, Undeveloped, Semi-Urban, Rural"</formula1>
    </dataValidation>
  </dataValidations>
  <printOptions horizontalCentered="1"/>
  <pageMargins left="0.19685039370078741" right="0.19685039370078741" top="0.19685039370078741" bottom="0.19685039370078741" header="0.19685039370078741" footer="0.19685039370078741"/>
  <pageSetup fitToHeight="0" orientation="portrait" r:id="rId1" fitToWidth="1"/>
  <rowBreaks count="13" manualBreakCount="13">
    <brk id="18" max="4" man="1"/>
    <brk id="43" max="4" man="1"/>
    <brk id="69" max="4" man="1"/>
    <brk id="96" max="4" man="1"/>
    <brk id="98" max="4" man="1"/>
    <brk id="110" max="4" man="1"/>
    <brk id="118" min="0" max="16383" man="1"/>
    <brk id="122" min="0" max="16383" man="1"/>
    <brk id="126" min="0" max="16383" man="1"/>
    <brk id="130" min="0" max="16383" man="1"/>
    <brk id="134" min="0" max="16383" man="1"/>
    <brk id="138" min="0" max="16383" man="1"/>
    <brk id="239" max="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12:I20"/>
  <sheetViews>
    <sheetView workbookViewId="0">
      <selection activeCell="J20" sqref="J20"/>
    </sheetView>
  </sheetViews>
  <sheetFormatPr defaultRowHeight="15"/>
  <sheetData>
    <row r="12" spans="6:9">
      <c r="G12" s="37" t="s">
        <v>154</v>
      </c>
    </row>
    <row r="13" spans="6:9">
      <c r="F13" s="37" t="s">
        <v>150</v>
      </c>
      <c r="G13">
        <v>1369</v>
      </c>
      <c r="H13">
        <v>1500</v>
      </c>
      <c r="I13">
        <f>SUM(H13/G13)</f>
        <v>1.0956902848794741</v>
      </c>
    </row>
    <row r="14" spans="6:9">
      <c r="F14" s="37" t="s">
        <v>151</v>
      </c>
      <c r="G14">
        <v>810</v>
      </c>
      <c r="H14">
        <v>1500</v>
      </c>
      <c r="I14">
        <f>SUM(H14/G14)</f>
        <v>1.8518518518518519</v>
      </c>
    </row>
    <row r="15" spans="6:9">
      <c r="F15" s="37" t="s">
        <v>152</v>
      </c>
      <c r="G15">
        <v>1</v>
      </c>
      <c r="H15">
        <v>408</v>
      </c>
      <c r="I15">
        <f>SUM(H15/G15)</f>
        <v>408</v>
      </c>
    </row>
    <row r="16" spans="6:9">
      <c r="G16">
        <f>SUM(G13:G15)</f>
        <v>2180</v>
      </c>
      <c r="H16">
        <f>SUM(H13:H15)</f>
        <v>3408</v>
      </c>
      <c r="I16">
        <f>SUM(G16/H16)</f>
        <v>0.63967136150234738</v>
      </c>
    </row>
    <row r="18" spans="8:8">
      <c r="H18">
        <v>1800</v>
      </c>
    </row>
    <row r="20" spans="8:8">
      <c r="H20">
        <f>SUM(H16*H18)</f>
        <v>6134400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Modified Format</vt:lpstr>
      <vt:lpstr>Sheet1</vt:lpstr>
      <vt:lpstr>'Modified Format'!Print_Area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Nilesh Asher</dc:creator>
  <cp:lastModifiedBy>Micro</cp:lastModifiedBy>
  <cp:lastPrinted>2026-01-25T06:31:43Z</cp:lastPrinted>
  <dcterms:created xsi:type="dcterms:W3CDTF">2018-08-14T10:07:00Z</dcterms:created>
  <dcterms:modified xsi:type="dcterms:W3CDTF">2026-01-25T06:31:46Z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29B47F31F1D847CAAEBC669AB399219D_12</vt:lpwstr>
  </property>
  <property fmtid="{D5CDD505-2E9C-101B-9397-08002B2CF9AE}" pid="3" name="KSOProductBuildVer">
    <vt:lpwstr>1033-12.2.0.19307</vt:lpwstr>
  </property>
</Properties>
</file>