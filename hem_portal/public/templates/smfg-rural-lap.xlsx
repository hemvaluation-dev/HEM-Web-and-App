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05" yWindow="-105" windowWidth="15600" windowHeight="11760"/>
  </bookViews>
  <sheets>
    <sheet name="Sheet1" sheetId="1" r:id="rId1"/>
  </sheets>
  <definedNames>
    <definedName name="_xlnm.Print_Area" localSheetId="0">Sheet1!$A$1:$F$277</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17" i="1" l="1"/>
  <c r="C74" i="1" l="1"/>
  <c r="C106" i="1" l="1"/>
  <c r="C122" i="1"/>
  <c r="B149" i="1" l="1"/>
  <c r="C101" i="1" l="1"/>
  <c r="E120" i="1" l="1"/>
  <c r="E131" i="1" l="1"/>
  <c r="E119" i="1"/>
  <c r="E92" i="1"/>
  <c r="C118" i="1" l="1"/>
  <c r="E118" i="1" s="1"/>
  <c r="C121" i="1" s="1"/>
  <c r="C105" i="1"/>
  <c r="C93" i="1" l="1"/>
  <c r="C104" i="1" s="1"/>
  <c r="E130" i="1"/>
  <c r="C94" i="1" l="1"/>
  <c r="E123" i="1"/>
  <c r="F123" i="1" s="1"/>
  <c r="C124" i="1" s="1"/>
  <c r="C126" i="1" l="1"/>
  <c r="C127" i="1" l="1"/>
  <c r="C128" i="1" s="1"/>
  <c r="C136" i="1" s="1"/>
</calcChain>
</file>

<file path=xl/sharedStrings.xml><?xml version="1.0" encoding="utf-8"?>
<sst xmlns="http://schemas.openxmlformats.org/spreadsheetml/2006/main" count="255" uniqueCount="204">
  <si>
    <t>GOOGLE COORDINATES</t>
  </si>
  <si>
    <t>Yes</t>
  </si>
  <si>
    <t>Estimated Future Life YEARS</t>
  </si>
  <si>
    <t>Age Of The Property YEARS</t>
  </si>
  <si>
    <t>NA</t>
  </si>
  <si>
    <t>Plot Area SQ.YDS</t>
  </si>
  <si>
    <t>AS PER ACTUAL PLOT AREA -SQ.YDS</t>
  </si>
  <si>
    <t xml:space="preserve">AS PER SETTLEMENT DEED PLOT AREA -SQ.YDS   </t>
  </si>
  <si>
    <t>Residual age of the building YEARS</t>
  </si>
  <si>
    <t>Land Area SQ.YDS</t>
  </si>
  <si>
    <t xml:space="preserve">Less: depreciation for past age of the building @ 1.5% P.A </t>
  </si>
  <si>
    <t>Land value- Rs</t>
  </si>
  <si>
    <t xml:space="preserve">Building value- Rs. </t>
  </si>
  <si>
    <t xml:space="preserve">TOTAL  Value- Rs. </t>
  </si>
  <si>
    <t>Fair Market Value of Property (as on Date)(A+B)</t>
  </si>
  <si>
    <t>Forced Sale Value  (75% of Market value)</t>
  </si>
  <si>
    <t>(AUTHOURISED SIGNATORY)</t>
  </si>
  <si>
    <t>Place</t>
  </si>
  <si>
    <t xml:space="preserve">Other Documents Provided </t>
  </si>
  <si>
    <t xml:space="preserve">Proximity to Civic amenities </t>
  </si>
  <si>
    <t>Market rates of land for similar properties in the vicinity and surroundings areas (as inquired from local estates agents) PER SQ.YDS</t>
  </si>
  <si>
    <t xml:space="preserve">In view of the data available and basis for valuation, the valuations of the property under reference will as Under  </t>
  </si>
  <si>
    <t>I have no direct or indirect interest in the property valued</t>
  </si>
  <si>
    <t>Information furnished in the report is true and correct to the best of my knowledge and belief</t>
  </si>
  <si>
    <t>Ownership papers / Sale deed may please be verified at your end to ascertain the right title &amp; areas</t>
  </si>
  <si>
    <t>Fair market value indicated in the report is an opinion of the value prevailing on the date of the said report and is based on market feedback on values of similar properties. Client is free to obtain other independent opinions on the same. Fair, market value of such properties / localities may increase or decrease, depending on the future market conditions &amp; scenarios. Report does not certify or confirm any ownership or title of the property that has been valued.</t>
  </si>
  <si>
    <t xml:space="preserve">No Structural survey was conducted by us. </t>
  </si>
  <si>
    <t>Validity of this report is for 90 days from date</t>
  </si>
  <si>
    <t>I have personally inspected the property</t>
  </si>
  <si>
    <t>RESIDENTIAL</t>
  </si>
  <si>
    <t xml:space="preserve">SMFG INDIA CREDIT CO. LTD </t>
  </si>
  <si>
    <t xml:space="preserve">Boundary details as per Actual </t>
  </si>
  <si>
    <t>Actual Area SFT GF</t>
  </si>
  <si>
    <t xml:space="preserve">Year Of Construction </t>
  </si>
  <si>
    <t>Govt. Land Value</t>
  </si>
  <si>
    <t>Total Govt. Value (Land + Building)</t>
  </si>
  <si>
    <t>Govt. Building Value GF RCC ROOF</t>
  </si>
  <si>
    <t>Total Value of building</t>
  </si>
  <si>
    <t>Nil</t>
  </si>
  <si>
    <t>H.E.M. ASSOCIATES</t>
  </si>
  <si>
    <t xml:space="preserve">Documents Submitted Sale DEED </t>
  </si>
  <si>
    <t>Built up Area  FF RCC</t>
  </si>
  <si>
    <t>Built up Area  GF RCC (parking</t>
  </si>
  <si>
    <t>Built up Area  SS RCC</t>
  </si>
  <si>
    <t xml:space="preserve">Land freehold or leasehold, term of Lease Period expired, balance and lease rent  
</t>
  </si>
  <si>
    <t>FF RCC</t>
  </si>
  <si>
    <t>GF RCC</t>
  </si>
  <si>
    <t>Copy of Approved plan is not available. The subject property is 7 MONTHS building.</t>
  </si>
  <si>
    <t>SITE PHOTOS</t>
  </si>
  <si>
    <t>Free Hold</t>
  </si>
  <si>
    <t xml:space="preserve"> Purpose of Valuation</t>
  </si>
  <si>
    <t>a. Date of inspection</t>
  </si>
  <si>
    <t>b. Date on which the valuation is made</t>
  </si>
  <si>
    <t xml:space="preserve">Valuation Requested by </t>
  </si>
  <si>
    <t>Suburb Name</t>
  </si>
  <si>
    <t>APP ID.</t>
  </si>
  <si>
    <t xml:space="preserve">Type of Loan </t>
  </si>
  <si>
    <t>Project Type (if any)</t>
  </si>
  <si>
    <t>Applicant Mobile No.</t>
  </si>
  <si>
    <t>Name of the Applicant
Co Applicant</t>
  </si>
  <si>
    <t>Property Address</t>
  </si>
  <si>
    <t>Property Owner(as per Doc)</t>
  </si>
  <si>
    <t xml:space="preserve">Brief description of the property </t>
  </si>
  <si>
    <t>Name of the access Road</t>
  </si>
  <si>
    <t>S. No. Plot. No .and C.T.S No.</t>
  </si>
  <si>
    <t>Classification of Locality</t>
  </si>
  <si>
    <t>Middle Class Locality</t>
  </si>
  <si>
    <t>Mode of Transport to the Property</t>
  </si>
  <si>
    <t>Approvals for drawings from mun,
Authorities/ occupation certificate. ULC clearance/F.S.I. available and lease rent</t>
  </si>
  <si>
    <t>Name of the co-operative Housing Society Registration No. of Society No. of Shares held and certificate no. outgoes per Month</t>
  </si>
  <si>
    <t>Whether Property falls in the list published by M/C for Unauthorized Properties</t>
  </si>
  <si>
    <t>Property is easily identifiable</t>
  </si>
  <si>
    <t>Whether Property was identified on Our Own</t>
  </si>
  <si>
    <t xml:space="preserve">Yes </t>
  </si>
  <si>
    <t xml:space="preserve">If No. Your representative was accompanied with Customer/Sales </t>
  </si>
  <si>
    <t xml:space="preserve">Customer </t>
  </si>
  <si>
    <t>Property is Demarcated</t>
  </si>
  <si>
    <t>Geo Positioning of the Property 
(Longitude &amp; Latitude)</t>
  </si>
  <si>
    <t>II)Details of Structure and Specification</t>
  </si>
  <si>
    <t>Maximum No Of Partitions</t>
  </si>
  <si>
    <t>Demarcation By A Wall</t>
  </si>
  <si>
    <t>Separate Land Area</t>
  </si>
  <si>
    <t>Dedicated And Separate Access</t>
  </si>
  <si>
    <t>NOC Requirement From Owner Of Adjoining Property</t>
  </si>
  <si>
    <t>REQUIRED</t>
  </si>
  <si>
    <t>Requirement Of A Clear And Marketable Property Document With Dimensions Clearly Demarcated</t>
  </si>
  <si>
    <t>Common Staircase</t>
  </si>
  <si>
    <t>HTR</t>
  </si>
  <si>
    <t>Electric Meter</t>
  </si>
  <si>
    <t>Valuation</t>
  </si>
  <si>
    <t>Undivided Land Share</t>
  </si>
  <si>
    <t>PERMITTED</t>
  </si>
  <si>
    <t xml:space="preserve">Vertical Partition Not Allowed </t>
  </si>
  <si>
    <t>Present condition of building</t>
  </si>
  <si>
    <t>Any immediate repairs required with cost of the same</t>
  </si>
  <si>
    <t>Type of construction</t>
  </si>
  <si>
    <t xml:space="preserve">If Under Construction(then mentioned
The level of construction/slab) </t>
  </si>
  <si>
    <t xml:space="preserve">Stage of Construction </t>
  </si>
  <si>
    <t>Estimated date of Completion</t>
  </si>
  <si>
    <t>Permitted use of property</t>
  </si>
  <si>
    <t>Actual use of the property</t>
  </si>
  <si>
    <t>No. of floors for building and additional Structures</t>
  </si>
  <si>
    <t>No. of lifts with capacity and type</t>
  </si>
  <si>
    <t>Type of Underground, overhead tanks and pumps</t>
  </si>
  <si>
    <t>Flooring in open space/stilts and staircase</t>
  </si>
  <si>
    <t>Compound wall and gated</t>
  </si>
  <si>
    <t>Building elevation</t>
  </si>
  <si>
    <t>Other amenities and special amenities
And features</t>
  </si>
  <si>
    <t>General comments on specifications</t>
  </si>
  <si>
    <t>No. of Floors</t>
  </si>
  <si>
    <t>No. of flats on each floor</t>
  </si>
  <si>
    <t>Accommodations details</t>
  </si>
  <si>
    <t>III)Details for the property under reference</t>
  </si>
  <si>
    <t xml:space="preserve">Balconies to rooms separate or merged </t>
  </si>
  <si>
    <t>Merged</t>
  </si>
  <si>
    <t>Walls, plastering and paintings</t>
  </si>
  <si>
    <t>Doors and windows</t>
  </si>
  <si>
    <t>Type of flooring</t>
  </si>
  <si>
    <t>Flooring in toilets/W.C/bath, dado</t>
  </si>
  <si>
    <t>Kitchen platform type and sink</t>
  </si>
  <si>
    <t xml:space="preserve">Toilets plumbing lines concealed/open type of plumbing and san. fittings, ceiling </t>
  </si>
  <si>
    <t xml:space="preserve">Electricals installation open or concealed wiring type of switches tel. points, TV/Cable points </t>
  </si>
  <si>
    <t xml:space="preserve">Area of property (permitted as per approved plan/building byelaws) </t>
  </si>
  <si>
    <t>Floor</t>
  </si>
  <si>
    <t>Permissible Area- SFT</t>
  </si>
  <si>
    <t>Actual area- SFT</t>
  </si>
  <si>
    <t>Built up/Saleable Area</t>
  </si>
  <si>
    <t>Carpet Area(approx)</t>
  </si>
  <si>
    <t>Land area as per sale agreement/legal report</t>
  </si>
  <si>
    <t>Adherence to sanction Plan/Building byelaws</t>
  </si>
  <si>
    <t>Plot Coverage &amp; FSI exceed Permission limit as detailed below</t>
  </si>
  <si>
    <t>Deviation from building byelaws (if any)</t>
  </si>
  <si>
    <t>Plot Coverage FSI 0 %</t>
  </si>
  <si>
    <t>Risk of demolition(Valuer’s Views)(Low,
Medium, High)</t>
  </si>
  <si>
    <t>Low</t>
  </si>
  <si>
    <t>In case the property has mixed use define the area being used for purpose</t>
  </si>
  <si>
    <t>Is the mixed use of the property permitted or is it unauthorized</t>
  </si>
  <si>
    <t>Property currently occupied by</t>
  </si>
  <si>
    <t>If self occupied, then since When</t>
  </si>
  <si>
    <t>IV)Assumptions, data available and basis-for the purpose of Valuation</t>
  </si>
  <si>
    <t>Present condition of property and structure</t>
  </si>
  <si>
    <t>Good</t>
  </si>
  <si>
    <t>Comments on Specification and amenities</t>
  </si>
  <si>
    <t>Estimate given by the customer</t>
  </si>
  <si>
    <t>Is the estimate given by the customer
Valid or not</t>
  </si>
  <si>
    <t>V) Conclusion and valuation of the property</t>
  </si>
  <si>
    <t>Rate Adopted for Valuation</t>
  </si>
  <si>
    <t>Land Value</t>
  </si>
  <si>
    <t>Less: for immediate repairs/paintings/
Structures repairs for the flat and building</t>
  </si>
  <si>
    <t>Insurance Value</t>
  </si>
  <si>
    <t xml:space="preserve">For Sale </t>
  </si>
  <si>
    <t>Average</t>
  </si>
  <si>
    <t xml:space="preserve">Poor     </t>
  </si>
  <si>
    <t>Other (remarks if any)</t>
  </si>
  <si>
    <t>For Lease-estimated rental income</t>
  </si>
  <si>
    <t>VII) Declaration</t>
  </si>
  <si>
    <t xml:space="preserve">Date: 			</t>
  </si>
  <si>
    <t>RCC</t>
  </si>
  <si>
    <t>Dated</t>
  </si>
  <si>
    <r>
      <rPr>
        <b/>
        <sz val="11"/>
        <color rgb="FF000000"/>
        <rFont val="Book Antiqua"/>
        <family val="1"/>
      </rPr>
      <t>EAST:</t>
    </r>
    <r>
      <rPr>
        <sz val="11"/>
        <color rgb="FF000000"/>
        <rFont val="Book Antiqua"/>
        <family val="1"/>
      </rPr>
      <t xml:space="preserve"> </t>
    </r>
  </si>
  <si>
    <t>WEST:</t>
  </si>
  <si>
    <r>
      <t>NORTH:</t>
    </r>
    <r>
      <rPr>
        <sz val="11"/>
        <color rgb="FF000000"/>
        <rFont val="Book Antiqua"/>
        <family val="1"/>
      </rPr>
      <t xml:space="preserve"> </t>
    </r>
  </si>
  <si>
    <r>
      <rPr>
        <b/>
        <sz val="11"/>
        <color rgb="FF000000"/>
        <rFont val="Book Antiqua"/>
        <family val="1"/>
      </rPr>
      <t>SOUTH:</t>
    </r>
    <r>
      <rPr>
        <sz val="11"/>
        <color rgb="FF000000"/>
        <rFont val="Book Antiqua"/>
        <family val="1"/>
      </rPr>
      <t xml:space="preserve">  </t>
    </r>
  </si>
  <si>
    <t xml:space="preserve">EAST: </t>
  </si>
  <si>
    <t xml:space="preserve">WEST: </t>
  </si>
  <si>
    <t xml:space="preserve">NORTH:  </t>
  </si>
  <si>
    <t>No</t>
  </si>
  <si>
    <t>EXTERNAL</t>
  </si>
  <si>
    <t>Normal</t>
  </si>
  <si>
    <t>Total</t>
  </si>
  <si>
    <t>Owners</t>
  </si>
  <si>
    <t xml:space="preserve">Boundary details as per Document </t>
  </si>
  <si>
    <t>G+1</t>
  </si>
  <si>
    <t>2 Wheeler, 4 Wheeler</t>
  </si>
  <si>
    <t>Ground Floor</t>
  </si>
  <si>
    <t xml:space="preserve">SOUTH:  </t>
  </si>
  <si>
    <t>LAP</t>
  </si>
  <si>
    <t>28-01-2026</t>
  </si>
  <si>
    <r>
      <t>Home Loan/Business Loan/</t>
    </r>
    <r>
      <rPr>
        <b/>
        <sz val="11"/>
        <color rgb="FF000000"/>
        <rFont val="Book Antiqua"/>
        <family val="1"/>
      </rPr>
      <t>LAP</t>
    </r>
  </si>
  <si>
    <t>High Way                   1 M</t>
  </si>
  <si>
    <t>2BHK</t>
  </si>
  <si>
    <t>56 Years</t>
  </si>
  <si>
    <t>16.899116, 81.798136</t>
  </si>
  <si>
    <t>31-01-2026</t>
  </si>
  <si>
    <t>SMFG (4504)</t>
  </si>
  <si>
    <t>Rajahmundry</t>
  </si>
  <si>
    <t xml:space="preserve">GAVARA PADMA RAO
GAVARA CHEKRAVENI
</t>
  </si>
  <si>
    <t>Door. No. 2-22(As on Doc &amp; Tax),  Asst no 686, SR. No. 417/3B2, Near Vinaya Temple, Block no 2, Burrilanka area, Kadiyapulanka Grama Panchayat area, Kadiyam Village, Kadiyam Mandal,  East Godavari District, , Andhra Pradesh, Pin-533126</t>
  </si>
  <si>
    <t>GAVARA PADMA RAO</t>
  </si>
  <si>
    <t>1743/2021</t>
  </si>
  <si>
    <t>1. Copy of property tax with Asst no 686 in favor of Gavara Padmarao</t>
  </si>
  <si>
    <t>10 FT CC on East &amp; West Side</t>
  </si>
  <si>
    <t>Sy. No. 417/3B2</t>
  </si>
  <si>
    <t xml:space="preserve">Rail Way Station              15 KM                                                                                                                                </t>
  </si>
  <si>
    <t xml:space="preserve">      Branch
    18 KM                   </t>
  </si>
  <si>
    <t>Panchayat road</t>
  </si>
  <si>
    <t>Farming Land of Kottapalli Venkata Rayudu</t>
  </si>
  <si>
    <t>House of Janga pullayya</t>
  </si>
  <si>
    <t>10 ft CC Road</t>
  </si>
  <si>
    <t>Venkatarayudu Nursery</t>
  </si>
  <si>
    <t>RCC House of Janga pullayya</t>
  </si>
  <si>
    <t>8 Years</t>
  </si>
  <si>
    <t>52Years</t>
  </si>
  <si>
    <r>
      <t>Remarks</t>
    </r>
    <r>
      <rPr>
        <sz val="11"/>
        <color rgb="FF000000"/>
        <rFont val="Book Antiqua"/>
        <family val="1"/>
      </rPr>
      <t xml:space="preserve"> (if any) -                                                                                                                                                            
1. The Subject property is a Ground Floor Residential RCC Building,  Located in Burrilanka Grama Panchayat Limits.
2. Property is identified through, E Bill and propertax
3. Subject property is surrounded with Residential houses.
5. Slab area of ground floor is 762 Sft ,Land Area as per Documents and as per physical it was 96 Sq.Yd, Hence valuation considerded for same.
</t>
    </r>
    <r>
      <rPr>
        <b/>
        <sz val="11"/>
        <color rgb="FF000000"/>
        <rFont val="Book Antiqua"/>
        <family val="1"/>
      </rPr>
      <t xml:space="preserve">6. </t>
    </r>
    <r>
      <rPr>
        <sz val="11"/>
        <color rgb="FF000000"/>
        <rFont val="Book Antiqua"/>
        <family val="1"/>
      </rPr>
      <t>Property Tax has  been provided.
7.</t>
    </r>
    <r>
      <rPr>
        <sz val="11"/>
        <color rgb="FF7030A0"/>
        <rFont val="Book Antiqua"/>
        <family val="1"/>
      </rPr>
      <t xml:space="preserve"> </t>
    </r>
    <r>
      <rPr>
        <sz val="11"/>
        <rFont val="Book Antiqua"/>
        <family val="1"/>
      </rPr>
      <t>Elecricity Bill has been provided.</t>
    </r>
    <r>
      <rPr>
        <sz val="11"/>
        <color rgb="FF000000"/>
        <rFont val="Book Antiqua"/>
        <family val="1"/>
      </rPr>
      <t xml:space="preserve">
8.</t>
    </r>
    <r>
      <rPr>
        <sz val="11"/>
        <rFont val="Book Antiqua"/>
        <family val="1"/>
      </rPr>
      <t xml:space="preserve">Marketability of the property is Good.                                                                                                                                                                                                                                                                                                                      </t>
    </r>
    <r>
      <rPr>
        <b/>
        <sz val="11"/>
        <rFont val="Book Antiqua"/>
        <family val="1"/>
      </rPr>
      <t xml:space="preserve">  </t>
    </r>
    <r>
      <rPr>
        <sz val="11"/>
        <rFont val="Book Antiqua"/>
        <family val="1"/>
      </rPr>
      <t xml:space="preserve">                                                                                                                                                                                                        </t>
    </r>
    <r>
      <rPr>
        <sz val="11"/>
        <color rgb="FFFF0000"/>
        <rFont val="Book Antiqua"/>
        <family val="1"/>
      </rPr>
      <t xml:space="preserve">
</t>
    </r>
    <r>
      <rPr>
        <sz val="11"/>
        <rFont val="Book Antiqua"/>
        <family val="1"/>
      </rPr>
      <t>9.GPS Coordinates: 16.899116, 81.798136.</t>
    </r>
    <r>
      <rPr>
        <sz val="11"/>
        <color rgb="FFFF0000"/>
        <rFont val="Book Antiqua"/>
        <family val="1"/>
      </rPr>
      <t xml:space="preserve">          
</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</si>
</sst>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4" formatCode="_ &quot;₹&quot;\ * #,##0.00_ ;_ &quot;₹&quot;\ * \-#,##0.00_ ;_ &quot;₹&quot;\ * &quot;-&quot;??_ ;_ @_ "/>
    <numFmt numFmtId="164" formatCode="&quot;Rs.&quot;\ #,##0.00"/>
    <numFmt numFmtId="165" formatCode="&quot;Rs.&quot;\ #,##0.0"/>
    <numFmt numFmtId="166" formatCode="0&quot; Years Old&quot;"/>
    <numFmt numFmtId="167" formatCode="0&quot; Years&quot;"/>
  </numFmts>
  <fonts count="15" x14ac:knownFonts="1">
    <font>
      <sz val="11"/>
      <name val="Calibri"/>
      <family val="2"/>
    </font>
    <font>
      <sz val="11"/>
      <name val="Calibri"/>
      <family val="2"/>
    </font>
    <font>
      <b/>
      <sz val="11"/>
      <color rgb="FF000000"/>
      <name val="Book Antiqua"/>
      <family val="1"/>
    </font>
    <font>
      <sz val="11"/>
      <name val="Book Antiqua"/>
      <family val="1"/>
    </font>
    <font>
      <sz val="11"/>
      <color rgb="FF000000"/>
      <name val="Book Antiqua"/>
      <family val="1"/>
    </font>
    <font>
      <b/>
      <sz val="11"/>
      <name val="Book Antiqua"/>
      <family val="1"/>
    </font>
    <font>
      <b/>
      <u/>
      <sz val="11"/>
      <color rgb="FF000000"/>
      <name val="Book Antiqua"/>
      <family val="1"/>
    </font>
    <font>
      <sz val="11"/>
      <color rgb="FF222222"/>
      <name val="Book Antiqua"/>
      <family val="1"/>
    </font>
    <font>
      <b/>
      <u/>
      <sz val="11"/>
      <name val="Book Antiqua"/>
      <family val="1"/>
    </font>
    <font>
      <sz val="11"/>
      <color theme="1"/>
      <name val="Book Antiqua"/>
      <family val="1"/>
    </font>
    <font>
      <sz val="11"/>
      <color rgb="FFFF0000"/>
      <name val="Book Antiqua"/>
      <family val="1"/>
    </font>
    <font>
      <sz val="11"/>
      <color rgb="FF7030A0"/>
      <name val="Book Antiqua"/>
      <family val="1"/>
    </font>
    <font>
      <b/>
      <sz val="28"/>
      <color rgb="FF00B0F0"/>
      <name val="Book Antiqua"/>
      <family val="1"/>
    </font>
    <font>
      <b/>
      <sz val="11"/>
      <color theme="0"/>
      <name val="Book Antiqua"/>
      <family val="1"/>
    </font>
    <font>
      <b/>
      <sz val="11"/>
      <color theme="1"/>
      <name val="Book Antiqua"/>
      <family val="1"/>
    </font>
  </fonts>
  <fills count="3">
    <fill>
      <patternFill patternType="none"/>
    </fill>
    <fill>
      <patternFill patternType="gray125"/>
    </fill>
    <fill>
      <patternFill patternType="solid">
        <fgColor theme="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auto="1"/>
      </right>
      <top style="thin">
        <color auto="1"/>
      </top>
      <bottom style="thin">
        <color auto="1"/>
      </bottom>
      <diagonal/>
    </border>
  </borders>
  <cellStyleXfs count="2">
    <xf numFmtId="0" fontId="0" fillId="0" borderId="0"/>
    <xf numFmtId="44" fontId="1" fillId="0" borderId="0" applyFont="0" applyFill="0" applyBorder="0" applyAlignment="0" applyProtection="0"/>
  </cellStyleXfs>
  <cellXfs count="150">
    <xf numFmtId="0" fontId="0" fillId="0" borderId="0" xfId="0"/>
    <xf numFmtId="0" fontId="3" fillId="0" borderId="0" xfId="0" applyFont="1" applyAlignment="1">
      <alignment horizontal="left" vertical="top"/>
    </xf>
    <xf numFmtId="0" fontId="3" fillId="0" borderId="0" xfId="0" applyFont="1"/>
    <xf numFmtId="0" fontId="4" fillId="0" borderId="1" xfId="0" applyFont="1" applyBorder="1" applyAlignment="1">
      <alignment horizontal="left" vertical="center" wrapText="1"/>
    </xf>
    <xf numFmtId="0" fontId="4" fillId="0" borderId="1" xfId="0" applyFont="1" applyBorder="1" applyAlignment="1">
      <alignment horizontal="center" vertical="top" wrapText="1"/>
    </xf>
    <xf numFmtId="0" fontId="3" fillId="0" borderId="1" xfId="0" applyFont="1" applyBorder="1" applyAlignment="1">
      <alignment horizontal="center" vertical="top" wrapText="1"/>
    </xf>
    <xf numFmtId="0" fontId="3" fillId="0" borderId="1" xfId="0" applyFont="1" applyBorder="1" applyAlignment="1">
      <alignment vertical="top" wrapText="1"/>
    </xf>
    <xf numFmtId="3" fontId="2" fillId="0" borderId="1" xfId="0" applyNumberFormat="1" applyFont="1" applyBorder="1" applyAlignment="1">
      <alignment horizontal="center" vertical="top" wrapText="1"/>
    </xf>
    <xf numFmtId="0" fontId="5" fillId="0" borderId="0" xfId="0" applyFont="1"/>
    <xf numFmtId="0" fontId="2" fillId="0" borderId="1" xfId="0" applyFont="1" applyBorder="1" applyAlignment="1">
      <alignment vertical="top" wrapText="1"/>
    </xf>
    <xf numFmtId="49" fontId="2" fillId="0" borderId="1" xfId="0" applyNumberFormat="1" applyFont="1" applyBorder="1" applyAlignment="1">
      <alignment horizontal="left" vertical="top" wrapText="1"/>
    </xf>
    <xf numFmtId="0" fontId="2" fillId="0" borderId="1" xfId="0" applyFont="1" applyBorder="1" applyAlignment="1">
      <alignment horizontal="center" vertical="top" wrapText="1"/>
    </xf>
    <xf numFmtId="0" fontId="4" fillId="0" borderId="1" xfId="0" applyFont="1" applyBorder="1" applyAlignment="1">
      <alignment horizontal="left" vertical="top" wrapText="1"/>
    </xf>
    <xf numFmtId="0" fontId="4" fillId="0" borderId="17" xfId="0" applyFont="1" applyBorder="1" applyAlignment="1">
      <alignment horizontal="left" vertical="top" wrapText="1"/>
    </xf>
    <xf numFmtId="0" fontId="4" fillId="0" borderId="17" xfId="0" applyFont="1" applyBorder="1" applyAlignment="1">
      <alignment horizontal="left" vertical="center" wrapText="1"/>
    </xf>
    <xf numFmtId="0" fontId="3" fillId="0" borderId="17" xfId="0" applyFont="1" applyBorder="1"/>
    <xf numFmtId="0" fontId="4" fillId="0" borderId="21" xfId="0" applyFont="1" applyBorder="1" applyAlignment="1">
      <alignment horizontal="center" vertical="top" wrapText="1"/>
    </xf>
    <xf numFmtId="0" fontId="4" fillId="0" borderId="17" xfId="0" applyFont="1" applyBorder="1" applyAlignment="1">
      <alignment vertical="top" wrapText="1"/>
    </xf>
    <xf numFmtId="0" fontId="3" fillId="0" borderId="9" xfId="0" applyFont="1" applyBorder="1"/>
    <xf numFmtId="0" fontId="4" fillId="0" borderId="19" xfId="0" applyFont="1" applyBorder="1" applyAlignment="1">
      <alignment horizontal="left" vertical="top" wrapText="1"/>
    </xf>
    <xf numFmtId="0" fontId="2" fillId="0" borderId="17" xfId="0" applyFont="1" applyBorder="1" applyAlignment="1">
      <alignment vertical="top" wrapText="1"/>
    </xf>
    <xf numFmtId="0" fontId="4" fillId="2" borderId="1" xfId="0" applyFont="1" applyFill="1" applyBorder="1" applyAlignment="1">
      <alignment horizontal="left" vertical="top" wrapText="1"/>
    </xf>
    <xf numFmtId="10" fontId="4" fillId="2" borderId="1" xfId="0" applyNumberFormat="1" applyFont="1" applyFill="1" applyBorder="1" applyAlignment="1">
      <alignment horizontal="left" vertical="top" wrapText="1"/>
    </xf>
    <xf numFmtId="0" fontId="4" fillId="2" borderId="2" xfId="0" applyFont="1" applyFill="1" applyBorder="1" applyAlignment="1">
      <alignment horizontal="left" vertical="top" wrapText="1"/>
    </xf>
    <xf numFmtId="164" fontId="3" fillId="2" borderId="19" xfId="0" applyNumberFormat="1" applyFont="1" applyFill="1" applyBorder="1" applyAlignment="1">
      <alignment horizontal="left" vertical="top" wrapText="1"/>
    </xf>
    <xf numFmtId="0" fontId="4" fillId="2" borderId="1" xfId="0" applyFont="1" applyFill="1" applyBorder="1" applyAlignment="1">
      <alignment vertical="top" wrapText="1"/>
    </xf>
    <xf numFmtId="0" fontId="5" fillId="0" borderId="1" xfId="0" applyFont="1" applyBorder="1" applyAlignment="1">
      <alignment wrapText="1"/>
    </xf>
    <xf numFmtId="0" fontId="4" fillId="0" borderId="1" xfId="0" applyFont="1" applyBorder="1" applyAlignment="1">
      <alignment vertical="top" wrapText="1"/>
    </xf>
    <xf numFmtId="14" fontId="4" fillId="0" borderId="1" xfId="0" applyNumberFormat="1" applyFont="1" applyBorder="1" applyAlignment="1">
      <alignment horizontal="left" vertical="top" wrapText="1"/>
    </xf>
    <xf numFmtId="14" fontId="4" fillId="0" borderId="2" xfId="0" applyNumberFormat="1" applyFont="1" applyBorder="1" applyAlignment="1">
      <alignment horizontal="left" vertical="top" wrapText="1"/>
    </xf>
    <xf numFmtId="0" fontId="4" fillId="0" borderId="1" xfId="0" applyFont="1" applyBorder="1" applyAlignment="1">
      <alignment horizontal="left" vertical="top" wrapText="1"/>
    </xf>
    <xf numFmtId="0" fontId="4" fillId="0" borderId="19" xfId="0" applyFont="1" applyBorder="1" applyAlignment="1">
      <alignment horizontal="left" vertical="top" wrapText="1"/>
    </xf>
    <xf numFmtId="164" fontId="3" fillId="2" borderId="2" xfId="0" applyNumberFormat="1" applyFont="1" applyFill="1" applyBorder="1" applyAlignment="1">
      <alignment horizontal="center" vertical="top" wrapText="1"/>
    </xf>
    <xf numFmtId="164" fontId="3" fillId="2" borderId="18" xfId="0" applyNumberFormat="1" applyFont="1" applyFill="1" applyBorder="1" applyAlignment="1">
      <alignment horizontal="center"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4" fillId="0" borderId="18" xfId="0" applyFont="1" applyBorder="1" applyAlignment="1">
      <alignment horizontal="left" vertical="top" wrapText="1"/>
    </xf>
    <xf numFmtId="164" fontId="9" fillId="2" borderId="1" xfId="0" applyNumberFormat="1" applyFont="1" applyFill="1" applyBorder="1" applyAlignment="1">
      <alignment horizontal="left" vertical="top" wrapText="1"/>
    </xf>
    <xf numFmtId="0" fontId="9" fillId="2" borderId="1" xfId="0" applyFont="1" applyFill="1" applyBorder="1" applyAlignment="1">
      <alignment horizontal="left" vertical="top" wrapText="1"/>
    </xf>
    <xf numFmtId="0" fontId="9" fillId="2" borderId="19" xfId="0" applyFont="1" applyFill="1" applyBorder="1" applyAlignment="1">
      <alignment horizontal="left" vertical="top" wrapText="1"/>
    </xf>
    <xf numFmtId="0" fontId="4" fillId="2" borderId="1" xfId="0" applyFont="1" applyFill="1" applyBorder="1" applyAlignment="1">
      <alignment horizontal="left" vertical="top" wrapText="1"/>
    </xf>
    <xf numFmtId="0" fontId="4" fillId="2" borderId="19" xfId="0" applyFont="1" applyFill="1" applyBorder="1" applyAlignment="1">
      <alignment horizontal="left" vertical="top" wrapText="1"/>
    </xf>
    <xf numFmtId="164" fontId="4" fillId="2" borderId="1" xfId="0" applyNumberFormat="1" applyFont="1" applyFill="1" applyBorder="1" applyAlignment="1">
      <alignment horizontal="left" vertical="top" wrapText="1"/>
    </xf>
    <xf numFmtId="0" fontId="3" fillId="0" borderId="1" xfId="0" applyFont="1" applyBorder="1" applyAlignment="1">
      <alignment horizontal="center"/>
    </xf>
    <xf numFmtId="0" fontId="3" fillId="0" borderId="4" xfId="0" applyFont="1" applyBorder="1" applyAlignment="1">
      <alignment horizontal="center"/>
    </xf>
    <xf numFmtId="0" fontId="3" fillId="0" borderId="0" xfId="0" applyFont="1" applyBorder="1" applyAlignment="1">
      <alignment horizontal="center"/>
    </xf>
    <xf numFmtId="0" fontId="3" fillId="0" borderId="5" xfId="0" applyFont="1" applyBorder="1" applyAlignment="1">
      <alignment horizontal="center"/>
    </xf>
    <xf numFmtId="164" fontId="3" fillId="2" borderId="1" xfId="0" applyNumberFormat="1" applyFont="1" applyFill="1" applyBorder="1" applyAlignment="1">
      <alignment horizontal="center" vertical="top" wrapText="1"/>
    </xf>
    <xf numFmtId="164" fontId="3" fillId="2" borderId="19" xfId="0" applyNumberFormat="1" applyFont="1" applyFill="1" applyBorder="1" applyAlignment="1">
      <alignment horizontal="center" vertical="top" wrapText="1"/>
    </xf>
    <xf numFmtId="0" fontId="2" fillId="0" borderId="2" xfId="0" applyFont="1" applyBorder="1" applyAlignment="1">
      <alignment horizontal="center" vertical="top" wrapText="1"/>
    </xf>
    <xf numFmtId="0" fontId="2" fillId="0" borderId="18" xfId="0" applyFont="1" applyBorder="1" applyAlignment="1">
      <alignment horizontal="center" vertical="top" wrapText="1"/>
    </xf>
    <xf numFmtId="0" fontId="4" fillId="0" borderId="17" xfId="0" applyFont="1" applyBorder="1" applyAlignment="1">
      <alignment horizontal="left" vertical="top" wrapText="1"/>
    </xf>
    <xf numFmtId="0" fontId="3" fillId="0" borderId="27" xfId="0" applyFont="1" applyBorder="1" applyAlignment="1">
      <alignment horizontal="center"/>
    </xf>
    <xf numFmtId="0" fontId="3" fillId="0" borderId="28" xfId="0" applyFont="1" applyBorder="1" applyAlignment="1">
      <alignment horizontal="center"/>
    </xf>
    <xf numFmtId="0" fontId="3" fillId="0" borderId="29" xfId="0" applyFont="1" applyBorder="1" applyAlignment="1">
      <alignment horizontal="center"/>
    </xf>
    <xf numFmtId="0" fontId="3" fillId="0" borderId="30" xfId="0" applyFont="1" applyBorder="1" applyAlignment="1">
      <alignment horizontal="center"/>
    </xf>
    <xf numFmtId="0" fontId="3" fillId="0" borderId="31" xfId="0" applyFont="1" applyBorder="1" applyAlignment="1">
      <alignment horizontal="center"/>
    </xf>
    <xf numFmtId="0" fontId="3" fillId="0" borderId="32" xfId="0" applyFont="1" applyBorder="1" applyAlignment="1">
      <alignment horizontal="center"/>
    </xf>
    <xf numFmtId="0" fontId="5" fillId="0" borderId="25" xfId="0" applyFont="1" applyBorder="1" applyAlignment="1">
      <alignment horizontal="center"/>
    </xf>
    <xf numFmtId="0" fontId="5" fillId="0" borderId="5" xfId="0" applyFont="1" applyBorder="1" applyAlignment="1">
      <alignment horizontal="center"/>
    </xf>
    <xf numFmtId="0" fontId="5" fillId="0" borderId="26" xfId="0" applyFont="1" applyBorder="1" applyAlignment="1">
      <alignment horizontal="center"/>
    </xf>
    <xf numFmtId="0" fontId="6" fillId="0" borderId="20" xfId="0" applyFont="1" applyBorder="1" applyAlignment="1">
      <alignment horizontal="left" vertical="top" wrapText="1"/>
    </xf>
    <xf numFmtId="0" fontId="6" fillId="0" borderId="3" xfId="0" applyFont="1" applyBorder="1" applyAlignment="1">
      <alignment horizontal="left" vertical="top" wrapText="1"/>
    </xf>
    <xf numFmtId="0" fontId="6" fillId="0" borderId="18" xfId="0" applyFont="1" applyBorder="1" applyAlignment="1">
      <alignment horizontal="left" vertical="top" wrapText="1"/>
    </xf>
    <xf numFmtId="0" fontId="2" fillId="0" borderId="1" xfId="0" applyFont="1" applyBorder="1" applyAlignment="1">
      <alignment horizontal="center" vertical="top" wrapText="1"/>
    </xf>
    <xf numFmtId="0" fontId="2" fillId="0" borderId="19" xfId="0" applyFont="1" applyBorder="1" applyAlignment="1">
      <alignment horizontal="center" vertical="top" wrapText="1"/>
    </xf>
    <xf numFmtId="0" fontId="5" fillId="0" borderId="21" xfId="0" applyFont="1" applyBorder="1" applyAlignment="1">
      <alignment horizontal="center"/>
    </xf>
    <xf numFmtId="0" fontId="5" fillId="0" borderId="6" xfId="0" applyFont="1" applyBorder="1" applyAlignment="1">
      <alignment horizontal="center"/>
    </xf>
    <xf numFmtId="0" fontId="5" fillId="0" borderId="24" xfId="0" applyFont="1" applyBorder="1" applyAlignment="1">
      <alignment horizontal="center"/>
    </xf>
    <xf numFmtId="0" fontId="3" fillId="0" borderId="6" xfId="0" applyFont="1" applyBorder="1" applyAlignment="1">
      <alignment horizontal="center"/>
    </xf>
    <xf numFmtId="0" fontId="3" fillId="0" borderId="13" xfId="0" applyFont="1" applyBorder="1" applyAlignment="1">
      <alignment horizontal="center"/>
    </xf>
    <xf numFmtId="0" fontId="3" fillId="0" borderId="12" xfId="0" applyFont="1" applyBorder="1" applyAlignment="1">
      <alignment horizontal="center"/>
    </xf>
    <xf numFmtId="0" fontId="5" fillId="0" borderId="6" xfId="0" applyFont="1" applyBorder="1" applyAlignment="1">
      <alignment horizontal="left" vertical="top"/>
    </xf>
    <xf numFmtId="0" fontId="5" fillId="0" borderId="13" xfId="0" applyFont="1" applyBorder="1" applyAlignment="1">
      <alignment horizontal="left" vertical="top"/>
    </xf>
    <xf numFmtId="0" fontId="5" fillId="0" borderId="12" xfId="0" applyFont="1" applyBorder="1" applyAlignment="1">
      <alignment horizontal="left" vertical="top"/>
    </xf>
    <xf numFmtId="167" fontId="4" fillId="0" borderId="2" xfId="0" applyNumberFormat="1" applyFont="1" applyBorder="1" applyAlignment="1">
      <alignment horizontal="left" vertical="top" wrapText="1"/>
    </xf>
    <xf numFmtId="167" fontId="4" fillId="0" borderId="3" xfId="0" applyNumberFormat="1" applyFont="1" applyBorder="1" applyAlignment="1">
      <alignment horizontal="left" vertical="top" wrapText="1"/>
    </xf>
    <xf numFmtId="167" fontId="4" fillId="0" borderId="33" xfId="0" applyNumberFormat="1" applyFont="1" applyBorder="1" applyAlignment="1">
      <alignment horizontal="left" vertical="top" wrapText="1"/>
    </xf>
    <xf numFmtId="0" fontId="4" fillId="0" borderId="33" xfId="0" applyFont="1" applyBorder="1" applyAlignment="1">
      <alignment horizontal="left" vertical="top" wrapText="1"/>
    </xf>
    <xf numFmtId="0" fontId="2" fillId="0" borderId="20" xfId="0" applyFont="1" applyBorder="1" applyAlignment="1">
      <alignment horizontal="left" vertical="top" wrapText="1"/>
    </xf>
    <xf numFmtId="0" fontId="2" fillId="0" borderId="3" xfId="0" applyFont="1" applyBorder="1" applyAlignment="1">
      <alignment horizontal="left" vertical="top" wrapText="1"/>
    </xf>
    <xf numFmtId="0" fontId="2" fillId="0" borderId="18" xfId="0" applyFont="1" applyBorder="1" applyAlignment="1">
      <alignment horizontal="left" vertical="top" wrapText="1"/>
    </xf>
    <xf numFmtId="3" fontId="4" fillId="0" borderId="2" xfId="0" applyNumberFormat="1" applyFont="1" applyBorder="1" applyAlignment="1">
      <alignment horizontal="center" vertical="top" wrapText="1"/>
    </xf>
    <xf numFmtId="0" fontId="4" fillId="0" borderId="18" xfId="0" applyFont="1" applyBorder="1" applyAlignment="1">
      <alignment horizontal="center" vertical="top" wrapText="1"/>
    </xf>
    <xf numFmtId="0" fontId="4" fillId="0" borderId="2" xfId="0" applyFont="1" applyBorder="1" applyAlignment="1">
      <alignment horizontal="center" vertical="top" wrapText="1"/>
    </xf>
    <xf numFmtId="0" fontId="4" fillId="0" borderId="2" xfId="1" applyNumberFormat="1" applyFont="1" applyBorder="1" applyAlignment="1">
      <alignment horizontal="left" vertical="top" wrapText="1"/>
    </xf>
    <xf numFmtId="0" fontId="4" fillId="0" borderId="3" xfId="1" applyNumberFormat="1" applyFont="1" applyBorder="1" applyAlignment="1">
      <alignment horizontal="left" vertical="top" wrapText="1"/>
    </xf>
    <xf numFmtId="0" fontId="4" fillId="0" borderId="18" xfId="1" applyNumberFormat="1" applyFont="1" applyBorder="1" applyAlignment="1">
      <alignment horizontal="left" vertical="top" wrapText="1"/>
    </xf>
    <xf numFmtId="166" fontId="4" fillId="0" borderId="1" xfId="0" applyNumberFormat="1" applyFont="1" applyBorder="1" applyAlignment="1">
      <alignment horizontal="left" vertical="top" wrapText="1"/>
    </xf>
    <xf numFmtId="0" fontId="2" fillId="0" borderId="14" xfId="0" applyFont="1" applyBorder="1" applyAlignment="1">
      <alignment horizontal="center" vertical="top" wrapText="1"/>
    </xf>
    <xf numFmtId="0" fontId="2" fillId="0" borderId="15" xfId="0" applyFont="1" applyBorder="1" applyAlignment="1">
      <alignment horizontal="center" vertical="top" wrapText="1"/>
    </xf>
    <xf numFmtId="0" fontId="2" fillId="0" borderId="16" xfId="0" applyFont="1" applyBorder="1" applyAlignment="1">
      <alignment horizontal="center" vertical="top" wrapText="1"/>
    </xf>
    <xf numFmtId="3" fontId="3" fillId="0" borderId="2" xfId="0" applyNumberFormat="1" applyFont="1" applyBorder="1" applyAlignment="1">
      <alignment horizontal="center" vertical="top" wrapText="1"/>
    </xf>
    <xf numFmtId="0" fontId="3" fillId="0" borderId="3" xfId="0" applyFont="1" applyBorder="1" applyAlignment="1">
      <alignment horizontal="center" vertical="top" wrapText="1"/>
    </xf>
    <xf numFmtId="0" fontId="3" fillId="0" borderId="18" xfId="0" applyFont="1" applyBorder="1" applyAlignment="1">
      <alignment horizontal="center" vertical="top" wrapText="1"/>
    </xf>
    <xf numFmtId="166" fontId="4" fillId="0" borderId="2" xfId="0" applyNumberFormat="1" applyFont="1" applyBorder="1" applyAlignment="1">
      <alignment horizontal="left" vertical="top" wrapText="1"/>
    </xf>
    <xf numFmtId="166" fontId="4" fillId="0" borderId="3" xfId="0" applyNumberFormat="1" applyFont="1" applyBorder="1" applyAlignment="1">
      <alignment horizontal="left" vertical="top" wrapText="1"/>
    </xf>
    <xf numFmtId="166" fontId="4" fillId="0" borderId="33" xfId="0" applyNumberFormat="1" applyFont="1" applyBorder="1" applyAlignment="1">
      <alignment horizontal="left" vertical="top"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18" xfId="0" applyFont="1" applyBorder="1" applyAlignment="1">
      <alignment horizontal="center" vertical="center" wrapText="1"/>
    </xf>
    <xf numFmtId="0" fontId="2" fillId="0" borderId="2" xfId="0" applyFont="1" applyBorder="1" applyAlignment="1">
      <alignment horizontal="left" vertical="top" wrapText="1"/>
    </xf>
    <xf numFmtId="165" fontId="4" fillId="2" borderId="1" xfId="0" applyNumberFormat="1" applyFont="1" applyFill="1" applyBorder="1" applyAlignment="1">
      <alignment horizontal="left" vertical="top" wrapText="1"/>
    </xf>
    <xf numFmtId="165" fontId="4" fillId="2" borderId="19" xfId="0" applyNumberFormat="1" applyFont="1" applyFill="1" applyBorder="1" applyAlignment="1">
      <alignment horizontal="left" vertical="top" wrapText="1"/>
    </xf>
    <xf numFmtId="49" fontId="2" fillId="0" borderId="2" xfId="0" applyNumberFormat="1" applyFont="1" applyBorder="1" applyAlignment="1">
      <alignment horizontal="left" vertical="top" wrapText="1"/>
    </xf>
    <xf numFmtId="49" fontId="2" fillId="0" borderId="3" xfId="0" applyNumberFormat="1" applyFont="1" applyBorder="1" applyAlignment="1">
      <alignment horizontal="left" vertical="top" wrapText="1"/>
    </xf>
    <xf numFmtId="49" fontId="2" fillId="0" borderId="18" xfId="0" applyNumberFormat="1" applyFont="1" applyBorder="1" applyAlignment="1">
      <alignment horizontal="left" vertical="top" wrapText="1"/>
    </xf>
    <xf numFmtId="0" fontId="2" fillId="0" borderId="1" xfId="0" applyFont="1" applyBorder="1" applyAlignment="1">
      <alignment horizontal="left" vertical="top" wrapText="1"/>
    </xf>
    <xf numFmtId="0" fontId="2" fillId="0" borderId="19" xfId="0" applyFont="1" applyBorder="1" applyAlignment="1">
      <alignment horizontal="left" vertical="top" wrapText="1"/>
    </xf>
    <xf numFmtId="0" fontId="3" fillId="0" borderId="1" xfId="0" applyFont="1" applyBorder="1" applyAlignment="1">
      <alignment horizontal="left" vertical="top" wrapText="1"/>
    </xf>
    <xf numFmtId="0" fontId="7" fillId="0" borderId="1" xfId="0" applyFont="1" applyBorder="1" applyAlignment="1">
      <alignment horizontal="left" vertical="top" wrapText="1"/>
    </xf>
    <xf numFmtId="0" fontId="7" fillId="0" borderId="19" xfId="0" applyFont="1" applyBorder="1" applyAlignment="1">
      <alignment horizontal="left" vertical="top" wrapText="1"/>
    </xf>
    <xf numFmtId="1" fontId="4" fillId="0" borderId="1" xfId="0" applyNumberFormat="1" applyFont="1" applyBorder="1" applyAlignment="1">
      <alignment horizontal="left" vertical="top" wrapText="1"/>
    </xf>
    <xf numFmtId="1" fontId="4" fillId="0" borderId="19" xfId="0" applyNumberFormat="1" applyFont="1" applyBorder="1" applyAlignment="1">
      <alignment horizontal="left" vertical="top" wrapText="1"/>
    </xf>
    <xf numFmtId="0" fontId="12" fillId="0" borderId="7"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0" xfId="0" applyFont="1" applyAlignment="1">
      <alignment horizontal="center" vertical="center" wrapText="1"/>
    </xf>
    <xf numFmtId="0" fontId="12" fillId="0" borderId="10" xfId="0" applyFont="1" applyBorder="1" applyAlignment="1">
      <alignment horizontal="center" vertical="center" wrapText="1"/>
    </xf>
    <xf numFmtId="0" fontId="14" fillId="2" borderId="1" xfId="0" applyFont="1" applyFill="1" applyBorder="1" applyAlignment="1">
      <alignment horizontal="center" vertical="top" wrapText="1"/>
    </xf>
    <xf numFmtId="0" fontId="13" fillId="2" borderId="1" xfId="0" applyFont="1" applyFill="1" applyBorder="1" applyAlignment="1">
      <alignment horizontal="center" vertical="top" wrapText="1"/>
    </xf>
    <xf numFmtId="0" fontId="13" fillId="2" borderId="19" xfId="0" applyFont="1" applyFill="1" applyBorder="1" applyAlignment="1">
      <alignment horizontal="center" vertical="top" wrapText="1"/>
    </xf>
    <xf numFmtId="164" fontId="3" fillId="2" borderId="2" xfId="0" applyNumberFormat="1" applyFont="1" applyFill="1" applyBorder="1" applyAlignment="1">
      <alignment horizontal="left" vertical="top" wrapText="1"/>
    </xf>
    <xf numFmtId="164" fontId="3" fillId="2" borderId="3" xfId="0" applyNumberFormat="1" applyFont="1" applyFill="1" applyBorder="1" applyAlignment="1">
      <alignment horizontal="left" vertical="top" wrapText="1"/>
    </xf>
    <xf numFmtId="164" fontId="3" fillId="2" borderId="18" xfId="0" applyNumberFormat="1" applyFont="1" applyFill="1" applyBorder="1" applyAlignment="1">
      <alignment horizontal="left" vertical="top" wrapText="1"/>
    </xf>
    <xf numFmtId="0" fontId="4" fillId="2" borderId="2" xfId="0" applyFont="1" applyFill="1" applyBorder="1" applyAlignment="1">
      <alignment horizontal="left" vertical="top" wrapText="1"/>
    </xf>
    <xf numFmtId="0" fontId="4" fillId="2" borderId="3" xfId="0" applyFont="1" applyFill="1" applyBorder="1" applyAlignment="1">
      <alignment horizontal="left" vertical="top" wrapText="1"/>
    </xf>
    <xf numFmtId="0" fontId="4" fillId="2" borderId="18" xfId="0" applyFont="1" applyFill="1" applyBorder="1" applyAlignment="1">
      <alignment horizontal="left" vertical="top" wrapText="1"/>
    </xf>
    <xf numFmtId="9" fontId="4" fillId="0" borderId="2" xfId="0" applyNumberFormat="1" applyFont="1" applyBorder="1" applyAlignment="1">
      <alignment horizontal="left" vertical="top"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3" fontId="2" fillId="0" borderId="2" xfId="0" applyNumberFormat="1" applyFont="1" applyBorder="1" applyAlignment="1">
      <alignment horizontal="center" vertical="top" wrapText="1"/>
    </xf>
    <xf numFmtId="3" fontId="2" fillId="0" borderId="18" xfId="0" applyNumberFormat="1" applyFont="1" applyBorder="1" applyAlignment="1">
      <alignment horizontal="center" vertical="top" wrapText="1"/>
    </xf>
    <xf numFmtId="49" fontId="4" fillId="0" borderId="2" xfId="0" applyNumberFormat="1" applyFont="1" applyBorder="1" applyAlignment="1">
      <alignment horizontal="center" vertical="top" wrapText="1"/>
    </xf>
    <xf numFmtId="49" fontId="4" fillId="0" borderId="33" xfId="0" applyNumberFormat="1" applyFont="1" applyBorder="1" applyAlignment="1">
      <alignment horizontal="center" vertical="top" wrapText="1"/>
    </xf>
    <xf numFmtId="0" fontId="6" fillId="0" borderId="4" xfId="0" applyFont="1" applyBorder="1" applyAlignment="1">
      <alignment horizontal="left" vertical="top" wrapText="1"/>
    </xf>
    <xf numFmtId="0" fontId="6" fillId="0" borderId="5" xfId="0" applyFont="1" applyBorder="1" applyAlignment="1">
      <alignment horizontal="left" vertical="top" wrapText="1"/>
    </xf>
    <xf numFmtId="164" fontId="2" fillId="2" borderId="2" xfId="0" applyNumberFormat="1" applyFont="1" applyFill="1" applyBorder="1" applyAlignment="1">
      <alignment horizontal="left" vertical="top" wrapText="1"/>
    </xf>
    <xf numFmtId="0" fontId="2" fillId="2" borderId="3" xfId="0" applyFont="1" applyFill="1" applyBorder="1" applyAlignment="1">
      <alignment horizontal="left" vertical="top" wrapText="1"/>
    </xf>
    <xf numFmtId="0" fontId="2" fillId="2" borderId="18" xfId="0" applyFont="1" applyFill="1" applyBorder="1" applyAlignment="1">
      <alignment horizontal="left" vertical="top" wrapText="1"/>
    </xf>
    <xf numFmtId="0" fontId="8" fillId="0" borderId="20" xfId="0" applyFont="1" applyBorder="1" applyAlignment="1">
      <alignment horizontal="left" vertical="top" wrapText="1"/>
    </xf>
    <xf numFmtId="0" fontId="3" fillId="0" borderId="3" xfId="0" applyFont="1" applyBorder="1" applyAlignment="1">
      <alignment horizontal="left"/>
    </xf>
    <xf numFmtId="0" fontId="3" fillId="0" borderId="18" xfId="0" applyFont="1" applyBorder="1" applyAlignment="1">
      <alignment horizontal="left"/>
    </xf>
    <xf numFmtId="0" fontId="4" fillId="0" borderId="21" xfId="0" applyFont="1" applyBorder="1" applyAlignment="1">
      <alignment horizontal="left" vertical="top" wrapText="1"/>
    </xf>
    <xf numFmtId="0" fontId="4" fillId="0" borderId="22" xfId="0" applyFont="1" applyBorder="1" applyAlignment="1">
      <alignment horizontal="left" vertical="top" wrapText="1"/>
    </xf>
    <xf numFmtId="0" fontId="4" fillId="0" borderId="23" xfId="0" applyFont="1" applyBorder="1" applyAlignment="1">
      <alignment horizontal="left" vertical="top" wrapText="1"/>
    </xf>
    <xf numFmtId="0" fontId="4" fillId="0" borderId="6" xfId="0" applyFont="1" applyBorder="1" applyAlignment="1">
      <alignment horizontal="center" vertical="top" wrapText="1"/>
    </xf>
    <xf numFmtId="0" fontId="4" fillId="0" borderId="13" xfId="0" applyFont="1" applyBorder="1" applyAlignment="1">
      <alignment horizontal="center" vertical="top" wrapText="1"/>
    </xf>
    <xf numFmtId="0" fontId="4" fillId="0" borderId="12" xfId="0" applyFont="1" applyBorder="1" applyAlignment="1">
      <alignment horizontal="center" vertical="top"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pn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jpeg"/><Relationship Id="rId15" Type="http://schemas.openxmlformats.org/officeDocument/2006/relationships/image" Target="../media/image15.pn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290280</xdr:colOff>
      <xdr:row>4</xdr:row>
      <xdr:rowOff>56642</xdr:rowOff>
    </xdr:to>
    <xdr:pic>
      <xdr:nvPicPr>
        <xdr:cNvPr id="3" name="Picture 2" descr="C:\Documents and Settings\kvr\Desktop\untitled.bmp">
          <a:extLst>
            <a:ext uri="{FF2B5EF4-FFF2-40B4-BE49-F238E27FC236}">
              <a16:creationId xmlns="" xmlns:a16="http://schemas.microsoft.com/office/drawing/2014/main" id="{00000000-0008-0000-0000-000003000000}"/>
            </a:ext>
          </a:extLst>
        </xdr:cNvPr>
        <xdr:cNvPicPr>
          <a:picLocks noChangeAspect="1"/>
        </xdr:cNvPicPr>
      </xdr:nvPicPr>
      <xdr:blipFill>
        <a:blip xmlns:r="http://schemas.openxmlformats.org/officeDocument/2006/relationships" r:embed="rId1">
          <a:lum contrast="-3000"/>
        </a:blip>
        <a:stretch>
          <a:fillRect/>
        </a:stretch>
      </xdr:blipFill>
      <xdr:spPr bwMode="auto">
        <a:xfrm>
          <a:off x="0" y="0"/>
          <a:ext cx="724620" cy="887139"/>
        </a:xfrm>
        <a:prstGeom prst="rect">
          <a:avLst/>
        </a:prstGeom>
        <a:noFill/>
        <a:ln>
          <a:noFill/>
        </a:ln>
      </xdr:spPr>
    </xdr:pic>
    <xdr:clientData/>
  </xdr:twoCellAnchor>
  <xdr:twoCellAnchor>
    <xdr:from>
      <xdr:col>0</xdr:col>
      <xdr:colOff>0</xdr:colOff>
      <xdr:row>152</xdr:row>
      <xdr:rowOff>0</xdr:rowOff>
    </xdr:from>
    <xdr:to>
      <xdr:col>5</xdr:col>
      <xdr:colOff>1314450</xdr:colOff>
      <xdr:row>152</xdr:row>
      <xdr:rowOff>2664330</xdr:rowOff>
    </xdr:to>
    <xdr:pic>
      <xdr:nvPicPr>
        <xdr:cNvPr id="4" name="Picture 3"/>
        <xdr:cNvPicPr>
          <a:picLocks noChangeAspect="1"/>
        </xdr:cNvPicPr>
      </xdr:nvPicPr>
      <xdr:blipFill>
        <a:blip xmlns:r="http://schemas.openxmlformats.org/officeDocument/2006/relationships" r:embed="rId2"/>
        <a:stretch>
          <a:fillRect/>
        </a:stretch>
      </xdr:blipFill>
      <xdr:spPr>
        <a:xfrm>
          <a:off x="24458" y="49799370"/>
          <a:ext cx="6858000" cy="2664330"/>
        </a:xfrm>
        <a:prstGeom prst="rect">
          <a:avLst/>
        </a:prstGeom>
      </xdr:spPr>
    </xdr:pic>
    <xdr:clientData/>
  </xdr:twoCellAnchor>
  <xdr:twoCellAnchor>
    <xdr:from>
      <xdr:col>0</xdr:col>
      <xdr:colOff>0</xdr:colOff>
      <xdr:row>154</xdr:row>
      <xdr:rowOff>0</xdr:rowOff>
    </xdr:from>
    <xdr:to>
      <xdr:col>2</xdr:col>
      <xdr:colOff>1123950</xdr:colOff>
      <xdr:row>154</xdr:row>
      <xdr:rowOff>3106875</xdr:rowOff>
    </xdr:to>
    <xdr:pic>
      <xdr:nvPicPr>
        <xdr:cNvPr id="5" name="Picture 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7479" y="52737791"/>
          <a:ext cx="3895725" cy="3106875"/>
        </a:xfrm>
        <a:prstGeom prst="rect">
          <a:avLst/>
        </a:prstGeom>
      </xdr:spPr>
    </xdr:pic>
    <xdr:clientData/>
  </xdr:twoCellAnchor>
  <xdr:twoCellAnchor>
    <xdr:from>
      <xdr:col>2</xdr:col>
      <xdr:colOff>1133475</xdr:colOff>
      <xdr:row>154</xdr:row>
      <xdr:rowOff>0</xdr:rowOff>
    </xdr:from>
    <xdr:to>
      <xdr:col>5</xdr:col>
      <xdr:colOff>1314450</xdr:colOff>
      <xdr:row>154</xdr:row>
      <xdr:rowOff>3106875</xdr:rowOff>
    </xdr:to>
    <xdr:pic>
      <xdr:nvPicPr>
        <xdr:cNvPr id="6" name="Picture 5"/>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458450" y="52738199"/>
          <a:ext cx="2952750" cy="3106875"/>
        </a:xfrm>
        <a:prstGeom prst="rect">
          <a:avLst/>
        </a:prstGeom>
      </xdr:spPr>
    </xdr:pic>
    <xdr:clientData/>
  </xdr:twoCellAnchor>
  <xdr:twoCellAnchor>
    <xdr:from>
      <xdr:col>0</xdr:col>
      <xdr:colOff>0</xdr:colOff>
      <xdr:row>156</xdr:row>
      <xdr:rowOff>0</xdr:rowOff>
    </xdr:from>
    <xdr:to>
      <xdr:col>2</xdr:col>
      <xdr:colOff>1123950</xdr:colOff>
      <xdr:row>156</xdr:row>
      <xdr:rowOff>2684137</xdr:rowOff>
    </xdr:to>
    <xdr:pic>
      <xdr:nvPicPr>
        <xdr:cNvPr id="7" name="Picture 6"/>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4300" y="55904138"/>
          <a:ext cx="3895725" cy="2684137"/>
        </a:xfrm>
        <a:prstGeom prst="rect">
          <a:avLst/>
        </a:prstGeom>
      </xdr:spPr>
    </xdr:pic>
    <xdr:clientData/>
  </xdr:twoCellAnchor>
  <xdr:twoCellAnchor>
    <xdr:from>
      <xdr:col>2</xdr:col>
      <xdr:colOff>1133475</xdr:colOff>
      <xdr:row>156</xdr:row>
      <xdr:rowOff>0</xdr:rowOff>
    </xdr:from>
    <xdr:to>
      <xdr:col>5</xdr:col>
      <xdr:colOff>1314450</xdr:colOff>
      <xdr:row>156</xdr:row>
      <xdr:rowOff>2684137</xdr:rowOff>
    </xdr:to>
    <xdr:pic>
      <xdr:nvPicPr>
        <xdr:cNvPr id="8" name="Picture 7"/>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434725" y="55904138"/>
          <a:ext cx="2952750" cy="2684137"/>
        </a:xfrm>
        <a:prstGeom prst="rect">
          <a:avLst/>
        </a:prstGeom>
      </xdr:spPr>
    </xdr:pic>
    <xdr:clientData/>
  </xdr:twoCellAnchor>
  <xdr:twoCellAnchor>
    <xdr:from>
      <xdr:col>2</xdr:col>
      <xdr:colOff>1133475</xdr:colOff>
      <xdr:row>158</xdr:row>
      <xdr:rowOff>0</xdr:rowOff>
    </xdr:from>
    <xdr:to>
      <xdr:col>5</xdr:col>
      <xdr:colOff>1314450</xdr:colOff>
      <xdr:row>158</xdr:row>
      <xdr:rowOff>2935425</xdr:rowOff>
    </xdr:to>
    <xdr:pic>
      <xdr:nvPicPr>
        <xdr:cNvPr id="9" name="Picture 8"/>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8644" y="58638691"/>
          <a:ext cx="2952750" cy="2935425"/>
        </a:xfrm>
        <a:prstGeom prst="rect">
          <a:avLst/>
        </a:prstGeom>
      </xdr:spPr>
    </xdr:pic>
    <xdr:clientData/>
  </xdr:twoCellAnchor>
  <xdr:twoCellAnchor>
    <xdr:from>
      <xdr:col>0</xdr:col>
      <xdr:colOff>0</xdr:colOff>
      <xdr:row>158</xdr:row>
      <xdr:rowOff>0</xdr:rowOff>
    </xdr:from>
    <xdr:to>
      <xdr:col>2</xdr:col>
      <xdr:colOff>1123950</xdr:colOff>
      <xdr:row>158</xdr:row>
      <xdr:rowOff>2935425</xdr:rowOff>
    </xdr:to>
    <xdr:pic>
      <xdr:nvPicPr>
        <xdr:cNvPr id="10" name="Picture 9"/>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439400" y="58624649"/>
          <a:ext cx="3895725" cy="2935425"/>
        </a:xfrm>
        <a:prstGeom prst="rect">
          <a:avLst/>
        </a:prstGeom>
      </xdr:spPr>
    </xdr:pic>
    <xdr:clientData/>
  </xdr:twoCellAnchor>
  <xdr:twoCellAnchor>
    <xdr:from>
      <xdr:col>0</xdr:col>
      <xdr:colOff>0</xdr:colOff>
      <xdr:row>160</xdr:row>
      <xdr:rowOff>0</xdr:rowOff>
    </xdr:from>
    <xdr:to>
      <xdr:col>2</xdr:col>
      <xdr:colOff>1123950</xdr:colOff>
      <xdr:row>160</xdr:row>
      <xdr:rowOff>2912737</xdr:rowOff>
    </xdr:to>
    <xdr:pic>
      <xdr:nvPicPr>
        <xdr:cNvPr id="11" name="Picture 10"/>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4300" y="61628663"/>
          <a:ext cx="3895725" cy="2912737"/>
        </a:xfrm>
        <a:prstGeom prst="rect">
          <a:avLst/>
        </a:prstGeom>
      </xdr:spPr>
    </xdr:pic>
    <xdr:clientData/>
  </xdr:twoCellAnchor>
  <xdr:twoCellAnchor>
    <xdr:from>
      <xdr:col>2</xdr:col>
      <xdr:colOff>1133475</xdr:colOff>
      <xdr:row>160</xdr:row>
      <xdr:rowOff>0</xdr:rowOff>
    </xdr:from>
    <xdr:to>
      <xdr:col>5</xdr:col>
      <xdr:colOff>1314450</xdr:colOff>
      <xdr:row>160</xdr:row>
      <xdr:rowOff>2912737</xdr:rowOff>
    </xdr:to>
    <xdr:pic>
      <xdr:nvPicPr>
        <xdr:cNvPr id="12" name="Picture 11"/>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421388" y="61632475"/>
          <a:ext cx="2952750" cy="2912737"/>
        </a:xfrm>
        <a:prstGeom prst="rect">
          <a:avLst/>
        </a:prstGeom>
      </xdr:spPr>
    </xdr:pic>
    <xdr:clientData/>
  </xdr:twoCellAnchor>
  <xdr:twoCellAnchor>
    <xdr:from>
      <xdr:col>0</xdr:col>
      <xdr:colOff>0</xdr:colOff>
      <xdr:row>162</xdr:row>
      <xdr:rowOff>0</xdr:rowOff>
    </xdr:from>
    <xdr:to>
      <xdr:col>5</xdr:col>
      <xdr:colOff>1314450</xdr:colOff>
      <xdr:row>162</xdr:row>
      <xdr:rowOff>2886213</xdr:rowOff>
    </xdr:to>
    <xdr:pic>
      <xdr:nvPicPr>
        <xdr:cNvPr id="13" name="Picture 12"/>
        <xdr:cNvPicPr>
          <a:picLocks noChangeAspect="1"/>
        </xdr:cNvPicPr>
      </xdr:nvPicPr>
      <xdr:blipFill>
        <a:blip xmlns:r="http://schemas.openxmlformats.org/officeDocument/2006/relationships" r:embed="rId11"/>
        <a:stretch>
          <a:fillRect/>
        </a:stretch>
      </xdr:blipFill>
      <xdr:spPr>
        <a:xfrm>
          <a:off x="50752" y="64579361"/>
          <a:ext cx="6858000" cy="2886213"/>
        </a:xfrm>
        <a:prstGeom prst="rect">
          <a:avLst/>
        </a:prstGeom>
      </xdr:spPr>
    </xdr:pic>
    <xdr:clientData/>
  </xdr:twoCellAnchor>
  <xdr:twoCellAnchor>
    <xdr:from>
      <xdr:col>0</xdr:col>
      <xdr:colOff>0</xdr:colOff>
      <xdr:row>164</xdr:row>
      <xdr:rowOff>0</xdr:rowOff>
    </xdr:from>
    <xdr:to>
      <xdr:col>5</xdr:col>
      <xdr:colOff>1314450</xdr:colOff>
      <xdr:row>164</xdr:row>
      <xdr:rowOff>3084897</xdr:rowOff>
    </xdr:to>
    <xdr:pic>
      <xdr:nvPicPr>
        <xdr:cNvPr id="14" name="Picture 13"/>
        <xdr:cNvPicPr>
          <a:picLocks noChangeAspect="1"/>
        </xdr:cNvPicPr>
      </xdr:nvPicPr>
      <xdr:blipFill>
        <a:blip xmlns:r="http://schemas.openxmlformats.org/officeDocument/2006/relationships" r:embed="rId12"/>
        <a:stretch>
          <a:fillRect/>
        </a:stretch>
      </xdr:blipFill>
      <xdr:spPr>
        <a:xfrm>
          <a:off x="51299" y="67514402"/>
          <a:ext cx="6858000" cy="3084897"/>
        </a:xfrm>
        <a:prstGeom prst="rect">
          <a:avLst/>
        </a:prstGeom>
      </xdr:spPr>
    </xdr:pic>
    <xdr:clientData/>
  </xdr:twoCellAnchor>
  <xdr:twoCellAnchor>
    <xdr:from>
      <xdr:col>0</xdr:col>
      <xdr:colOff>0</xdr:colOff>
      <xdr:row>166</xdr:row>
      <xdr:rowOff>0</xdr:rowOff>
    </xdr:from>
    <xdr:to>
      <xdr:col>5</xdr:col>
      <xdr:colOff>1314450</xdr:colOff>
      <xdr:row>166</xdr:row>
      <xdr:rowOff>3041997</xdr:rowOff>
    </xdr:to>
    <xdr:pic>
      <xdr:nvPicPr>
        <xdr:cNvPr id="15" name="Picture 14"/>
        <xdr:cNvPicPr>
          <a:picLocks noChangeAspect="1"/>
        </xdr:cNvPicPr>
      </xdr:nvPicPr>
      <xdr:blipFill>
        <a:blip xmlns:r="http://schemas.openxmlformats.org/officeDocument/2006/relationships" r:embed="rId13"/>
        <a:stretch>
          <a:fillRect/>
        </a:stretch>
      </xdr:blipFill>
      <xdr:spPr>
        <a:xfrm>
          <a:off x="16328" y="70671977"/>
          <a:ext cx="6858000" cy="3041997"/>
        </a:xfrm>
        <a:prstGeom prst="rect">
          <a:avLst/>
        </a:prstGeom>
      </xdr:spPr>
    </xdr:pic>
    <xdr:clientData/>
  </xdr:twoCellAnchor>
  <xdr:twoCellAnchor>
    <xdr:from>
      <xdr:col>0</xdr:col>
      <xdr:colOff>0</xdr:colOff>
      <xdr:row>168</xdr:row>
      <xdr:rowOff>0</xdr:rowOff>
    </xdr:from>
    <xdr:to>
      <xdr:col>5</xdr:col>
      <xdr:colOff>1314450</xdr:colOff>
      <xdr:row>168</xdr:row>
      <xdr:rowOff>3039734</xdr:rowOff>
    </xdr:to>
    <xdr:pic>
      <xdr:nvPicPr>
        <xdr:cNvPr id="16" name="Picture 15"/>
        <xdr:cNvPicPr>
          <a:picLocks noChangeAspect="1"/>
        </xdr:cNvPicPr>
      </xdr:nvPicPr>
      <xdr:blipFill>
        <a:blip xmlns:r="http://schemas.openxmlformats.org/officeDocument/2006/relationships" r:embed="rId14"/>
        <a:stretch>
          <a:fillRect/>
        </a:stretch>
      </xdr:blipFill>
      <xdr:spPr>
        <a:xfrm>
          <a:off x="62037" y="73846066"/>
          <a:ext cx="6858000" cy="3039734"/>
        </a:xfrm>
        <a:prstGeom prst="rect">
          <a:avLst/>
        </a:prstGeom>
      </xdr:spPr>
    </xdr:pic>
    <xdr:clientData/>
  </xdr:twoCellAnchor>
  <xdr:twoCellAnchor>
    <xdr:from>
      <xdr:col>0</xdr:col>
      <xdr:colOff>0</xdr:colOff>
      <xdr:row>170</xdr:row>
      <xdr:rowOff>0</xdr:rowOff>
    </xdr:from>
    <xdr:to>
      <xdr:col>5</xdr:col>
      <xdr:colOff>1314450</xdr:colOff>
      <xdr:row>170</xdr:row>
      <xdr:rowOff>2944082</xdr:rowOff>
    </xdr:to>
    <xdr:pic>
      <xdr:nvPicPr>
        <xdr:cNvPr id="30" name="Picture 29"/>
        <xdr:cNvPicPr>
          <a:picLocks noChangeAspect="1"/>
        </xdr:cNvPicPr>
      </xdr:nvPicPr>
      <xdr:blipFill>
        <a:blip xmlns:r="http://schemas.openxmlformats.org/officeDocument/2006/relationships" r:embed="rId15"/>
        <a:stretch>
          <a:fillRect/>
        </a:stretch>
      </xdr:blipFill>
      <xdr:spPr>
        <a:xfrm>
          <a:off x="59890" y="76723018"/>
          <a:ext cx="6858000" cy="29440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77"/>
  <sheetViews>
    <sheetView tabSelected="1" view="pageBreakPreview" topLeftCell="A151" zoomScaleSheetLayoutView="100" workbookViewId="0">
      <selection activeCell="A137" sqref="A137:F138"/>
    </sheetView>
  </sheetViews>
  <sheetFormatPr defaultRowHeight="16.5" x14ac:dyDescent="0.3"/>
  <cols>
    <col min="1" max="1" width="6.28515625" style="2"/>
    <col min="2" max="2" width="34" style="2" customWidth="1"/>
    <col min="3" max="3" width="16.42578125" style="2" customWidth="1"/>
    <col min="4" max="4" width="14" style="2" customWidth="1"/>
    <col min="5" max="5" width="9.28515625" style="2" customWidth="1"/>
    <col min="6" max="6" width="19.28515625" style="2" customWidth="1"/>
    <col min="7" max="16384" width="9.140625" style="2"/>
  </cols>
  <sheetData>
    <row r="1" spans="1:6" s="1" customFormat="1" x14ac:dyDescent="0.25">
      <c r="A1" s="114" t="s">
        <v>39</v>
      </c>
      <c r="B1" s="115"/>
      <c r="C1" s="115"/>
      <c r="D1" s="115"/>
      <c r="E1" s="115"/>
      <c r="F1" s="116"/>
    </row>
    <row r="2" spans="1:6" s="1" customFormat="1" x14ac:dyDescent="0.25">
      <c r="A2" s="117"/>
      <c r="B2" s="118"/>
      <c r="C2" s="118"/>
      <c r="D2" s="118"/>
      <c r="E2" s="118"/>
      <c r="F2" s="119"/>
    </row>
    <row r="3" spans="1:6" s="1" customFormat="1" x14ac:dyDescent="0.25">
      <c r="A3" s="117"/>
      <c r="B3" s="118"/>
      <c r="C3" s="118"/>
      <c r="D3" s="118"/>
      <c r="E3" s="118"/>
      <c r="F3" s="119"/>
    </row>
    <row r="4" spans="1:6" s="1" customFormat="1" ht="17.25" thickBot="1" x14ac:dyDescent="0.3">
      <c r="A4" s="117"/>
      <c r="B4" s="118"/>
      <c r="C4" s="118"/>
      <c r="D4" s="118"/>
      <c r="E4" s="118"/>
      <c r="F4" s="119"/>
    </row>
    <row r="5" spans="1:6" x14ac:dyDescent="0.3">
      <c r="A5" s="89" t="s">
        <v>30</v>
      </c>
      <c r="B5" s="90"/>
      <c r="C5" s="90"/>
      <c r="D5" s="90"/>
      <c r="E5" s="90"/>
      <c r="F5" s="91"/>
    </row>
    <row r="6" spans="1:6" x14ac:dyDescent="0.3">
      <c r="A6" s="13"/>
      <c r="B6" s="12" t="s">
        <v>50</v>
      </c>
      <c r="C6" s="101" t="s">
        <v>176</v>
      </c>
      <c r="D6" s="80"/>
      <c r="E6" s="80"/>
      <c r="F6" s="81"/>
    </row>
    <row r="7" spans="1:6" x14ac:dyDescent="0.3">
      <c r="A7" s="13">
        <v>1</v>
      </c>
      <c r="B7" s="12" t="s">
        <v>51</v>
      </c>
      <c r="C7" s="104" t="s">
        <v>183</v>
      </c>
      <c r="D7" s="105"/>
      <c r="E7" s="105"/>
      <c r="F7" s="106"/>
    </row>
    <row r="8" spans="1:6" ht="33" x14ac:dyDescent="0.3">
      <c r="A8" s="13">
        <v>2</v>
      </c>
      <c r="B8" s="12" t="s">
        <v>52</v>
      </c>
      <c r="C8" s="104" t="s">
        <v>183</v>
      </c>
      <c r="D8" s="105"/>
      <c r="E8" s="105"/>
      <c r="F8" s="106"/>
    </row>
    <row r="9" spans="1:6" x14ac:dyDescent="0.3">
      <c r="A9" s="13">
        <v>3</v>
      </c>
      <c r="B9" s="12" t="s">
        <v>53</v>
      </c>
      <c r="C9" s="30" t="s">
        <v>184</v>
      </c>
      <c r="D9" s="30"/>
      <c r="E9" s="30"/>
      <c r="F9" s="31"/>
    </row>
    <row r="10" spans="1:6" x14ac:dyDescent="0.3">
      <c r="A10" s="13">
        <v>4</v>
      </c>
      <c r="B10" s="12" t="s">
        <v>54</v>
      </c>
      <c r="C10" s="107" t="s">
        <v>185</v>
      </c>
      <c r="D10" s="107"/>
      <c r="E10" s="107"/>
      <c r="F10" s="108"/>
    </row>
    <row r="11" spans="1:6" x14ac:dyDescent="0.3">
      <c r="A11" s="13">
        <v>5</v>
      </c>
      <c r="B11" s="12" t="s">
        <v>55</v>
      </c>
      <c r="C11" s="107">
        <v>9753371</v>
      </c>
      <c r="D11" s="107"/>
      <c r="E11" s="107"/>
      <c r="F11" s="108"/>
    </row>
    <row r="12" spans="1:6" x14ac:dyDescent="0.3">
      <c r="A12" s="14">
        <v>6</v>
      </c>
      <c r="B12" s="3" t="s">
        <v>56</v>
      </c>
      <c r="C12" s="30" t="s">
        <v>178</v>
      </c>
      <c r="D12" s="30"/>
      <c r="E12" s="30"/>
      <c r="F12" s="31"/>
    </row>
    <row r="13" spans="1:6" x14ac:dyDescent="0.3">
      <c r="A13" s="14">
        <v>7</v>
      </c>
      <c r="B13" s="3" t="s">
        <v>57</v>
      </c>
      <c r="C13" s="30" t="s">
        <v>29</v>
      </c>
      <c r="D13" s="30"/>
      <c r="E13" s="30"/>
      <c r="F13" s="31"/>
    </row>
    <row r="14" spans="1:6" x14ac:dyDescent="0.3">
      <c r="A14" s="14">
        <v>8</v>
      </c>
      <c r="B14" s="3" t="s">
        <v>58</v>
      </c>
      <c r="C14" s="112">
        <v>9989416787</v>
      </c>
      <c r="D14" s="112"/>
      <c r="E14" s="112"/>
      <c r="F14" s="113"/>
    </row>
    <row r="15" spans="1:6" ht="33" x14ac:dyDescent="0.3">
      <c r="A15" s="13">
        <v>1</v>
      </c>
      <c r="B15" s="12" t="s">
        <v>59</v>
      </c>
      <c r="C15" s="107" t="s">
        <v>186</v>
      </c>
      <c r="D15" s="30"/>
      <c r="E15" s="30"/>
      <c r="F15" s="31"/>
    </row>
    <row r="16" spans="1:6" ht="82.5" customHeight="1" x14ac:dyDescent="0.3">
      <c r="A16" s="13">
        <v>2</v>
      </c>
      <c r="B16" s="12" t="s">
        <v>60</v>
      </c>
      <c r="C16" s="110" t="s">
        <v>187</v>
      </c>
      <c r="D16" s="110"/>
      <c r="E16" s="110"/>
      <c r="F16" s="111"/>
    </row>
    <row r="17" spans="1:6" ht="18" customHeight="1" x14ac:dyDescent="0.3">
      <c r="A17" s="13">
        <v>3</v>
      </c>
      <c r="B17" s="12" t="s">
        <v>61</v>
      </c>
      <c r="C17" s="30" t="s">
        <v>188</v>
      </c>
      <c r="D17" s="30"/>
      <c r="E17" s="30"/>
      <c r="F17" s="31"/>
    </row>
    <row r="18" spans="1:6" x14ac:dyDescent="0.3">
      <c r="A18" s="13">
        <v>4</v>
      </c>
      <c r="B18" s="12" t="s">
        <v>40</v>
      </c>
      <c r="C18" s="134" t="s">
        <v>189</v>
      </c>
      <c r="D18" s="135"/>
      <c r="E18" s="28" t="s">
        <v>158</v>
      </c>
      <c r="F18" s="29">
        <v>44282</v>
      </c>
    </row>
    <row r="19" spans="1:6" ht="33" customHeight="1" x14ac:dyDescent="0.3">
      <c r="A19" s="13"/>
      <c r="B19" s="12" t="s">
        <v>18</v>
      </c>
      <c r="C19" s="34" t="s">
        <v>190</v>
      </c>
      <c r="D19" s="35"/>
      <c r="E19" s="35"/>
      <c r="F19" s="36"/>
    </row>
    <row r="20" spans="1:6" x14ac:dyDescent="0.3">
      <c r="A20" s="13">
        <v>5</v>
      </c>
      <c r="B20" s="12" t="s">
        <v>62</v>
      </c>
      <c r="C20" s="30" t="s">
        <v>157</v>
      </c>
      <c r="D20" s="30"/>
      <c r="E20" s="30"/>
      <c r="F20" s="31"/>
    </row>
    <row r="21" spans="1:6" x14ac:dyDescent="0.3">
      <c r="A21" s="13">
        <v>6</v>
      </c>
      <c r="B21" s="12" t="s">
        <v>63</v>
      </c>
      <c r="C21" s="30" t="s">
        <v>191</v>
      </c>
      <c r="D21" s="30"/>
      <c r="E21" s="30"/>
      <c r="F21" s="31"/>
    </row>
    <row r="22" spans="1:6" x14ac:dyDescent="0.3">
      <c r="A22" s="13">
        <v>8</v>
      </c>
      <c r="B22" s="12" t="s">
        <v>64</v>
      </c>
      <c r="C22" s="109" t="s">
        <v>192</v>
      </c>
      <c r="D22" s="110"/>
      <c r="E22" s="110"/>
      <c r="F22" s="111"/>
    </row>
    <row r="23" spans="1:6" x14ac:dyDescent="0.3">
      <c r="A23" s="13">
        <v>9</v>
      </c>
      <c r="B23" s="12" t="s">
        <v>65</v>
      </c>
      <c r="C23" s="34" t="s">
        <v>66</v>
      </c>
      <c r="D23" s="35"/>
      <c r="E23" s="35"/>
      <c r="F23" s="36"/>
    </row>
    <row r="24" spans="1:6" ht="49.5" x14ac:dyDescent="0.3">
      <c r="A24" s="13">
        <v>10</v>
      </c>
      <c r="B24" s="12" t="s">
        <v>19</v>
      </c>
      <c r="C24" s="4" t="s">
        <v>193</v>
      </c>
      <c r="D24" s="5" t="s">
        <v>179</v>
      </c>
      <c r="E24" s="34" t="s">
        <v>194</v>
      </c>
      <c r="F24" s="36"/>
    </row>
    <row r="25" spans="1:6" ht="33" x14ac:dyDescent="0.3">
      <c r="A25" s="13">
        <v>11</v>
      </c>
      <c r="B25" s="12" t="s">
        <v>67</v>
      </c>
      <c r="C25" s="30" t="s">
        <v>173</v>
      </c>
      <c r="D25" s="30"/>
      <c r="E25" s="30"/>
      <c r="F25" s="31"/>
    </row>
    <row r="26" spans="1:6" ht="43.9" customHeight="1" x14ac:dyDescent="0.3">
      <c r="A26" s="13">
        <v>12</v>
      </c>
      <c r="B26" s="12" t="s">
        <v>44</v>
      </c>
      <c r="C26" s="30" t="s">
        <v>49</v>
      </c>
      <c r="D26" s="30"/>
      <c r="E26" s="30"/>
      <c r="F26" s="31"/>
    </row>
    <row r="27" spans="1:6" ht="82.5" x14ac:dyDescent="0.3">
      <c r="A27" s="13">
        <v>13</v>
      </c>
      <c r="B27" s="12" t="s">
        <v>68</v>
      </c>
      <c r="C27" s="30" t="s">
        <v>4</v>
      </c>
      <c r="D27" s="30"/>
      <c r="E27" s="30"/>
      <c r="F27" s="31"/>
    </row>
    <row r="28" spans="1:6" ht="66" x14ac:dyDescent="0.3">
      <c r="A28" s="13">
        <v>14</v>
      </c>
      <c r="B28" s="12" t="s">
        <v>69</v>
      </c>
      <c r="C28" s="30" t="s">
        <v>4</v>
      </c>
      <c r="D28" s="30"/>
      <c r="E28" s="30"/>
      <c r="F28" s="31"/>
    </row>
    <row r="29" spans="1:6" ht="18.75" customHeight="1" x14ac:dyDescent="0.3">
      <c r="A29" s="15"/>
      <c r="B29" s="26" t="s">
        <v>171</v>
      </c>
      <c r="C29" s="27" t="s">
        <v>159</v>
      </c>
      <c r="D29" s="98" t="s">
        <v>195</v>
      </c>
      <c r="E29" s="99"/>
      <c r="F29" s="100"/>
    </row>
    <row r="30" spans="1:6" ht="22.5" customHeight="1" x14ac:dyDescent="0.3">
      <c r="A30" s="15"/>
      <c r="B30" s="69"/>
      <c r="C30" s="9" t="s">
        <v>160</v>
      </c>
      <c r="D30" s="98" t="s">
        <v>195</v>
      </c>
      <c r="E30" s="99"/>
      <c r="F30" s="100"/>
    </row>
    <row r="31" spans="1:6" ht="30.75" customHeight="1" x14ac:dyDescent="0.3">
      <c r="A31" s="15"/>
      <c r="B31" s="70"/>
      <c r="C31" s="9" t="s">
        <v>161</v>
      </c>
      <c r="D31" s="98" t="s">
        <v>196</v>
      </c>
      <c r="E31" s="99"/>
      <c r="F31" s="100"/>
    </row>
    <row r="32" spans="1:6" ht="36" customHeight="1" x14ac:dyDescent="0.3">
      <c r="A32" s="15"/>
      <c r="B32" s="71"/>
      <c r="C32" s="27" t="s">
        <v>162</v>
      </c>
      <c r="D32" s="98" t="s">
        <v>197</v>
      </c>
      <c r="E32" s="99"/>
      <c r="F32" s="100"/>
    </row>
    <row r="33" spans="1:6" ht="17.25" customHeight="1" x14ac:dyDescent="0.3">
      <c r="A33" s="15"/>
      <c r="B33" s="72" t="s">
        <v>31</v>
      </c>
      <c r="C33" s="9" t="s">
        <v>163</v>
      </c>
      <c r="D33" s="98" t="s">
        <v>198</v>
      </c>
      <c r="E33" s="99"/>
      <c r="F33" s="100"/>
    </row>
    <row r="34" spans="1:6" ht="21" customHeight="1" x14ac:dyDescent="0.3">
      <c r="A34" s="15"/>
      <c r="B34" s="73"/>
      <c r="C34" s="9" t="s">
        <v>164</v>
      </c>
      <c r="D34" s="98" t="s">
        <v>198</v>
      </c>
      <c r="E34" s="99"/>
      <c r="F34" s="100"/>
    </row>
    <row r="35" spans="1:6" ht="20.25" customHeight="1" x14ac:dyDescent="0.3">
      <c r="A35" s="15"/>
      <c r="B35" s="73"/>
      <c r="C35" s="9" t="s">
        <v>165</v>
      </c>
      <c r="D35" s="130" t="s">
        <v>199</v>
      </c>
      <c r="E35" s="131"/>
      <c r="F35" s="131"/>
    </row>
    <row r="36" spans="1:6" ht="18" customHeight="1" x14ac:dyDescent="0.3">
      <c r="A36" s="15"/>
      <c r="B36" s="74"/>
      <c r="C36" s="27" t="s">
        <v>175</v>
      </c>
      <c r="D36" s="98" t="s">
        <v>200</v>
      </c>
      <c r="E36" s="99"/>
      <c r="F36" s="100"/>
    </row>
    <row r="37" spans="1:6" ht="49.5" x14ac:dyDescent="0.3">
      <c r="A37" s="13">
        <v>16</v>
      </c>
      <c r="B37" s="12" t="s">
        <v>70</v>
      </c>
      <c r="C37" s="34" t="s">
        <v>4</v>
      </c>
      <c r="D37" s="35"/>
      <c r="E37" s="35"/>
      <c r="F37" s="36"/>
    </row>
    <row r="38" spans="1:6" x14ac:dyDescent="0.3">
      <c r="A38" s="13">
        <v>17</v>
      </c>
      <c r="B38" s="12" t="s">
        <v>71</v>
      </c>
      <c r="C38" s="34" t="s">
        <v>1</v>
      </c>
      <c r="D38" s="35"/>
      <c r="E38" s="35"/>
      <c r="F38" s="36"/>
    </row>
    <row r="39" spans="1:6" ht="33" x14ac:dyDescent="0.3">
      <c r="A39" s="13">
        <v>18</v>
      </c>
      <c r="B39" s="12" t="s">
        <v>72</v>
      </c>
      <c r="C39" s="34" t="s">
        <v>73</v>
      </c>
      <c r="D39" s="35"/>
      <c r="E39" s="35"/>
      <c r="F39" s="36"/>
    </row>
    <row r="40" spans="1:6" ht="49.5" x14ac:dyDescent="0.3">
      <c r="A40" s="13">
        <v>19</v>
      </c>
      <c r="B40" s="12" t="s">
        <v>74</v>
      </c>
      <c r="C40" s="34" t="s">
        <v>75</v>
      </c>
      <c r="D40" s="35"/>
      <c r="E40" s="35"/>
      <c r="F40" s="36"/>
    </row>
    <row r="41" spans="1:6" x14ac:dyDescent="0.3">
      <c r="A41" s="13">
        <v>20</v>
      </c>
      <c r="B41" s="12" t="s">
        <v>76</v>
      </c>
      <c r="C41" s="34" t="s">
        <v>1</v>
      </c>
      <c r="D41" s="35"/>
      <c r="E41" s="35"/>
      <c r="F41" s="36"/>
    </row>
    <row r="42" spans="1:6" ht="30.75" customHeight="1" x14ac:dyDescent="0.3">
      <c r="A42" s="13">
        <v>21</v>
      </c>
      <c r="B42" s="12" t="s">
        <v>77</v>
      </c>
      <c r="C42" s="101" t="s">
        <v>182</v>
      </c>
      <c r="D42" s="80"/>
      <c r="E42" s="80"/>
      <c r="F42" s="81"/>
    </row>
    <row r="43" spans="1:6" x14ac:dyDescent="0.3">
      <c r="A43" s="79" t="s">
        <v>78</v>
      </c>
      <c r="B43" s="80"/>
      <c r="C43" s="80"/>
      <c r="D43" s="80"/>
      <c r="E43" s="80"/>
      <c r="F43" s="81"/>
    </row>
    <row r="44" spans="1:6" x14ac:dyDescent="0.3">
      <c r="A44" s="13">
        <v>1</v>
      </c>
      <c r="B44" s="12" t="s">
        <v>79</v>
      </c>
      <c r="C44" s="34" t="s">
        <v>180</v>
      </c>
      <c r="D44" s="35"/>
      <c r="E44" s="35"/>
      <c r="F44" s="78"/>
    </row>
    <row r="45" spans="1:6" x14ac:dyDescent="0.3">
      <c r="A45" s="13">
        <v>2</v>
      </c>
      <c r="B45" s="12" t="s">
        <v>80</v>
      </c>
      <c r="C45" s="34" t="s">
        <v>1</v>
      </c>
      <c r="D45" s="35"/>
      <c r="E45" s="35"/>
      <c r="F45" s="78"/>
    </row>
    <row r="46" spans="1:6" x14ac:dyDescent="0.3">
      <c r="A46" s="13">
        <v>3</v>
      </c>
      <c r="B46" s="12" t="s">
        <v>81</v>
      </c>
      <c r="C46" s="34" t="s">
        <v>166</v>
      </c>
      <c r="D46" s="35"/>
      <c r="E46" s="35"/>
      <c r="F46" s="78"/>
    </row>
    <row r="47" spans="1:6" ht="18.399999999999999" customHeight="1" x14ac:dyDescent="0.3">
      <c r="A47" s="13">
        <v>4</v>
      </c>
      <c r="B47" s="12" t="s">
        <v>82</v>
      </c>
      <c r="C47" s="34" t="s">
        <v>4</v>
      </c>
      <c r="D47" s="35"/>
      <c r="E47" s="35"/>
      <c r="F47" s="78"/>
    </row>
    <row r="48" spans="1:6" x14ac:dyDescent="0.3">
      <c r="A48" s="13">
        <v>5</v>
      </c>
      <c r="B48" s="12" t="s">
        <v>33</v>
      </c>
      <c r="C48" s="34">
        <v>2018</v>
      </c>
      <c r="D48" s="35"/>
      <c r="E48" s="35"/>
      <c r="F48" s="78"/>
    </row>
    <row r="49" spans="1:6" x14ac:dyDescent="0.3">
      <c r="A49" s="13">
        <v>6</v>
      </c>
      <c r="B49" s="12" t="s">
        <v>3</v>
      </c>
      <c r="C49" s="95" t="s">
        <v>201</v>
      </c>
      <c r="D49" s="96"/>
      <c r="E49" s="96"/>
      <c r="F49" s="97"/>
    </row>
    <row r="50" spans="1:6" x14ac:dyDescent="0.3">
      <c r="A50" s="13">
        <v>7</v>
      </c>
      <c r="B50" s="12" t="s">
        <v>2</v>
      </c>
      <c r="C50" s="75" t="s">
        <v>202</v>
      </c>
      <c r="D50" s="76"/>
      <c r="E50" s="76"/>
      <c r="F50" s="77"/>
    </row>
    <row r="51" spans="1:6" ht="33" x14ac:dyDescent="0.3">
      <c r="A51" s="13">
        <v>8</v>
      </c>
      <c r="B51" s="12" t="s">
        <v>83</v>
      </c>
      <c r="C51" s="34" t="s">
        <v>84</v>
      </c>
      <c r="D51" s="35"/>
      <c r="E51" s="35"/>
      <c r="F51" s="78"/>
    </row>
    <row r="52" spans="1:6" ht="66" x14ac:dyDescent="0.3">
      <c r="A52" s="13">
        <v>9</v>
      </c>
      <c r="B52" s="12" t="s">
        <v>85</v>
      </c>
      <c r="C52" s="34" t="s">
        <v>84</v>
      </c>
      <c r="D52" s="35"/>
      <c r="E52" s="35"/>
      <c r="F52" s="78"/>
    </row>
    <row r="53" spans="1:6" x14ac:dyDescent="0.3">
      <c r="A53" s="13">
        <v>10</v>
      </c>
      <c r="B53" s="12" t="s">
        <v>86</v>
      </c>
      <c r="C53" s="34" t="s">
        <v>166</v>
      </c>
      <c r="D53" s="35"/>
      <c r="E53" s="35"/>
      <c r="F53" s="78"/>
    </row>
    <row r="54" spans="1:6" x14ac:dyDescent="0.3">
      <c r="A54" s="13">
        <v>11</v>
      </c>
      <c r="B54" s="12" t="s">
        <v>87</v>
      </c>
      <c r="C54" s="34" t="s">
        <v>166</v>
      </c>
      <c r="D54" s="35"/>
      <c r="E54" s="35"/>
      <c r="F54" s="78"/>
    </row>
    <row r="55" spans="1:6" x14ac:dyDescent="0.3">
      <c r="A55" s="13">
        <v>12</v>
      </c>
      <c r="B55" s="12" t="s">
        <v>88</v>
      </c>
      <c r="C55" s="34" t="s">
        <v>4</v>
      </c>
      <c r="D55" s="35"/>
      <c r="E55" s="35"/>
      <c r="F55" s="78"/>
    </row>
    <row r="56" spans="1:6" x14ac:dyDescent="0.3">
      <c r="A56" s="13">
        <v>13</v>
      </c>
      <c r="B56" s="12" t="s">
        <v>89</v>
      </c>
      <c r="C56" s="34" t="s">
        <v>167</v>
      </c>
      <c r="D56" s="35"/>
      <c r="E56" s="35"/>
      <c r="F56" s="78"/>
    </row>
    <row r="57" spans="1:6" x14ac:dyDescent="0.3">
      <c r="A57" s="13">
        <v>14</v>
      </c>
      <c r="B57" s="12" t="s">
        <v>90</v>
      </c>
      <c r="C57" s="34" t="s">
        <v>91</v>
      </c>
      <c r="D57" s="35"/>
      <c r="E57" s="35"/>
      <c r="F57" s="78"/>
    </row>
    <row r="58" spans="1:6" x14ac:dyDescent="0.3">
      <c r="A58" s="13">
        <v>15</v>
      </c>
      <c r="B58" s="12" t="s">
        <v>92</v>
      </c>
      <c r="C58" s="34" t="s">
        <v>91</v>
      </c>
      <c r="D58" s="35"/>
      <c r="E58" s="35"/>
      <c r="F58" s="78"/>
    </row>
    <row r="59" spans="1:6" x14ac:dyDescent="0.3">
      <c r="A59" s="13">
        <v>16</v>
      </c>
      <c r="B59" s="12" t="s">
        <v>93</v>
      </c>
      <c r="C59" s="34" t="s">
        <v>168</v>
      </c>
      <c r="D59" s="35"/>
      <c r="E59" s="35"/>
      <c r="F59" s="78"/>
    </row>
    <row r="60" spans="1:6" ht="33" x14ac:dyDescent="0.3">
      <c r="A60" s="13">
        <v>17</v>
      </c>
      <c r="B60" s="12" t="s">
        <v>94</v>
      </c>
      <c r="C60" s="34" t="s">
        <v>4</v>
      </c>
      <c r="D60" s="35"/>
      <c r="E60" s="35"/>
      <c r="F60" s="78"/>
    </row>
    <row r="61" spans="1:6" x14ac:dyDescent="0.3">
      <c r="A61" s="13">
        <v>18</v>
      </c>
      <c r="B61" s="12" t="s">
        <v>95</v>
      </c>
      <c r="C61" s="34" t="s">
        <v>157</v>
      </c>
      <c r="D61" s="35"/>
      <c r="E61" s="35"/>
      <c r="F61" s="78"/>
    </row>
    <row r="62" spans="1:6" ht="49.5" x14ac:dyDescent="0.3">
      <c r="A62" s="13">
        <v>19</v>
      </c>
      <c r="B62" s="12" t="s">
        <v>96</v>
      </c>
      <c r="C62" s="129" t="s">
        <v>4</v>
      </c>
      <c r="D62" s="35"/>
      <c r="E62" s="35"/>
      <c r="F62" s="78"/>
    </row>
    <row r="63" spans="1:6" x14ac:dyDescent="0.3">
      <c r="A63" s="13">
        <v>20</v>
      </c>
      <c r="B63" s="12" t="s">
        <v>97</v>
      </c>
      <c r="C63" s="129">
        <v>1</v>
      </c>
      <c r="D63" s="35"/>
      <c r="E63" s="35"/>
      <c r="F63" s="78"/>
    </row>
    <row r="64" spans="1:6" x14ac:dyDescent="0.3">
      <c r="A64" s="13">
        <v>21</v>
      </c>
      <c r="B64" s="12" t="s">
        <v>98</v>
      </c>
      <c r="C64" s="34" t="s">
        <v>4</v>
      </c>
      <c r="D64" s="35"/>
      <c r="E64" s="35"/>
      <c r="F64" s="78"/>
    </row>
    <row r="65" spans="1:7" ht="16.5" customHeight="1" x14ac:dyDescent="0.3">
      <c r="A65" s="13">
        <v>22</v>
      </c>
      <c r="B65" s="12" t="s">
        <v>99</v>
      </c>
      <c r="C65" s="34" t="s">
        <v>4</v>
      </c>
      <c r="D65" s="35"/>
      <c r="E65" s="35"/>
      <c r="F65" s="78"/>
    </row>
    <row r="66" spans="1:7" ht="16.5" customHeight="1" x14ac:dyDescent="0.3">
      <c r="A66" s="13">
        <v>23</v>
      </c>
      <c r="B66" s="12" t="s">
        <v>100</v>
      </c>
      <c r="C66" s="34" t="s">
        <v>4</v>
      </c>
      <c r="D66" s="35"/>
      <c r="E66" s="35"/>
      <c r="F66" s="78"/>
      <c r="G66" s="2" t="s">
        <v>172</v>
      </c>
    </row>
    <row r="67" spans="1:7" ht="33" x14ac:dyDescent="0.3">
      <c r="A67" s="13">
        <v>24</v>
      </c>
      <c r="B67" s="12" t="s">
        <v>101</v>
      </c>
      <c r="C67" s="34" t="s">
        <v>174</v>
      </c>
      <c r="D67" s="35"/>
      <c r="E67" s="35"/>
      <c r="F67" s="78"/>
    </row>
    <row r="68" spans="1:7" ht="33" x14ac:dyDescent="0.3">
      <c r="A68" s="13">
        <v>25</v>
      </c>
      <c r="B68" s="12" t="s">
        <v>102</v>
      </c>
      <c r="C68" s="34" t="s">
        <v>4</v>
      </c>
      <c r="D68" s="35"/>
      <c r="E68" s="35"/>
      <c r="F68" s="78"/>
    </row>
    <row r="69" spans="1:7" ht="33" x14ac:dyDescent="0.3">
      <c r="A69" s="13">
        <v>26</v>
      </c>
      <c r="B69" s="12" t="s">
        <v>103</v>
      </c>
      <c r="C69" s="34" t="s">
        <v>4</v>
      </c>
      <c r="D69" s="35"/>
      <c r="E69" s="35"/>
      <c r="F69" s="78"/>
      <c r="G69" s="2" t="s">
        <v>172</v>
      </c>
    </row>
    <row r="70" spans="1:7" ht="33" x14ac:dyDescent="0.3">
      <c r="A70" s="13">
        <v>27</v>
      </c>
      <c r="B70" s="12" t="s">
        <v>104</v>
      </c>
      <c r="C70" s="34" t="s">
        <v>4</v>
      </c>
      <c r="D70" s="35"/>
      <c r="E70" s="35"/>
      <c r="F70" s="78"/>
    </row>
    <row r="71" spans="1:7" x14ac:dyDescent="0.3">
      <c r="A71" s="13">
        <v>28</v>
      </c>
      <c r="B71" s="12" t="s">
        <v>105</v>
      </c>
      <c r="C71" s="34" t="s">
        <v>4</v>
      </c>
      <c r="D71" s="35"/>
      <c r="E71" s="35"/>
      <c r="F71" s="78"/>
    </row>
    <row r="72" spans="1:7" x14ac:dyDescent="0.3">
      <c r="A72" s="13">
        <v>29</v>
      </c>
      <c r="B72" s="12" t="s">
        <v>106</v>
      </c>
      <c r="C72" s="34" t="s">
        <v>174</v>
      </c>
      <c r="D72" s="35"/>
      <c r="E72" s="35"/>
      <c r="F72" s="78"/>
    </row>
    <row r="73" spans="1:7" ht="49.5" x14ac:dyDescent="0.3">
      <c r="A73" s="13">
        <v>30</v>
      </c>
      <c r="B73" s="12" t="s">
        <v>107</v>
      </c>
      <c r="C73" s="34" t="s">
        <v>4</v>
      </c>
      <c r="D73" s="35"/>
      <c r="E73" s="35"/>
      <c r="F73" s="78"/>
    </row>
    <row r="74" spans="1:7" ht="33" x14ac:dyDescent="0.3">
      <c r="A74" s="13">
        <v>31</v>
      </c>
      <c r="B74" s="12" t="s">
        <v>108</v>
      </c>
      <c r="C74" s="34" t="str">
        <f>C67</f>
        <v>Ground Floor</v>
      </c>
      <c r="D74" s="35"/>
      <c r="E74" s="35"/>
      <c r="F74" s="78"/>
    </row>
    <row r="75" spans="1:7" ht="16.5" customHeight="1" x14ac:dyDescent="0.3">
      <c r="A75" s="13">
        <v>32</v>
      </c>
      <c r="B75" s="12" t="s">
        <v>109</v>
      </c>
      <c r="C75" s="34">
        <v>1</v>
      </c>
      <c r="D75" s="35"/>
      <c r="E75" s="35"/>
      <c r="F75" s="78"/>
    </row>
    <row r="76" spans="1:7" x14ac:dyDescent="0.3">
      <c r="A76" s="13">
        <v>33</v>
      </c>
      <c r="B76" s="12" t="s">
        <v>110</v>
      </c>
      <c r="C76" s="34" t="s">
        <v>4</v>
      </c>
      <c r="D76" s="35"/>
      <c r="E76" s="35"/>
      <c r="F76" s="78"/>
    </row>
    <row r="77" spans="1:7" x14ac:dyDescent="0.3">
      <c r="A77" s="13">
        <v>34</v>
      </c>
      <c r="B77" s="12" t="s">
        <v>111</v>
      </c>
      <c r="C77" s="34" t="s">
        <v>4</v>
      </c>
      <c r="D77" s="35"/>
      <c r="E77" s="35"/>
      <c r="F77" s="78"/>
    </row>
    <row r="78" spans="1:7" x14ac:dyDescent="0.3">
      <c r="A78" s="79" t="s">
        <v>112</v>
      </c>
      <c r="B78" s="80"/>
      <c r="C78" s="80"/>
      <c r="D78" s="80"/>
      <c r="E78" s="80"/>
      <c r="F78" s="81"/>
    </row>
    <row r="79" spans="1:7" ht="33" x14ac:dyDescent="0.3">
      <c r="A79" s="13">
        <v>1</v>
      </c>
      <c r="B79" s="12" t="s">
        <v>113</v>
      </c>
      <c r="C79" s="34" t="s">
        <v>114</v>
      </c>
      <c r="D79" s="35"/>
      <c r="E79" s="35"/>
      <c r="F79" s="36"/>
    </row>
    <row r="80" spans="1:7" x14ac:dyDescent="0.3">
      <c r="A80" s="13">
        <v>2</v>
      </c>
      <c r="B80" s="12" t="s">
        <v>115</v>
      </c>
      <c r="C80" s="34" t="s">
        <v>4</v>
      </c>
      <c r="D80" s="35"/>
      <c r="E80" s="35"/>
      <c r="F80" s="36"/>
    </row>
    <row r="81" spans="1:6" ht="14.65" customHeight="1" x14ac:dyDescent="0.3">
      <c r="A81" s="13">
        <v>3</v>
      </c>
      <c r="B81" s="12" t="s">
        <v>116</v>
      </c>
      <c r="C81" s="34" t="s">
        <v>4</v>
      </c>
      <c r="D81" s="35"/>
      <c r="E81" s="35"/>
      <c r="F81" s="36"/>
    </row>
    <row r="82" spans="1:6" ht="14.65" customHeight="1" x14ac:dyDescent="0.3">
      <c r="A82" s="13">
        <v>4</v>
      </c>
      <c r="B82" s="12" t="s">
        <v>117</v>
      </c>
      <c r="C82" s="34" t="s">
        <v>4</v>
      </c>
      <c r="D82" s="35"/>
      <c r="E82" s="35"/>
      <c r="F82" s="36"/>
    </row>
    <row r="83" spans="1:6" ht="14.65" customHeight="1" x14ac:dyDescent="0.3">
      <c r="A83" s="13">
        <v>5</v>
      </c>
      <c r="B83" s="12" t="s">
        <v>118</v>
      </c>
      <c r="C83" s="34" t="s">
        <v>4</v>
      </c>
      <c r="D83" s="35"/>
      <c r="E83" s="35"/>
      <c r="F83" s="36"/>
    </row>
    <row r="84" spans="1:6" ht="14.65" customHeight="1" x14ac:dyDescent="0.3">
      <c r="A84" s="13">
        <v>6</v>
      </c>
      <c r="B84" s="12" t="s">
        <v>119</v>
      </c>
      <c r="C84" s="34" t="s">
        <v>4</v>
      </c>
      <c r="D84" s="35"/>
      <c r="E84" s="35"/>
      <c r="F84" s="36"/>
    </row>
    <row r="85" spans="1:6" ht="66" x14ac:dyDescent="0.3">
      <c r="A85" s="13">
        <v>7</v>
      </c>
      <c r="B85" s="12" t="s">
        <v>120</v>
      </c>
      <c r="C85" s="34" t="s">
        <v>4</v>
      </c>
      <c r="D85" s="35"/>
      <c r="E85" s="35"/>
      <c r="F85" s="36"/>
    </row>
    <row r="86" spans="1:6" ht="49.5" x14ac:dyDescent="0.3">
      <c r="A86" s="13">
        <v>8</v>
      </c>
      <c r="B86" s="12" t="s">
        <v>121</v>
      </c>
      <c r="C86" s="34" t="s">
        <v>4</v>
      </c>
      <c r="D86" s="35"/>
      <c r="E86" s="35"/>
      <c r="F86" s="36"/>
    </row>
    <row r="87" spans="1:6" ht="33" x14ac:dyDescent="0.3">
      <c r="A87" s="13">
        <v>9</v>
      </c>
      <c r="B87" s="6" t="s">
        <v>7</v>
      </c>
      <c r="C87" s="34">
        <v>96</v>
      </c>
      <c r="D87" s="35"/>
      <c r="E87" s="35"/>
      <c r="F87" s="36"/>
    </row>
    <row r="88" spans="1:6" ht="33" x14ac:dyDescent="0.3">
      <c r="A88" s="13">
        <v>10</v>
      </c>
      <c r="B88" s="6" t="s">
        <v>6</v>
      </c>
      <c r="C88" s="34">
        <v>96</v>
      </c>
      <c r="D88" s="35"/>
      <c r="E88" s="35"/>
      <c r="F88" s="36"/>
    </row>
    <row r="89" spans="1:6" ht="33" x14ac:dyDescent="0.3">
      <c r="A89" s="144">
        <v>11</v>
      </c>
      <c r="B89" s="147" t="s">
        <v>122</v>
      </c>
      <c r="C89" s="12" t="s">
        <v>123</v>
      </c>
      <c r="D89" s="12" t="s">
        <v>124</v>
      </c>
      <c r="E89" s="34" t="s">
        <v>125</v>
      </c>
      <c r="F89" s="36"/>
    </row>
    <row r="90" spans="1:6" x14ac:dyDescent="0.3">
      <c r="A90" s="145"/>
      <c r="B90" s="148"/>
      <c r="C90" s="12" t="s">
        <v>46</v>
      </c>
      <c r="D90" s="4" t="s">
        <v>4</v>
      </c>
      <c r="E90" s="82">
        <v>762</v>
      </c>
      <c r="F90" s="83"/>
    </row>
    <row r="91" spans="1:6" x14ac:dyDescent="0.3">
      <c r="A91" s="145"/>
      <c r="B91" s="148"/>
      <c r="C91" s="12" t="s">
        <v>45</v>
      </c>
      <c r="D91" s="4" t="s">
        <v>4</v>
      </c>
      <c r="E91" s="84">
        <v>0</v>
      </c>
      <c r="F91" s="83"/>
    </row>
    <row r="92" spans="1:6" x14ac:dyDescent="0.3">
      <c r="A92" s="146"/>
      <c r="B92" s="149"/>
      <c r="C92" s="12" t="s">
        <v>169</v>
      </c>
      <c r="D92" s="4" t="s">
        <v>4</v>
      </c>
      <c r="E92" s="84">
        <f>E90+E91</f>
        <v>762</v>
      </c>
      <c r="F92" s="83"/>
    </row>
    <row r="93" spans="1:6" x14ac:dyDescent="0.3">
      <c r="A93" s="13">
        <v>12</v>
      </c>
      <c r="B93" s="12" t="s">
        <v>126</v>
      </c>
      <c r="C93" s="34">
        <f>E92</f>
        <v>762</v>
      </c>
      <c r="D93" s="35"/>
      <c r="E93" s="35"/>
      <c r="F93" s="36"/>
    </row>
    <row r="94" spans="1:6" x14ac:dyDescent="0.3">
      <c r="A94" s="13">
        <v>13</v>
      </c>
      <c r="B94" s="12" t="s">
        <v>127</v>
      </c>
      <c r="C94" s="85">
        <f>C93 * 0.8</f>
        <v>609.6</v>
      </c>
      <c r="D94" s="86"/>
      <c r="E94" s="86"/>
      <c r="F94" s="87"/>
    </row>
    <row r="95" spans="1:6" ht="33" x14ac:dyDescent="0.3">
      <c r="A95" s="13">
        <v>14</v>
      </c>
      <c r="B95" s="12" t="s">
        <v>128</v>
      </c>
      <c r="C95" s="34">
        <v>96</v>
      </c>
      <c r="D95" s="35"/>
      <c r="E95" s="35"/>
      <c r="F95" s="36"/>
    </row>
    <row r="96" spans="1:6" ht="33" x14ac:dyDescent="0.3">
      <c r="A96" s="13">
        <v>15</v>
      </c>
      <c r="B96" s="12" t="s">
        <v>129</v>
      </c>
      <c r="C96" s="34" t="s">
        <v>130</v>
      </c>
      <c r="D96" s="35"/>
      <c r="E96" s="35"/>
      <c r="F96" s="36"/>
    </row>
    <row r="97" spans="1:6" ht="33" x14ac:dyDescent="0.3">
      <c r="A97" s="13">
        <v>16</v>
      </c>
      <c r="B97" s="12" t="s">
        <v>131</v>
      </c>
      <c r="C97" s="34" t="s">
        <v>132</v>
      </c>
      <c r="D97" s="35"/>
      <c r="E97" s="35"/>
      <c r="F97" s="36"/>
    </row>
    <row r="98" spans="1:6" ht="49.5" x14ac:dyDescent="0.3">
      <c r="A98" s="13">
        <v>17</v>
      </c>
      <c r="B98" s="12" t="s">
        <v>133</v>
      </c>
      <c r="C98" s="34" t="s">
        <v>134</v>
      </c>
      <c r="D98" s="35"/>
      <c r="E98" s="35"/>
      <c r="F98" s="36"/>
    </row>
    <row r="99" spans="1:6" ht="49.5" x14ac:dyDescent="0.3">
      <c r="A99" s="13">
        <v>18</v>
      </c>
      <c r="B99" s="12" t="s">
        <v>135</v>
      </c>
      <c r="C99" s="34" t="s">
        <v>4</v>
      </c>
      <c r="D99" s="35"/>
      <c r="E99" s="35"/>
      <c r="F99" s="36"/>
    </row>
    <row r="100" spans="1:6" ht="33" x14ac:dyDescent="0.3">
      <c r="A100" s="13">
        <v>19</v>
      </c>
      <c r="B100" s="12" t="s">
        <v>136</v>
      </c>
      <c r="C100" s="34" t="s">
        <v>4</v>
      </c>
      <c r="D100" s="35"/>
      <c r="E100" s="35"/>
      <c r="F100" s="36"/>
    </row>
    <row r="101" spans="1:6" x14ac:dyDescent="0.3">
      <c r="A101" s="13">
        <v>20</v>
      </c>
      <c r="B101" s="12" t="s">
        <v>137</v>
      </c>
      <c r="C101" s="34" t="str">
        <f>C17</f>
        <v>GAVARA PADMA RAO</v>
      </c>
      <c r="D101" s="35"/>
      <c r="E101" s="35"/>
      <c r="F101" s="36"/>
    </row>
    <row r="102" spans="1:6" x14ac:dyDescent="0.3">
      <c r="A102" s="13">
        <v>21</v>
      </c>
      <c r="B102" s="12" t="s">
        <v>138</v>
      </c>
      <c r="C102" s="34" t="s">
        <v>170</v>
      </c>
      <c r="D102" s="35"/>
      <c r="E102" s="35"/>
      <c r="F102" s="36"/>
    </row>
    <row r="103" spans="1:6" x14ac:dyDescent="0.3">
      <c r="A103" s="79" t="s">
        <v>139</v>
      </c>
      <c r="B103" s="80"/>
      <c r="C103" s="80"/>
      <c r="D103" s="80"/>
      <c r="E103" s="80"/>
      <c r="F103" s="81"/>
    </row>
    <row r="104" spans="1:6" x14ac:dyDescent="0.3">
      <c r="A104" s="13">
        <v>1</v>
      </c>
      <c r="B104" s="12" t="s">
        <v>32</v>
      </c>
      <c r="C104" s="30">
        <f>C93</f>
        <v>762</v>
      </c>
      <c r="D104" s="30"/>
      <c r="E104" s="30"/>
      <c r="F104" s="31"/>
    </row>
    <row r="105" spans="1:6" x14ac:dyDescent="0.3">
      <c r="A105" s="13">
        <v>2</v>
      </c>
      <c r="B105" s="12" t="s">
        <v>5</v>
      </c>
      <c r="C105" s="34">
        <f>C95</f>
        <v>96</v>
      </c>
      <c r="D105" s="35"/>
      <c r="E105" s="35"/>
      <c r="F105" s="36"/>
    </row>
    <row r="106" spans="1:6" x14ac:dyDescent="0.3">
      <c r="A106" s="13">
        <v>3</v>
      </c>
      <c r="B106" s="12" t="s">
        <v>3</v>
      </c>
      <c r="C106" s="88" t="str">
        <f>C49</f>
        <v>8 Years</v>
      </c>
      <c r="D106" s="30"/>
      <c r="E106" s="30"/>
      <c r="F106" s="31"/>
    </row>
    <row r="107" spans="1:6" ht="33" x14ac:dyDescent="0.3">
      <c r="A107" s="13">
        <v>4</v>
      </c>
      <c r="B107" s="12" t="s">
        <v>8</v>
      </c>
      <c r="C107" s="30" t="s">
        <v>181</v>
      </c>
      <c r="D107" s="30"/>
      <c r="E107" s="30"/>
      <c r="F107" s="31"/>
    </row>
    <row r="108" spans="1:6" ht="33" x14ac:dyDescent="0.3">
      <c r="A108" s="13">
        <v>5</v>
      </c>
      <c r="B108" s="12" t="s">
        <v>140</v>
      </c>
      <c r="C108" s="30" t="s">
        <v>141</v>
      </c>
      <c r="D108" s="30"/>
      <c r="E108" s="30"/>
      <c r="F108" s="31"/>
    </row>
    <row r="109" spans="1:6" ht="33" x14ac:dyDescent="0.3">
      <c r="A109" s="13">
        <v>6</v>
      </c>
      <c r="B109" s="12" t="s">
        <v>142</v>
      </c>
      <c r="C109" s="30" t="s">
        <v>4</v>
      </c>
      <c r="D109" s="30"/>
      <c r="E109" s="30"/>
      <c r="F109" s="31"/>
    </row>
    <row r="110" spans="1:6" ht="82.5" x14ac:dyDescent="0.3">
      <c r="A110" s="13">
        <v>7</v>
      </c>
      <c r="B110" s="12" t="s">
        <v>20</v>
      </c>
      <c r="C110" s="30" t="s">
        <v>4</v>
      </c>
      <c r="D110" s="30"/>
      <c r="E110" s="30"/>
      <c r="F110" s="31"/>
    </row>
    <row r="111" spans="1:6" x14ac:dyDescent="0.3">
      <c r="A111" s="13">
        <v>8</v>
      </c>
      <c r="B111" s="12" t="s">
        <v>143</v>
      </c>
      <c r="C111" s="30" t="s">
        <v>38</v>
      </c>
      <c r="D111" s="30"/>
      <c r="E111" s="30"/>
      <c r="F111" s="31"/>
    </row>
    <row r="112" spans="1:6" ht="49.5" x14ac:dyDescent="0.3">
      <c r="A112" s="13">
        <v>9</v>
      </c>
      <c r="B112" s="12" t="s">
        <v>144</v>
      </c>
      <c r="C112" s="30" t="s">
        <v>4</v>
      </c>
      <c r="D112" s="30"/>
      <c r="E112" s="30"/>
      <c r="F112" s="31"/>
    </row>
    <row r="113" spans="1:6" ht="22.9" customHeight="1" x14ac:dyDescent="0.3">
      <c r="A113" s="141" t="s">
        <v>145</v>
      </c>
      <c r="B113" s="142"/>
      <c r="C113" s="142"/>
      <c r="D113" s="142"/>
      <c r="E113" s="142"/>
      <c r="F113" s="143"/>
    </row>
    <row r="114" spans="1:6" x14ac:dyDescent="0.3">
      <c r="A114" s="51" t="s">
        <v>21</v>
      </c>
      <c r="B114" s="30"/>
      <c r="C114" s="30"/>
      <c r="D114" s="30"/>
      <c r="E114" s="30"/>
      <c r="F114" s="31"/>
    </row>
    <row r="115" spans="1:6" x14ac:dyDescent="0.3">
      <c r="A115" s="13">
        <v>1</v>
      </c>
      <c r="B115" s="12" t="s">
        <v>9</v>
      </c>
      <c r="C115" s="34">
        <v>96</v>
      </c>
      <c r="D115" s="35"/>
      <c r="E115" s="35"/>
      <c r="F115" s="36"/>
    </row>
    <row r="116" spans="1:6" x14ac:dyDescent="0.3">
      <c r="A116" s="13">
        <v>2</v>
      </c>
      <c r="B116" s="12" t="s">
        <v>146</v>
      </c>
      <c r="C116" s="123">
        <v>1111</v>
      </c>
      <c r="D116" s="124"/>
      <c r="E116" s="124"/>
      <c r="F116" s="125"/>
    </row>
    <row r="117" spans="1:6" x14ac:dyDescent="0.3">
      <c r="A117" s="13">
        <v>3</v>
      </c>
      <c r="B117" s="21" t="s">
        <v>147</v>
      </c>
      <c r="C117" s="123">
        <f xml:space="preserve"> C115*C116</f>
        <v>106656</v>
      </c>
      <c r="D117" s="124"/>
      <c r="E117" s="124"/>
      <c r="F117" s="125"/>
    </row>
    <row r="118" spans="1:6" x14ac:dyDescent="0.3">
      <c r="A118" s="16">
        <v>4</v>
      </c>
      <c r="B118" s="21" t="s">
        <v>42</v>
      </c>
      <c r="C118" s="21">
        <f>E92</f>
        <v>762</v>
      </c>
      <c r="D118" s="21">
        <v>1600</v>
      </c>
      <c r="E118" s="32">
        <f>C118*D118</f>
        <v>1219200</v>
      </c>
      <c r="F118" s="33"/>
    </row>
    <row r="119" spans="1:6" x14ac:dyDescent="0.3">
      <c r="A119" s="16"/>
      <c r="B119" s="21" t="s">
        <v>41</v>
      </c>
      <c r="C119" s="21">
        <v>0</v>
      </c>
      <c r="D119" s="21">
        <v>0</v>
      </c>
      <c r="E119" s="47">
        <f>C119*D119</f>
        <v>0</v>
      </c>
      <c r="F119" s="48"/>
    </row>
    <row r="120" spans="1:6" x14ac:dyDescent="0.3">
      <c r="A120" s="16"/>
      <c r="B120" s="21" t="s">
        <v>43</v>
      </c>
      <c r="C120" s="21">
        <v>0</v>
      </c>
      <c r="D120" s="21">
        <v>0</v>
      </c>
      <c r="E120" s="47">
        <f>C120*D120</f>
        <v>0</v>
      </c>
      <c r="F120" s="48"/>
    </row>
    <row r="121" spans="1:6" x14ac:dyDescent="0.3">
      <c r="A121" s="13">
        <v>7</v>
      </c>
      <c r="B121" s="21" t="s">
        <v>37</v>
      </c>
      <c r="C121" s="138">
        <f>+E118+E119+E120</f>
        <v>1219200</v>
      </c>
      <c r="D121" s="139"/>
      <c r="E121" s="139"/>
      <c r="F121" s="140"/>
    </row>
    <row r="122" spans="1:6" ht="33" x14ac:dyDescent="0.3">
      <c r="A122" s="13">
        <v>9</v>
      </c>
      <c r="B122" s="21" t="s">
        <v>10</v>
      </c>
      <c r="C122" s="40" t="str">
        <f>C49</f>
        <v>8 Years</v>
      </c>
      <c r="D122" s="40"/>
      <c r="E122" s="40"/>
      <c r="F122" s="41"/>
    </row>
    <row r="123" spans="1:6" x14ac:dyDescent="0.3">
      <c r="A123" s="13"/>
      <c r="B123" s="21"/>
      <c r="C123" s="21">
        <v>0</v>
      </c>
      <c r="D123" s="22">
        <v>1.4999999999999999E-2</v>
      </c>
      <c r="E123" s="23">
        <f>C123*D123</f>
        <v>0</v>
      </c>
      <c r="F123" s="24">
        <f>C121*E123</f>
        <v>0</v>
      </c>
    </row>
    <row r="124" spans="1:6" ht="47.25" customHeight="1" x14ac:dyDescent="0.3">
      <c r="A124" s="13">
        <v>10</v>
      </c>
      <c r="B124" s="21" t="s">
        <v>148</v>
      </c>
      <c r="C124" s="42">
        <f>C121-F123</f>
        <v>1219200</v>
      </c>
      <c r="D124" s="40"/>
      <c r="E124" s="40"/>
      <c r="F124" s="41"/>
    </row>
    <row r="125" spans="1:6" x14ac:dyDescent="0.3">
      <c r="A125" s="17"/>
      <c r="B125" s="126" t="s">
        <v>14</v>
      </c>
      <c r="C125" s="127"/>
      <c r="D125" s="127"/>
      <c r="E125" s="127"/>
      <c r="F125" s="128"/>
    </row>
    <row r="126" spans="1:6" x14ac:dyDescent="0.3">
      <c r="A126" s="13">
        <v>11</v>
      </c>
      <c r="B126" s="25" t="s">
        <v>11</v>
      </c>
      <c r="C126" s="42">
        <f>C117</f>
        <v>106656</v>
      </c>
      <c r="D126" s="40"/>
      <c r="E126" s="40"/>
      <c r="F126" s="41"/>
    </row>
    <row r="127" spans="1:6" x14ac:dyDescent="0.3">
      <c r="A127" s="13">
        <v>12</v>
      </c>
      <c r="B127" s="25" t="s">
        <v>12</v>
      </c>
      <c r="C127" s="102">
        <f>C124</f>
        <v>1219200</v>
      </c>
      <c r="D127" s="102"/>
      <c r="E127" s="102"/>
      <c r="F127" s="103"/>
    </row>
    <row r="128" spans="1:6" x14ac:dyDescent="0.3">
      <c r="A128" s="51">
        <v>13</v>
      </c>
      <c r="B128" s="25" t="s">
        <v>13</v>
      </c>
      <c r="C128" s="102">
        <f>C126+C127</f>
        <v>1325856</v>
      </c>
      <c r="D128" s="102"/>
      <c r="E128" s="102"/>
      <c r="F128" s="103"/>
    </row>
    <row r="129" spans="1:9" x14ac:dyDescent="0.3">
      <c r="A129" s="51"/>
      <c r="B129" s="120"/>
      <c r="C129" s="121"/>
      <c r="D129" s="121"/>
      <c r="E129" s="121"/>
      <c r="F129" s="122"/>
    </row>
    <row r="130" spans="1:9" x14ac:dyDescent="0.3">
      <c r="A130" s="13">
        <v>14</v>
      </c>
      <c r="B130" s="12" t="s">
        <v>34</v>
      </c>
      <c r="C130" s="11"/>
      <c r="D130" s="7">
        <v>0</v>
      </c>
      <c r="E130" s="49">
        <f>D130*C130</f>
        <v>0</v>
      </c>
      <c r="F130" s="50"/>
      <c r="G130" s="8"/>
    </row>
    <row r="131" spans="1:9" ht="33" x14ac:dyDescent="0.3">
      <c r="A131" s="13">
        <v>15</v>
      </c>
      <c r="B131" s="12" t="s">
        <v>36</v>
      </c>
      <c r="C131" s="11"/>
      <c r="D131" s="7">
        <v>0</v>
      </c>
      <c r="E131" s="49">
        <f>D131*C131</f>
        <v>0</v>
      </c>
      <c r="F131" s="50"/>
    </row>
    <row r="132" spans="1:9" x14ac:dyDescent="0.3">
      <c r="A132" s="13"/>
      <c r="B132" s="12"/>
      <c r="C132" s="11"/>
      <c r="D132" s="7"/>
      <c r="E132" s="132"/>
      <c r="F132" s="133"/>
    </row>
    <row r="133" spans="1:9" x14ac:dyDescent="0.3">
      <c r="A133" s="13"/>
      <c r="B133" s="12"/>
      <c r="C133" s="11"/>
      <c r="D133" s="7"/>
      <c r="E133" s="49"/>
      <c r="F133" s="50"/>
    </row>
    <row r="134" spans="1:9" ht="33" x14ac:dyDescent="0.3">
      <c r="A134" s="13">
        <v>16</v>
      </c>
      <c r="B134" s="12" t="s">
        <v>35</v>
      </c>
      <c r="C134" s="92">
        <v>0</v>
      </c>
      <c r="D134" s="93"/>
      <c r="E134" s="93"/>
      <c r="F134" s="94"/>
      <c r="I134" s="8"/>
    </row>
    <row r="135" spans="1:9" x14ac:dyDescent="0.3">
      <c r="A135" s="13">
        <v>18</v>
      </c>
      <c r="B135" s="12" t="s">
        <v>149</v>
      </c>
      <c r="C135" s="30" t="s">
        <v>4</v>
      </c>
      <c r="D135" s="30"/>
      <c r="E135" s="30"/>
      <c r="F135" s="31"/>
    </row>
    <row r="136" spans="1:9" ht="33" x14ac:dyDescent="0.3">
      <c r="A136" s="13">
        <v>19</v>
      </c>
      <c r="B136" s="12" t="s">
        <v>15</v>
      </c>
      <c r="C136" s="37">
        <f>C128*0.75</f>
        <v>994392</v>
      </c>
      <c r="D136" s="38"/>
      <c r="E136" s="38"/>
      <c r="F136" s="39"/>
    </row>
    <row r="137" spans="1:9" ht="219" customHeight="1" x14ac:dyDescent="0.3">
      <c r="A137" s="136" t="s">
        <v>203</v>
      </c>
      <c r="B137" s="136"/>
      <c r="C137" s="136"/>
      <c r="D137" s="136"/>
      <c r="E137" s="136"/>
      <c r="F137" s="136"/>
    </row>
    <row r="138" spans="1:9" ht="0.75" customHeight="1" x14ac:dyDescent="0.3">
      <c r="A138" s="137"/>
      <c r="B138" s="137"/>
      <c r="C138" s="137"/>
      <c r="D138" s="137"/>
      <c r="E138" s="137"/>
      <c r="F138" s="137"/>
    </row>
    <row r="139" spans="1:9" ht="33" x14ac:dyDescent="0.3">
      <c r="A139" s="18" t="s">
        <v>47</v>
      </c>
      <c r="B139" s="12" t="s">
        <v>150</v>
      </c>
      <c r="C139" s="12" t="s">
        <v>141</v>
      </c>
      <c r="D139" s="12" t="s">
        <v>151</v>
      </c>
      <c r="E139" s="12" t="s">
        <v>152</v>
      </c>
      <c r="F139" s="19" t="s">
        <v>153</v>
      </c>
    </row>
    <row r="140" spans="1:9" ht="33" x14ac:dyDescent="0.3">
      <c r="A140" s="13">
        <v>2</v>
      </c>
      <c r="B140" s="12" t="s">
        <v>154</v>
      </c>
      <c r="C140" s="12" t="s">
        <v>141</v>
      </c>
      <c r="D140" s="12" t="s">
        <v>151</v>
      </c>
      <c r="E140" s="12" t="s">
        <v>152</v>
      </c>
      <c r="F140" s="19" t="s">
        <v>153</v>
      </c>
    </row>
    <row r="141" spans="1:9" ht="12.75" customHeight="1" x14ac:dyDescent="0.3">
      <c r="A141" s="61" t="s">
        <v>155</v>
      </c>
      <c r="B141" s="62"/>
      <c r="C141" s="62"/>
      <c r="D141" s="62"/>
      <c r="E141" s="62"/>
      <c r="F141" s="63"/>
    </row>
    <row r="142" spans="1:9" x14ac:dyDescent="0.3">
      <c r="A142" s="13">
        <v>1</v>
      </c>
      <c r="B142" s="30" t="s">
        <v>22</v>
      </c>
      <c r="C142" s="30"/>
      <c r="D142" s="30"/>
      <c r="E142" s="30"/>
      <c r="F142" s="31"/>
    </row>
    <row r="143" spans="1:9" x14ac:dyDescent="0.3">
      <c r="A143" s="13">
        <v>2</v>
      </c>
      <c r="B143" s="30" t="s">
        <v>23</v>
      </c>
      <c r="C143" s="30"/>
      <c r="D143" s="30"/>
      <c r="E143" s="30"/>
      <c r="F143" s="31"/>
    </row>
    <row r="144" spans="1:9" x14ac:dyDescent="0.3">
      <c r="A144" s="13">
        <v>3</v>
      </c>
      <c r="B144" s="30" t="s">
        <v>24</v>
      </c>
      <c r="C144" s="30"/>
      <c r="D144" s="30"/>
      <c r="E144" s="30"/>
      <c r="F144" s="31"/>
    </row>
    <row r="145" spans="1:6" x14ac:dyDescent="0.3">
      <c r="A145" s="13">
        <v>4</v>
      </c>
      <c r="B145" s="30" t="s">
        <v>25</v>
      </c>
      <c r="C145" s="30"/>
      <c r="D145" s="30"/>
      <c r="E145" s="30"/>
      <c r="F145" s="31"/>
    </row>
    <row r="146" spans="1:6" x14ac:dyDescent="0.3">
      <c r="A146" s="13">
        <v>5</v>
      </c>
      <c r="B146" s="30" t="s">
        <v>26</v>
      </c>
      <c r="C146" s="30"/>
      <c r="D146" s="30"/>
      <c r="E146" s="30"/>
      <c r="F146" s="31"/>
    </row>
    <row r="147" spans="1:6" x14ac:dyDescent="0.3">
      <c r="A147" s="13">
        <v>6</v>
      </c>
      <c r="B147" s="30" t="s">
        <v>27</v>
      </c>
      <c r="C147" s="30"/>
      <c r="D147" s="30"/>
      <c r="E147" s="30"/>
      <c r="F147" s="31"/>
    </row>
    <row r="148" spans="1:6" x14ac:dyDescent="0.3">
      <c r="A148" s="13">
        <v>7</v>
      </c>
      <c r="B148" s="30" t="s">
        <v>28</v>
      </c>
      <c r="C148" s="30"/>
      <c r="D148" s="30"/>
      <c r="E148" s="30"/>
      <c r="F148" s="31"/>
    </row>
    <row r="149" spans="1:6" x14ac:dyDescent="0.3">
      <c r="A149" s="20" t="s">
        <v>17</v>
      </c>
      <c r="B149" s="9" t="str">
        <f>C10</f>
        <v>Rajahmundry</v>
      </c>
      <c r="C149" s="64" t="s">
        <v>16</v>
      </c>
      <c r="D149" s="64"/>
      <c r="E149" s="64"/>
      <c r="F149" s="65"/>
    </row>
    <row r="150" spans="1:6" ht="25.9" customHeight="1" x14ac:dyDescent="0.3">
      <c r="A150" s="20" t="s">
        <v>156</v>
      </c>
      <c r="B150" s="10" t="s">
        <v>177</v>
      </c>
      <c r="C150" s="64"/>
      <c r="D150" s="64"/>
      <c r="E150" s="64"/>
      <c r="F150" s="65"/>
    </row>
    <row r="151" spans="1:6" x14ac:dyDescent="0.3">
      <c r="A151" s="66" t="s">
        <v>0</v>
      </c>
      <c r="B151" s="67"/>
      <c r="C151" s="67" t="s">
        <v>182</v>
      </c>
      <c r="D151" s="67"/>
      <c r="E151" s="67"/>
      <c r="F151" s="68"/>
    </row>
    <row r="152" spans="1:6" x14ac:dyDescent="0.3" ht="18" customHeight="1">
      <c r="A152" t="inlineStr">
        <is>
          <t>Satellite View</t>
        </is>
      </c>
    </row>
    <row r="153" spans="1:6" x14ac:dyDescent="0.3" ht="212.78976377952756" customHeight="1"/>
    <row r="154" spans="1:6" x14ac:dyDescent="0.3" ht="18" customHeight="1">
      <c r="A154" t="inlineStr">
        <is>
          <t>Property exterior</t>
        </is>
      </c>
      <c r="D154" t="inlineStr">
        <is>
          <t>Applicant / surveyor at property</t>
        </is>
      </c>
    </row>
    <row r="155" spans="1:6" x14ac:dyDescent="0.3" ht="247.63582677165354" customHeight="1"/>
    <row r="156" spans="1:6" x14ac:dyDescent="0.3" ht="18" customHeight="1">
      <c r="A156" t="inlineStr">
        <is>
          <t>Living / interior area</t>
        </is>
      </c>
      <c r="D156" t="inlineStr">
        <is>
          <t>Bedroom / interior</t>
        </is>
      </c>
    </row>
    <row r="157" spans="1:6" x14ac:dyDescent="0.3" ht="214.34937007874015" customHeight="1"/>
    <row r="158" spans="1:6" x14ac:dyDescent="0.3" ht="18" customHeight="1">
      <c r="A158" t="inlineStr">
        <is>
          <t>Approach / side road</t>
        </is>
      </c>
      <c r="D158" t="inlineStr">
        <is>
          <t>Kitchen / interior</t>
        </is>
      </c>
    </row>
    <row r="159" spans="1:6" x14ac:dyDescent="0.3" ht="234.13582677165354" customHeight="1"/>
    <row r="160" spans="1:6" x14ac:dyDescent="0.3" ht="18" customHeight="1">
      <c r="A160" t="inlineStr">
        <is>
          <t>Electricity meter</t>
        </is>
      </c>
      <c r="D160" t="inlineStr">
        <is>
          <t>Property Document</t>
        </is>
      </c>
    </row>
    <row r="161" spans="1:6" x14ac:dyDescent="0.3" ht="232.34937007874015" customHeight="1"/>
    <row r="162" spans="1:6" x14ac:dyDescent="0.3" ht="18" customHeight="1">
      <c r="A162" t="inlineStr">
        <is>
          <t>Map Screenshot</t>
        </is>
      </c>
    </row>
    <row r="163" spans="1:6" x14ac:dyDescent="0.3" ht="230.2608661417323" customHeight="1"/>
    <row r="164" spans="1:6" x14ac:dyDescent="0.3" ht="18" customHeight="1">
      <c r="A164" t="inlineStr">
        <is>
          <t>Cadastral / BhuNaksha Map</t>
        </is>
      </c>
    </row>
    <row r="165" spans="1:6" x14ac:dyDescent="0.3" ht="245.90527559055118" customHeight="1"/>
    <row r="166" spans="1:6" x14ac:dyDescent="0.3" ht="18" customHeight="1">
      <c r="A166" t="inlineStr">
        <is>
          <t>Government Rate Screenshot</t>
        </is>
      </c>
    </row>
    <row r="167" spans="1:6" x14ac:dyDescent="0.3" ht="242.52732283464567" customHeight="1"/>
    <row r="168" spans="1:6" x14ac:dyDescent="0.3" ht="18" customHeight="1">
      <c r="A168" t="inlineStr">
        <is>
          <t>Prohibited Property Screenshot</t>
        </is>
      </c>
    </row>
    <row r="169" spans="1:6" x14ac:dyDescent="0.3" ht="242.34913385826772" customHeight="1"/>
    <row r="170" spans="1:6" x14ac:dyDescent="0.3" ht="18" customHeight="1">
      <c r="A170" t="inlineStr">
        <is>
          <t>Electricity Bill Screenshot</t>
        </is>
      </c>
    </row>
    <row r="171" spans="1:6" x14ac:dyDescent="0.3" ht="234.81748031496062" customHeight="1"/>
    <row r="172" spans="1:6" x14ac:dyDescent="0.3" ht="1" customHeight="1"/>
    <row r="173" spans="1:6" x14ac:dyDescent="0.3" ht="1" customHeight="1"/>
    <row r="174" spans="1:6" x14ac:dyDescent="0.3" ht="1" customHeight="1"/>
    <row r="175" spans="1:6" x14ac:dyDescent="0.3" ht="1" customHeight="1"/>
    <row r="176" spans="1:6" x14ac:dyDescent="0.3" ht="1" customHeight="1"/>
    <row r="177" spans="1:6" x14ac:dyDescent="0.3" ht="1" customHeight="1"/>
    <row r="178" spans="1:6" x14ac:dyDescent="0.3" ht="1" customHeight="1"/>
    <row r="179" spans="1:6" x14ac:dyDescent="0.3" ht="1" customHeight="1"/>
    <row r="180" spans="1:6" ht="1" customHeight="1" x14ac:dyDescent="0.3"/>
    <row r="181" spans="1:6" ht="1" customHeight="1" x14ac:dyDescent="0.3"/>
    <row r="182" spans="1:6" ht="1" customHeight="1" x14ac:dyDescent="0.3"/>
    <row r="183" spans="1:6" ht="1" customHeight="1" x14ac:dyDescent="0.3"/>
    <row r="184" spans="1:6" ht="1" customHeight="1" x14ac:dyDescent="0.3"/>
    <row r="185" spans="1:6" ht="1" customHeight="1" x14ac:dyDescent="0.3"/>
    <row r="186" spans="1:6" ht="1" customHeight="1" x14ac:dyDescent="0.3"/>
    <row r="187" spans="1:6" ht="1" customHeight="1" x14ac:dyDescent="0.3"/>
    <row r="188" spans="1:6" ht="1" customHeight="1" x14ac:dyDescent="0.3"/>
    <row r="189" spans="1:6" ht="1" customHeight="1" x14ac:dyDescent="0.3"/>
    <row r="190" spans="1:6" ht="1" customHeight="1" x14ac:dyDescent="0.3"/>
    <row r="191" spans="1:6" ht="1" customHeight="1" x14ac:dyDescent="0.3"/>
    <row r="192" spans="1:6" ht="1" customHeight="1" x14ac:dyDescent="0.3"/>
    <row r="193" spans="1:6" ht="1" customHeight="1" x14ac:dyDescent="0.3"/>
    <row r="194" spans="1:6" ht="1" customHeight="1" x14ac:dyDescent="0.3"/>
    <row r="195" spans="1:6" ht="1" customHeight="1" x14ac:dyDescent="0.3"/>
    <row r="196" spans="1:6" ht="1" customHeight="1" x14ac:dyDescent="0.3"/>
    <row r="197" spans="1:6" ht="1" customHeight="1" x14ac:dyDescent="0.3"/>
    <row r="198" spans="1:6" ht="1" customHeight="1" x14ac:dyDescent="0.3"/>
    <row r="199" spans="1:6" ht="1" customHeight="1" x14ac:dyDescent="0.3"/>
    <row r="200" spans="1:6" ht="1" customHeight="1" x14ac:dyDescent="0.3"/>
    <row r="201" spans="1:6" ht="1" customHeight="1" x14ac:dyDescent="0.3"/>
    <row r="202" spans="1:6" ht="1" customHeight="1" x14ac:dyDescent="0.3"/>
    <row r="203" spans="1:6" ht="1" customHeight="1" x14ac:dyDescent="0.3"/>
    <row r="204" spans="1:6" ht="1" customHeight="1" x14ac:dyDescent="0.3"/>
    <row r="205" spans="1:6" ht="1" customHeight="1" x14ac:dyDescent="0.3"/>
    <row r="206" spans="1:6" ht="1" customHeight="1" x14ac:dyDescent="0.3"/>
    <row r="207" spans="1:6" ht="1" customHeight="1" x14ac:dyDescent="0.3"/>
    <row r="208" spans="1:6" ht="1" customHeight="1" x14ac:dyDescent="0.3"/>
    <row r="209" spans="1:6" ht="1" customHeight="1" x14ac:dyDescent="0.3"/>
    <row r="210" spans="1:6" ht="1" customHeight="1" x14ac:dyDescent="0.3"/>
    <row r="211" spans="1:6" ht="1" customHeight="1" x14ac:dyDescent="0.3"/>
    <row r="212" spans="1:6" ht="1" customHeight="1" x14ac:dyDescent="0.3"/>
    <row r="213" spans="1:6" ht="1" customHeight="1" x14ac:dyDescent="0.3"/>
    <row r="214" spans="1:6" ht="1" customHeight="1" x14ac:dyDescent="0.3"/>
    <row r="215" spans="1:6" ht="1" customHeight="1" x14ac:dyDescent="0.3"/>
    <row r="216" spans="1:6" ht="1" customHeight="1" x14ac:dyDescent="0.3"/>
    <row r="217" spans="1:6" ht="1" customHeight="1" x14ac:dyDescent="0.3"/>
    <row r="218" spans="1:6" ht="1" customHeight="1" x14ac:dyDescent="0.3"/>
    <row r="219" spans="1:6" x14ac:dyDescent="0.3" ht="1" customHeight="1"/>
    <row r="220" spans="1:6" x14ac:dyDescent="0.3" ht="1" customHeight="1"/>
    <row r="221" spans="1:6" x14ac:dyDescent="0.3" ht="1" customHeight="1"/>
    <row r="222" spans="1:6" x14ac:dyDescent="0.3" ht="1" customHeight="1"/>
    <row r="223" spans="1:6" x14ac:dyDescent="0.3" ht="1" customHeight="1"/>
    <row r="224" spans="1:6" x14ac:dyDescent="0.3" ht="1" customHeight="1"/>
    <row r="225" spans="1:6" x14ac:dyDescent="0.3" ht="1" customHeight="1"/>
    <row r="226" spans="1:6" x14ac:dyDescent="0.3" ht="1" customHeight="1"/>
    <row r="227" spans="1:6" x14ac:dyDescent="0.3" ht="1" customHeight="1"/>
    <row r="228" spans="1:6" x14ac:dyDescent="0.3" ht="1" customHeight="1"/>
    <row r="229" spans="1:6" x14ac:dyDescent="0.3" ht="1" customHeight="1"/>
    <row r="230" spans="1:6" x14ac:dyDescent="0.3" ht="1" customHeight="1"/>
    <row r="231" spans="1:6" x14ac:dyDescent="0.3" ht="1" customHeight="1"/>
    <row r="232" spans="1:6" x14ac:dyDescent="0.3" ht="1" customHeight="1"/>
    <row r="233" spans="1:6" x14ac:dyDescent="0.3" ht="1" customHeight="1"/>
    <row r="234" spans="1:6" x14ac:dyDescent="0.3" ht="1" customHeight="1"/>
    <row r="235" spans="1:6" x14ac:dyDescent="0.3" ht="1" customHeight="1"/>
    <row r="236" spans="1:6" x14ac:dyDescent="0.3" ht="1" customHeight="1"/>
    <row r="237" spans="1:6" x14ac:dyDescent="0.3" ht="1" customHeight="1"/>
    <row r="238" spans="1:6" x14ac:dyDescent="0.3" ht="1" customHeight="1"/>
    <row r="239" spans="1:6" x14ac:dyDescent="0.3" ht="1" customHeight="1"/>
    <row r="240" spans="1:6" x14ac:dyDescent="0.3" ht="1" customHeight="1"/>
    <row r="241" spans="1:6" x14ac:dyDescent="0.3" ht="1" customHeight="1"/>
    <row r="242" spans="1:6" x14ac:dyDescent="0.3" ht="1" customHeight="1"/>
    <row r="243" spans="1:6" x14ac:dyDescent="0.3" ht="1" customHeight="1"/>
    <row r="244" spans="1:6" x14ac:dyDescent="0.3" ht="1" customHeight="1"/>
    <row r="245" spans="1:6" x14ac:dyDescent="0.3" ht="1" customHeight="1"/>
    <row r="246" spans="1:6" x14ac:dyDescent="0.3" ht="1" customHeight="1"/>
    <row r="247" spans="1:6" x14ac:dyDescent="0.3" ht="1" customHeight="1"/>
    <row r="248" spans="1:6" x14ac:dyDescent="0.3" ht="1" customHeight="1"/>
    <row r="249" spans="1:6" x14ac:dyDescent="0.3" ht="1" customHeight="1"/>
    <row r="250" spans="1:6" x14ac:dyDescent="0.3" ht="1" customHeight="1"/>
    <row r="251" spans="1:6" x14ac:dyDescent="0.3" ht="1" customHeight="1"/>
    <row r="252" spans="1:6" x14ac:dyDescent="0.3" ht="1" customHeight="1"/>
    <row r="253" spans="1:6" x14ac:dyDescent="0.3" ht="1" customHeight="1"/>
    <row r="254" spans="1:6" x14ac:dyDescent="0.3" ht="1" customHeight="1"/>
    <row r="255" spans="1:6" x14ac:dyDescent="0.3" ht="1" customHeight="1"/>
    <row r="256" spans="1:6" x14ac:dyDescent="0.3" ht="1" customHeight="1"/>
    <row r="257" spans="1:6" x14ac:dyDescent="0.3" ht="1" customHeight="1"/>
    <row r="258" spans="1:6" x14ac:dyDescent="0.3" ht="1" customHeight="1"/>
    <row r="259" spans="1:6" x14ac:dyDescent="0.3" ht="1" customHeight="1"/>
    <row r="260" spans="1:6" x14ac:dyDescent="0.3" ht="1" customHeight="1"/>
    <row r="261" spans="1:6" x14ac:dyDescent="0.3" ht="1" customHeight="1"/>
    <row r="262" spans="1:6" x14ac:dyDescent="0.3" ht="1" customHeight="1"/>
    <row r="263" spans="1:6" x14ac:dyDescent="0.3" ht="1" customHeight="1"/>
    <row r="264" spans="1:6" x14ac:dyDescent="0.3" ht="1" customHeight="1"/>
    <row r="265" spans="1:6" x14ac:dyDescent="0.3" ht="1" customHeight="1"/>
    <row r="266" spans="1:6" x14ac:dyDescent="0.3" ht="1" customHeight="1"/>
    <row r="267" spans="1:6" x14ac:dyDescent="0.3" ht="1" customHeight="1"/>
    <row r="268" spans="1:6" x14ac:dyDescent="0.3" ht="1" customHeight="1"/>
    <row r="269" spans="1:6" x14ac:dyDescent="0.3" ht="1" customHeight="1"/>
    <row r="270" spans="1:6" x14ac:dyDescent="0.3" ht="1" customHeight="1"/>
    <row r="271" spans="1:6" x14ac:dyDescent="0.3" ht="1" customHeight="1"/>
    <row r="272" spans="1:6" x14ac:dyDescent="0.3" ht="1" customHeight="1"/>
    <row r="273" spans="1:6" x14ac:dyDescent="0.3" ht="1" customHeight="1"/>
    <row r="274" spans="1:6" x14ac:dyDescent="0.3" ht="1" customHeight="1"/>
    <row r="275" spans="1:6" x14ac:dyDescent="0.3" ht="1" customHeight="1"/>
    <row r="276" spans="1:6" x14ac:dyDescent="0.3" ht="1" customHeight="1"/>
    <row r="277" spans="1:6" ht="1" customHeight="1" x14ac:dyDescent="0.3"/>
  </sheetData>
  <mergeCells count="163">
    <mergeCell ref="D35:F35"/>
    <mergeCell ref="E132:F132"/>
    <mergeCell ref="C112:F112"/>
    <mergeCell ref="C18:D18"/>
    <mergeCell ref="C95:F95"/>
    <mergeCell ref="C110:F110"/>
    <mergeCell ref="A137:F138"/>
    <mergeCell ref="C85:F85"/>
    <mergeCell ref="C121:F121"/>
    <mergeCell ref="A113:F113"/>
    <mergeCell ref="A89:A92"/>
    <mergeCell ref="B89:B92"/>
    <mergeCell ref="E92:F92"/>
    <mergeCell ref="C52:F52"/>
    <mergeCell ref="C54:F54"/>
    <mergeCell ref="C55:F55"/>
    <mergeCell ref="C53:F53"/>
    <mergeCell ref="C56:F56"/>
    <mergeCell ref="C28:F28"/>
    <mergeCell ref="D29:F29"/>
    <mergeCell ref="D30:F30"/>
    <mergeCell ref="A43:F43"/>
    <mergeCell ref="A1:F4"/>
    <mergeCell ref="B129:F129"/>
    <mergeCell ref="C117:F117"/>
    <mergeCell ref="B125:F125"/>
    <mergeCell ref="E130:F130"/>
    <mergeCell ref="C62:F62"/>
    <mergeCell ref="C63:F63"/>
    <mergeCell ref="C64:F64"/>
    <mergeCell ref="C65:F65"/>
    <mergeCell ref="C66:F66"/>
    <mergeCell ref="C67:F67"/>
    <mergeCell ref="C68:F68"/>
    <mergeCell ref="C82:F82"/>
    <mergeCell ref="C69:F69"/>
    <mergeCell ref="C75:F75"/>
    <mergeCell ref="C76:F76"/>
    <mergeCell ref="C77:F77"/>
    <mergeCell ref="C116:F116"/>
    <mergeCell ref="C127:F127"/>
    <mergeCell ref="C126:F126"/>
    <mergeCell ref="C61:F61"/>
    <mergeCell ref="C45:F45"/>
    <mergeCell ref="C58:F58"/>
    <mergeCell ref="C51:F51"/>
    <mergeCell ref="C8:F8"/>
    <mergeCell ref="C9:F9"/>
    <mergeCell ref="C10:F10"/>
    <mergeCell ref="C11:F11"/>
    <mergeCell ref="C17:F17"/>
    <mergeCell ref="C27:F27"/>
    <mergeCell ref="C20:F20"/>
    <mergeCell ref="C21:F21"/>
    <mergeCell ref="C22:F22"/>
    <mergeCell ref="C23:F23"/>
    <mergeCell ref="C12:F12"/>
    <mergeCell ref="C13:F13"/>
    <mergeCell ref="C14:F14"/>
    <mergeCell ref="C15:F15"/>
    <mergeCell ref="C16:F16"/>
    <mergeCell ref="C19:F19"/>
    <mergeCell ref="E24:F24"/>
    <mergeCell ref="C25:F25"/>
    <mergeCell ref="C26:F26"/>
    <mergeCell ref="A5:F5"/>
    <mergeCell ref="C134:F134"/>
    <mergeCell ref="C48:F48"/>
    <mergeCell ref="C49:F49"/>
    <mergeCell ref="C47:F47"/>
    <mergeCell ref="D33:F33"/>
    <mergeCell ref="D36:F36"/>
    <mergeCell ref="C42:F42"/>
    <mergeCell ref="D31:F31"/>
    <mergeCell ref="D32:F32"/>
    <mergeCell ref="D34:F34"/>
    <mergeCell ref="C86:F86"/>
    <mergeCell ref="C88:F88"/>
    <mergeCell ref="C107:F107"/>
    <mergeCell ref="C128:F128"/>
    <mergeCell ref="C59:F59"/>
    <mergeCell ref="C60:F60"/>
    <mergeCell ref="C80:F80"/>
    <mergeCell ref="C81:F81"/>
    <mergeCell ref="C46:F46"/>
    <mergeCell ref="A78:F78"/>
    <mergeCell ref="C79:F79"/>
    <mergeCell ref="C6:F6"/>
    <mergeCell ref="C7:F7"/>
    <mergeCell ref="C87:F87"/>
    <mergeCell ref="C84:F84"/>
    <mergeCell ref="C40:F40"/>
    <mergeCell ref="C39:F39"/>
    <mergeCell ref="C70:F70"/>
    <mergeCell ref="C71:F71"/>
    <mergeCell ref="C72:F72"/>
    <mergeCell ref="C57:F57"/>
    <mergeCell ref="C74:F74"/>
    <mergeCell ref="C83:F83"/>
    <mergeCell ref="C96:F96"/>
    <mergeCell ref="C97:F97"/>
    <mergeCell ref="E133:F133"/>
    <mergeCell ref="E89:F89"/>
    <mergeCell ref="B30:B32"/>
    <mergeCell ref="B33:B36"/>
    <mergeCell ref="C50:F50"/>
    <mergeCell ref="C44:F44"/>
    <mergeCell ref="A103:F103"/>
    <mergeCell ref="C104:F104"/>
    <mergeCell ref="C105:F105"/>
    <mergeCell ref="C108:F108"/>
    <mergeCell ref="C100:F100"/>
    <mergeCell ref="E90:F90"/>
    <mergeCell ref="C93:F93"/>
    <mergeCell ref="E91:F91"/>
    <mergeCell ref="C99:F99"/>
    <mergeCell ref="C98:F98"/>
    <mergeCell ref="C94:F94"/>
    <mergeCell ref="C106:F106"/>
    <mergeCell ref="C41:F41"/>
    <mergeCell ref="C37:F37"/>
    <mergeCell ref="C38:F38"/>
    <mergeCell ref="C73:F73"/>
    <mergeCell ref="B142:F142"/>
    <mergeCell ref="B143:F143"/>
    <mergeCell ref="B144:F144"/>
    <mergeCell ref="B145:F145"/>
    <mergeCell ref="B146:F146"/>
    <mergeCell ref="B147:F147"/>
    <mergeCell ref="B148:F148"/>
    <mergeCell ref="C149:F150"/>
    <mergeCell ref="A151:B151"/>
    <mergeCell ref="C151:F151"/>
    <mergeCell ref="C135:F135"/>
    <mergeCell ref="E118:F118"/>
    <mergeCell ref="C101:F101"/>
    <mergeCell ref="C111:F111"/>
    <mergeCell ref="C136:F136"/>
    <mergeCell ref="C122:F122"/>
    <mergeCell ref="C124:F124"/>
    <mergeCell ref="E119:F119"/>
    <mergeCell ref="E120:F120"/>
    <mergeCell ref="E131:F131"/>
    <mergeCell ref="A114:F114"/>
    <mergeCell ref="C115:F115"/>
    <mergeCell ref="C102:F102"/>
    <mergeCell ref="C109:F109"/>
    <mergeCell ref="A128:A129"/>
    <mergeCell ref="A141:F141"/>
    <mergeCell ref="A152:F152"/>
    <mergeCell ref="A154:C154"/>
    <mergeCell ref="D154:F154"/>
    <mergeCell ref="A156:C156"/>
    <mergeCell ref="D156:F156"/>
    <mergeCell ref="A158:C158"/>
    <mergeCell ref="D158:F158"/>
    <mergeCell ref="A160:C160"/>
    <mergeCell ref="D160:F160"/>
    <mergeCell ref="A162:F162"/>
    <mergeCell ref="A164:F164"/>
    <mergeCell ref="A166:F166"/>
    <mergeCell ref="A168:F168"/>
    <mergeCell ref="A170:F170"/>
  </mergeCells>
  <printOptions horizontalCentered="1"/>
  <pageMargins left="7.874015748031496E-2" right="7.874015748031496E-2" top="7.874015748031496E-2" bottom="7.874015748031496E-2" header="7.874015748031496E-2" footer="7.874015748031496E-2"/>
  <pageSetup paperSize="9" fitToHeight="0" orientation="portrait" r:id="rId1" fitToWidth="1"/>
  <headerFooter differentOddEven="1" differentFirst="1"/>
  <rowBreaks count="10" manualBreakCount="10">
    <brk id="28" max="5" man="1"/>
    <brk id="59" max="5" man="1"/>
    <brk id="88" max="5" man="1"/>
    <brk id="112" max="5" man="1"/>
    <brk id="136" max="5" man="1"/>
    <brk id="151" min="0" max="16383" man="1"/>
    <brk id="155" min="0" max="16383" man="1"/>
    <brk id="159" min="0" max="16383" man="1"/>
    <brk id="163" min="0" max="16383" man="1"/>
    <brk id="167" min="0"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RK</dc:creator>
  <cp:lastModifiedBy>Micro</cp:lastModifiedBy>
  <cp:revision>102</cp:revision>
  <cp:lastPrinted>2026-01-13T13:51:52Z</cp:lastPrinted>
  <dcterms:created xsi:type="dcterms:W3CDTF">2024-02-23T07:17:00Z</dcterms:created>
  <dcterms:modified xsi:type="dcterms:W3CDTF">2026-01-31T10:56:46Z</dcterms:modified>
</cp:coreProperties>
</file>